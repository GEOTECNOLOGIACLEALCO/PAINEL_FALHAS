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M:\10-Planilhas\Voos Pós Plantio - Analise de Falhas\2026\"/>
    </mc:Choice>
  </mc:AlternateContent>
  <xr:revisionPtr revIDLastSave="0" documentId="8_{9E10F523-F7A2-4DE9-8BE1-2EEB7C3CE7C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VOOS" sheetId="1" r:id="rId1"/>
    <sheet name="RESUMO F.A PLANTADO" sheetId="4" r:id="rId2"/>
    <sheet name="BASE EXEC. Q.L" sheetId="3" r:id="rId3"/>
    <sheet name="BASE SQL PLANTIO" sheetId="2" r:id="rId4"/>
  </sheets>
  <definedNames>
    <definedName name="_xlnm._FilterDatabase" localSheetId="3" hidden="1">'BASE SQL PLANTIO'!$B$1:$T$446</definedName>
    <definedName name="_xlnm._FilterDatabase" localSheetId="0" hidden="1">VOOS!$A$4:$N$1742</definedName>
    <definedName name="_xlnm.Print_Area" localSheetId="0">VOOS!$A$1:$N$1341</definedName>
    <definedName name="_xlnm.Print_Titles" localSheetId="0">VOOS!$1:$4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G1716" i="1" s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G1735" i="1" s="1"/>
  <c r="A36" i="1"/>
  <c r="A37" i="1"/>
  <c r="G1736" i="1" s="1"/>
  <c r="A38" i="1"/>
  <c r="A39" i="1"/>
  <c r="A40" i="1"/>
  <c r="A41" i="1"/>
  <c r="A42" i="1"/>
  <c r="A43" i="1"/>
  <c r="A44" i="1"/>
  <c r="A45" i="1"/>
  <c r="G1656" i="1" s="1"/>
  <c r="A46" i="1"/>
  <c r="A47" i="1"/>
  <c r="A48" i="1"/>
  <c r="A49" i="1"/>
  <c r="A50" i="1"/>
  <c r="A51" i="1"/>
  <c r="G1720" i="1" s="1"/>
  <c r="A52" i="1"/>
  <c r="A53" i="1"/>
  <c r="G1724" i="1" s="1"/>
  <c r="A54" i="1"/>
  <c r="A55" i="1"/>
  <c r="A56" i="1"/>
  <c r="A57" i="1"/>
  <c r="A58" i="1"/>
  <c r="A59" i="1"/>
  <c r="A60" i="1"/>
  <c r="A61" i="1"/>
  <c r="G1692" i="1" s="1"/>
  <c r="A62" i="1"/>
  <c r="A63" i="1"/>
  <c r="A64" i="1"/>
  <c r="A65" i="1"/>
  <c r="A66" i="1"/>
  <c r="A67" i="1"/>
  <c r="G1696" i="1" s="1"/>
  <c r="A68" i="1"/>
  <c r="A69" i="1"/>
  <c r="G1727" i="1" s="1"/>
  <c r="A70" i="1"/>
  <c r="A71" i="1"/>
  <c r="A72" i="1"/>
  <c r="A73" i="1"/>
  <c r="A74" i="1"/>
  <c r="A75" i="1"/>
  <c r="A76" i="1"/>
  <c r="G1679" i="1" s="1"/>
  <c r="A77" i="1"/>
  <c r="A78" i="1"/>
  <c r="A79" i="1"/>
  <c r="A80" i="1"/>
  <c r="A81" i="1"/>
  <c r="A82" i="1"/>
  <c r="A83" i="1"/>
  <c r="A84" i="1"/>
  <c r="G1671" i="1" s="1"/>
  <c r="A85" i="1"/>
  <c r="A86" i="1"/>
  <c r="A87" i="1"/>
  <c r="A88" i="1"/>
  <c r="A89" i="1"/>
  <c r="A90" i="1"/>
  <c r="A91" i="1"/>
  <c r="A92" i="1"/>
  <c r="G1663" i="1" s="1"/>
  <c r="A93" i="1"/>
  <c r="G1659" i="1" s="1"/>
  <c r="A94" i="1"/>
  <c r="A95" i="1"/>
  <c r="A96" i="1"/>
  <c r="A97" i="1"/>
  <c r="A98" i="1"/>
  <c r="A99" i="1"/>
  <c r="G1672" i="1" s="1"/>
  <c r="A100" i="1"/>
  <c r="G5" i="1" s="1"/>
  <c r="A101" i="1"/>
  <c r="G6" i="1" s="1"/>
  <c r="A102" i="1"/>
  <c r="G7" i="1" s="1"/>
  <c r="A103" i="1"/>
  <c r="A104" i="1"/>
  <c r="A105" i="1"/>
  <c r="G10" i="1" s="1"/>
  <c r="A106" i="1"/>
  <c r="A107" i="1"/>
  <c r="G12" i="1" s="1"/>
  <c r="A108" i="1"/>
  <c r="G13" i="1" s="1"/>
  <c r="A109" i="1"/>
  <c r="G14" i="1" s="1"/>
  <c r="A110" i="1"/>
  <c r="G15" i="1" s="1"/>
  <c r="A111" i="1"/>
  <c r="A112" i="1"/>
  <c r="A113" i="1"/>
  <c r="G18" i="1" s="1"/>
  <c r="A114" i="1"/>
  <c r="A115" i="1"/>
  <c r="G20" i="1" s="1"/>
  <c r="A116" i="1"/>
  <c r="A117" i="1"/>
  <c r="G22" i="1" s="1"/>
  <c r="A118" i="1"/>
  <c r="G23" i="1" s="1"/>
  <c r="A119" i="1"/>
  <c r="A120" i="1"/>
  <c r="A121" i="1"/>
  <c r="G26" i="1" s="1"/>
  <c r="A122" i="1"/>
  <c r="A123" i="1"/>
  <c r="G28" i="1" s="1"/>
  <c r="A124" i="1"/>
  <c r="A125" i="1"/>
  <c r="G30" i="1" s="1"/>
  <c r="A126" i="1"/>
  <c r="G31" i="1" s="1"/>
  <c r="A127" i="1"/>
  <c r="A128" i="1"/>
  <c r="A129" i="1"/>
  <c r="G34" i="1" s="1"/>
  <c r="A130" i="1"/>
  <c r="A131" i="1"/>
  <c r="G36" i="1" s="1"/>
  <c r="A132" i="1"/>
  <c r="A133" i="1"/>
  <c r="G38" i="1" s="1"/>
  <c r="A134" i="1"/>
  <c r="G39" i="1" s="1"/>
  <c r="A135" i="1"/>
  <c r="A136" i="1"/>
  <c r="A137" i="1"/>
  <c r="G42" i="1" s="1"/>
  <c r="A138" i="1"/>
  <c r="A139" i="1"/>
  <c r="G44" i="1" s="1"/>
  <c r="A140" i="1"/>
  <c r="A141" i="1"/>
  <c r="G46" i="1" s="1"/>
  <c r="A142" i="1"/>
  <c r="G47" i="1" s="1"/>
  <c r="A143" i="1"/>
  <c r="A144" i="1"/>
  <c r="A145" i="1"/>
  <c r="G50" i="1" s="1"/>
  <c r="A146" i="1"/>
  <c r="A147" i="1"/>
  <c r="G52" i="1" s="1"/>
  <c r="A148" i="1"/>
  <c r="A149" i="1"/>
  <c r="G54" i="1" s="1"/>
  <c r="A150" i="1"/>
  <c r="G55" i="1" s="1"/>
  <c r="A151" i="1"/>
  <c r="A152" i="1"/>
  <c r="A153" i="1"/>
  <c r="G58" i="1" s="1"/>
  <c r="A154" i="1"/>
  <c r="A155" i="1"/>
  <c r="G60" i="1" s="1"/>
  <c r="A156" i="1"/>
  <c r="A157" i="1"/>
  <c r="G62" i="1" s="1"/>
  <c r="A158" i="1"/>
  <c r="G63" i="1" s="1"/>
  <c r="A159" i="1"/>
  <c r="A160" i="1"/>
  <c r="A161" i="1"/>
  <c r="G66" i="1" s="1"/>
  <c r="A162" i="1"/>
  <c r="A163" i="1"/>
  <c r="G68" i="1" s="1"/>
  <c r="A164" i="1"/>
  <c r="A165" i="1"/>
  <c r="G70" i="1" s="1"/>
  <c r="A166" i="1"/>
  <c r="G71" i="1" s="1"/>
  <c r="A167" i="1"/>
  <c r="A168" i="1"/>
  <c r="A169" i="1"/>
  <c r="G74" i="1" s="1"/>
  <c r="A170" i="1"/>
  <c r="A171" i="1"/>
  <c r="G76" i="1" s="1"/>
  <c r="A172" i="1"/>
  <c r="A173" i="1"/>
  <c r="G78" i="1" s="1"/>
  <c r="A174" i="1"/>
  <c r="G79" i="1" s="1"/>
  <c r="A175" i="1"/>
  <c r="A176" i="1"/>
  <c r="A177" i="1"/>
  <c r="G82" i="1" s="1"/>
  <c r="A178" i="1"/>
  <c r="A179" i="1"/>
  <c r="G84" i="1" s="1"/>
  <c r="A180" i="1"/>
  <c r="A181" i="1"/>
  <c r="G86" i="1" s="1"/>
  <c r="A182" i="1"/>
  <c r="G87" i="1" s="1"/>
  <c r="A183" i="1"/>
  <c r="A184" i="1"/>
  <c r="A185" i="1"/>
  <c r="G90" i="1" s="1"/>
  <c r="A186" i="1"/>
  <c r="A187" i="1"/>
  <c r="G92" i="1" s="1"/>
  <c r="A188" i="1"/>
  <c r="A189" i="1"/>
  <c r="G94" i="1" s="1"/>
  <c r="A190" i="1"/>
  <c r="G95" i="1" s="1"/>
  <c r="A191" i="1"/>
  <c r="A192" i="1"/>
  <c r="A193" i="1"/>
  <c r="G98" i="1" s="1"/>
  <c r="A194" i="1"/>
  <c r="A195" i="1"/>
  <c r="G100" i="1" s="1"/>
  <c r="A196" i="1"/>
  <c r="A197" i="1"/>
  <c r="G102" i="1" s="1"/>
  <c r="A198" i="1"/>
  <c r="G103" i="1" s="1"/>
  <c r="A199" i="1"/>
  <c r="A200" i="1"/>
  <c r="A201" i="1"/>
  <c r="G106" i="1" s="1"/>
  <c r="A202" i="1"/>
  <c r="A203" i="1"/>
  <c r="G108" i="1" s="1"/>
  <c r="A204" i="1"/>
  <c r="A205" i="1"/>
  <c r="G110" i="1" s="1"/>
  <c r="A206" i="1"/>
  <c r="G111" i="1" s="1"/>
  <c r="A207" i="1"/>
  <c r="A208" i="1"/>
  <c r="A209" i="1"/>
  <c r="G114" i="1" s="1"/>
  <c r="A210" i="1"/>
  <c r="A211" i="1"/>
  <c r="G116" i="1" s="1"/>
  <c r="A212" i="1"/>
  <c r="A213" i="1"/>
  <c r="G118" i="1" s="1"/>
  <c r="A214" i="1"/>
  <c r="G119" i="1" s="1"/>
  <c r="A215" i="1"/>
  <c r="A216" i="1"/>
  <c r="A217" i="1"/>
  <c r="G122" i="1" s="1"/>
  <c r="A218" i="1"/>
  <c r="A219" i="1"/>
  <c r="G124" i="1" s="1"/>
  <c r="A220" i="1"/>
  <c r="A221" i="1"/>
  <c r="G126" i="1" s="1"/>
  <c r="A222" i="1"/>
  <c r="G127" i="1" s="1"/>
  <c r="A223" i="1"/>
  <c r="A224" i="1"/>
  <c r="A225" i="1"/>
  <c r="G130" i="1" s="1"/>
  <c r="A226" i="1"/>
  <c r="A227" i="1"/>
  <c r="G132" i="1" s="1"/>
  <c r="A228" i="1"/>
  <c r="A229" i="1"/>
  <c r="G134" i="1" s="1"/>
  <c r="A230" i="1"/>
  <c r="G135" i="1" s="1"/>
  <c r="A231" i="1"/>
  <c r="A232" i="1"/>
  <c r="A233" i="1"/>
  <c r="G138" i="1" s="1"/>
  <c r="A234" i="1"/>
  <c r="A235" i="1"/>
  <c r="G140" i="1" s="1"/>
  <c r="A236" i="1"/>
  <c r="A237" i="1"/>
  <c r="G142" i="1" s="1"/>
  <c r="A238" i="1"/>
  <c r="G143" i="1" s="1"/>
  <c r="A239" i="1"/>
  <c r="A240" i="1"/>
  <c r="A241" i="1"/>
  <c r="G146" i="1" s="1"/>
  <c r="A242" i="1"/>
  <c r="A243" i="1"/>
  <c r="G148" i="1" s="1"/>
  <c r="A244" i="1"/>
  <c r="A245" i="1"/>
  <c r="G150" i="1" s="1"/>
  <c r="A246" i="1"/>
  <c r="G151" i="1" s="1"/>
  <c r="A247" i="1"/>
  <c r="A248" i="1"/>
  <c r="A249" i="1"/>
  <c r="G154" i="1" s="1"/>
  <c r="A250" i="1"/>
  <c r="A251" i="1"/>
  <c r="G156" i="1" s="1"/>
  <c r="A252" i="1"/>
  <c r="A253" i="1"/>
  <c r="G158" i="1" s="1"/>
  <c r="A254" i="1"/>
  <c r="G159" i="1" s="1"/>
  <c r="A255" i="1"/>
  <c r="A256" i="1"/>
  <c r="A257" i="1"/>
  <c r="G162" i="1" s="1"/>
  <c r="A258" i="1"/>
  <c r="A259" i="1"/>
  <c r="G164" i="1" s="1"/>
  <c r="A260" i="1"/>
  <c r="A261" i="1"/>
  <c r="G166" i="1" s="1"/>
  <c r="A262" i="1"/>
  <c r="G167" i="1" s="1"/>
  <c r="A263" i="1"/>
  <c r="A264" i="1"/>
  <c r="A265" i="1"/>
  <c r="G170" i="1" s="1"/>
  <c r="A266" i="1"/>
  <c r="A267" i="1"/>
  <c r="G172" i="1" s="1"/>
  <c r="A268" i="1"/>
  <c r="A269" i="1"/>
  <c r="G174" i="1" s="1"/>
  <c r="A270" i="1"/>
  <c r="G175" i="1" s="1"/>
  <c r="A271" i="1"/>
  <c r="A272" i="1"/>
  <c r="A273" i="1"/>
  <c r="G178" i="1" s="1"/>
  <c r="A274" i="1"/>
  <c r="A275" i="1"/>
  <c r="G180" i="1" s="1"/>
  <c r="A276" i="1"/>
  <c r="A277" i="1"/>
  <c r="G182" i="1" s="1"/>
  <c r="A278" i="1"/>
  <c r="G183" i="1" s="1"/>
  <c r="A279" i="1"/>
  <c r="A280" i="1"/>
  <c r="A281" i="1"/>
  <c r="G186" i="1" s="1"/>
  <c r="A282" i="1"/>
  <c r="A283" i="1"/>
  <c r="G188" i="1" s="1"/>
  <c r="A284" i="1"/>
  <c r="A285" i="1"/>
  <c r="G190" i="1" s="1"/>
  <c r="A286" i="1"/>
  <c r="G191" i="1" s="1"/>
  <c r="A287" i="1"/>
  <c r="A288" i="1"/>
  <c r="A289" i="1"/>
  <c r="G194" i="1" s="1"/>
  <c r="A290" i="1"/>
  <c r="A291" i="1"/>
  <c r="G196" i="1" s="1"/>
  <c r="A292" i="1"/>
  <c r="A293" i="1"/>
  <c r="G198" i="1" s="1"/>
  <c r="A294" i="1"/>
  <c r="G199" i="1" s="1"/>
  <c r="A295" i="1"/>
  <c r="A296" i="1"/>
  <c r="A297" i="1"/>
  <c r="G202" i="1" s="1"/>
  <c r="A298" i="1"/>
  <c r="A299" i="1"/>
  <c r="G204" i="1" s="1"/>
  <c r="A300" i="1"/>
  <c r="A301" i="1"/>
  <c r="G206" i="1" s="1"/>
  <c r="A302" i="1"/>
  <c r="G207" i="1" s="1"/>
  <c r="A303" i="1"/>
  <c r="A304" i="1"/>
  <c r="A305" i="1"/>
  <c r="G210" i="1" s="1"/>
  <c r="A306" i="1"/>
  <c r="A307" i="1"/>
  <c r="G212" i="1" s="1"/>
  <c r="A308" i="1"/>
  <c r="A309" i="1"/>
  <c r="G214" i="1" s="1"/>
  <c r="A310" i="1"/>
  <c r="G215" i="1" s="1"/>
  <c r="A311" i="1"/>
  <c r="A312" i="1"/>
  <c r="A313" i="1"/>
  <c r="G218" i="1" s="1"/>
  <c r="A314" i="1"/>
  <c r="A315" i="1"/>
  <c r="G220" i="1" s="1"/>
  <c r="A316" i="1"/>
  <c r="A317" i="1"/>
  <c r="G222" i="1" s="1"/>
  <c r="A318" i="1"/>
  <c r="G223" i="1" s="1"/>
  <c r="A319" i="1"/>
  <c r="A320" i="1"/>
  <c r="A321" i="1"/>
  <c r="G226" i="1" s="1"/>
  <c r="A322" i="1"/>
  <c r="A323" i="1"/>
  <c r="G228" i="1" s="1"/>
  <c r="A324" i="1"/>
  <c r="A325" i="1"/>
  <c r="G230" i="1" s="1"/>
  <c r="A326" i="1"/>
  <c r="G231" i="1" s="1"/>
  <c r="A327" i="1"/>
  <c r="A328" i="1"/>
  <c r="A329" i="1"/>
  <c r="G234" i="1" s="1"/>
  <c r="A330" i="1"/>
  <c r="A331" i="1"/>
  <c r="G236" i="1" s="1"/>
  <c r="A332" i="1"/>
  <c r="A333" i="1"/>
  <c r="G238" i="1" s="1"/>
  <c r="A334" i="1"/>
  <c r="G239" i="1" s="1"/>
  <c r="A335" i="1"/>
  <c r="A336" i="1"/>
  <c r="A337" i="1"/>
  <c r="G242" i="1" s="1"/>
  <c r="A338" i="1"/>
  <c r="A339" i="1"/>
  <c r="G244" i="1" s="1"/>
  <c r="A340" i="1"/>
  <c r="A341" i="1"/>
  <c r="G246" i="1" s="1"/>
  <c r="A342" i="1"/>
  <c r="G247" i="1" s="1"/>
  <c r="A343" i="1"/>
  <c r="A344" i="1"/>
  <c r="A345" i="1"/>
  <c r="G250" i="1" s="1"/>
  <c r="A346" i="1"/>
  <c r="A347" i="1"/>
  <c r="G252" i="1" s="1"/>
  <c r="A348" i="1"/>
  <c r="A349" i="1"/>
  <c r="G254" i="1" s="1"/>
  <c r="A350" i="1"/>
  <c r="G255" i="1" s="1"/>
  <c r="A351" i="1"/>
  <c r="A352" i="1"/>
  <c r="A353" i="1"/>
  <c r="G258" i="1" s="1"/>
  <c r="A354" i="1"/>
  <c r="A355" i="1"/>
  <c r="G260" i="1" s="1"/>
  <c r="A356" i="1"/>
  <c r="A357" i="1"/>
  <c r="G262" i="1" s="1"/>
  <c r="A358" i="1"/>
  <c r="G263" i="1" s="1"/>
  <c r="A359" i="1"/>
  <c r="A360" i="1"/>
  <c r="A361" i="1"/>
  <c r="G266" i="1" s="1"/>
  <c r="A362" i="1"/>
  <c r="A363" i="1"/>
  <c r="G268" i="1" s="1"/>
  <c r="A364" i="1"/>
  <c r="A365" i="1"/>
  <c r="G270" i="1" s="1"/>
  <c r="A366" i="1"/>
  <c r="G271" i="1" s="1"/>
  <c r="A367" i="1"/>
  <c r="A368" i="1"/>
  <c r="A369" i="1"/>
  <c r="G274" i="1" s="1"/>
  <c r="A370" i="1"/>
  <c r="A371" i="1"/>
  <c r="G276" i="1" s="1"/>
  <c r="A372" i="1"/>
  <c r="A373" i="1"/>
  <c r="G278" i="1" s="1"/>
  <c r="A374" i="1"/>
  <c r="G279" i="1" s="1"/>
  <c r="A375" i="1"/>
  <c r="A376" i="1"/>
  <c r="A377" i="1"/>
  <c r="G282" i="1" s="1"/>
  <c r="A378" i="1"/>
  <c r="A379" i="1"/>
  <c r="G284" i="1" s="1"/>
  <c r="A380" i="1"/>
  <c r="A381" i="1"/>
  <c r="G286" i="1" s="1"/>
  <c r="A382" i="1"/>
  <c r="G287" i="1" s="1"/>
  <c r="A383" i="1"/>
  <c r="A384" i="1"/>
  <c r="A385" i="1"/>
  <c r="G290" i="1" s="1"/>
  <c r="A386" i="1"/>
  <c r="A387" i="1"/>
  <c r="G292" i="1" s="1"/>
  <c r="A388" i="1"/>
  <c r="A389" i="1"/>
  <c r="G294" i="1" s="1"/>
  <c r="A390" i="1"/>
  <c r="G295" i="1" s="1"/>
  <c r="A391" i="1"/>
  <c r="A392" i="1"/>
  <c r="A393" i="1"/>
  <c r="G298" i="1" s="1"/>
  <c r="A394" i="1"/>
  <c r="A395" i="1"/>
  <c r="G300" i="1" s="1"/>
  <c r="A396" i="1"/>
  <c r="A397" i="1"/>
  <c r="G302" i="1" s="1"/>
  <c r="A398" i="1"/>
  <c r="G303" i="1" s="1"/>
  <c r="A399" i="1"/>
  <c r="A400" i="1"/>
  <c r="A401" i="1"/>
  <c r="G306" i="1" s="1"/>
  <c r="A402" i="1"/>
  <c r="A403" i="1"/>
  <c r="G308" i="1" s="1"/>
  <c r="A404" i="1"/>
  <c r="A405" i="1"/>
  <c r="G310" i="1" s="1"/>
  <c r="A406" i="1"/>
  <c r="G311" i="1" s="1"/>
  <c r="A407" i="1"/>
  <c r="A408" i="1"/>
  <c r="A409" i="1"/>
  <c r="G314" i="1" s="1"/>
  <c r="A410" i="1"/>
  <c r="A411" i="1"/>
  <c r="G316" i="1" s="1"/>
  <c r="A412" i="1"/>
  <c r="A413" i="1"/>
  <c r="G318" i="1" s="1"/>
  <c r="A414" i="1"/>
  <c r="G319" i="1" s="1"/>
  <c r="A415" i="1"/>
  <c r="A416" i="1"/>
  <c r="A417" i="1"/>
  <c r="G322" i="1" s="1"/>
  <c r="A418" i="1"/>
  <c r="A419" i="1"/>
  <c r="G324" i="1" s="1"/>
  <c r="A420" i="1"/>
  <c r="A421" i="1"/>
  <c r="G326" i="1" s="1"/>
  <c r="A422" i="1"/>
  <c r="G327" i="1" s="1"/>
  <c r="A423" i="1"/>
  <c r="A424" i="1"/>
  <c r="A425" i="1"/>
  <c r="G330" i="1" s="1"/>
  <c r="A426" i="1"/>
  <c r="A427" i="1"/>
  <c r="G332" i="1" s="1"/>
  <c r="A428" i="1"/>
  <c r="A429" i="1"/>
  <c r="G334" i="1" s="1"/>
  <c r="A430" i="1"/>
  <c r="G335" i="1" s="1"/>
  <c r="A431" i="1"/>
  <c r="A432" i="1"/>
  <c r="A433" i="1"/>
  <c r="G338" i="1" s="1"/>
  <c r="A434" i="1"/>
  <c r="A435" i="1"/>
  <c r="G340" i="1" s="1"/>
  <c r="A436" i="1"/>
  <c r="A437" i="1"/>
  <c r="G342" i="1" s="1"/>
  <c r="A438" i="1"/>
  <c r="G343" i="1" s="1"/>
  <c r="A439" i="1"/>
  <c r="A440" i="1"/>
  <c r="A441" i="1"/>
  <c r="G346" i="1" s="1"/>
  <c r="A442" i="1"/>
  <c r="A443" i="1"/>
  <c r="G348" i="1" s="1"/>
  <c r="A444" i="1"/>
  <c r="A445" i="1"/>
  <c r="G350" i="1" s="1"/>
  <c r="A446" i="1"/>
  <c r="G351" i="1" s="1"/>
  <c r="A447" i="1"/>
  <c r="A448" i="1"/>
  <c r="A449" i="1"/>
  <c r="G354" i="1" s="1"/>
  <c r="A450" i="1"/>
  <c r="A451" i="1"/>
  <c r="G356" i="1" s="1"/>
  <c r="A452" i="1"/>
  <c r="A453" i="1"/>
  <c r="G358" i="1" s="1"/>
  <c r="A454" i="1"/>
  <c r="G359" i="1" s="1"/>
  <c r="A455" i="1"/>
  <c r="A456" i="1"/>
  <c r="A457" i="1"/>
  <c r="G362" i="1" s="1"/>
  <c r="A458" i="1"/>
  <c r="A459" i="1"/>
  <c r="G364" i="1" s="1"/>
  <c r="A460" i="1"/>
  <c r="A461" i="1"/>
  <c r="G366" i="1" s="1"/>
  <c r="A462" i="1"/>
  <c r="G367" i="1" s="1"/>
  <c r="A463" i="1"/>
  <c r="A464" i="1"/>
  <c r="A465" i="1"/>
  <c r="G370" i="1" s="1"/>
  <c r="A466" i="1"/>
  <c r="A467" i="1"/>
  <c r="G372" i="1" s="1"/>
  <c r="A468" i="1"/>
  <c r="A469" i="1"/>
  <c r="G374" i="1" s="1"/>
  <c r="A470" i="1"/>
  <c r="G375" i="1" s="1"/>
  <c r="A471" i="1"/>
  <c r="A472" i="1"/>
  <c r="A473" i="1"/>
  <c r="G378" i="1" s="1"/>
  <c r="A474" i="1"/>
  <c r="A475" i="1"/>
  <c r="G380" i="1" s="1"/>
  <c r="A476" i="1"/>
  <c r="A477" i="1"/>
  <c r="G382" i="1" s="1"/>
  <c r="A478" i="1"/>
  <c r="G383" i="1" s="1"/>
  <c r="A479" i="1"/>
  <c r="A480" i="1"/>
  <c r="A481" i="1"/>
  <c r="G386" i="1" s="1"/>
  <c r="A482" i="1"/>
  <c r="A483" i="1"/>
  <c r="G388" i="1" s="1"/>
  <c r="A484" i="1"/>
  <c r="A485" i="1"/>
  <c r="G390" i="1" s="1"/>
  <c r="A486" i="1"/>
  <c r="G391" i="1" s="1"/>
  <c r="A487" i="1"/>
  <c r="A488" i="1"/>
  <c r="A489" i="1"/>
  <c r="G394" i="1" s="1"/>
  <c r="A490" i="1"/>
  <c r="A491" i="1"/>
  <c r="G396" i="1" s="1"/>
  <c r="A492" i="1"/>
  <c r="A493" i="1"/>
  <c r="G398" i="1" s="1"/>
  <c r="A494" i="1"/>
  <c r="G399" i="1" s="1"/>
  <c r="A495" i="1"/>
  <c r="A496" i="1"/>
  <c r="A497" i="1"/>
  <c r="G402" i="1" s="1"/>
  <c r="A498" i="1"/>
  <c r="A499" i="1"/>
  <c r="G404" i="1" s="1"/>
  <c r="A500" i="1"/>
  <c r="A501" i="1"/>
  <c r="G406" i="1" s="1"/>
  <c r="A502" i="1"/>
  <c r="G407" i="1" s="1"/>
  <c r="A503" i="1"/>
  <c r="A504" i="1"/>
  <c r="A505" i="1"/>
  <c r="G410" i="1" s="1"/>
  <c r="A506" i="1"/>
  <c r="A507" i="1"/>
  <c r="G412" i="1" s="1"/>
  <c r="A508" i="1"/>
  <c r="A509" i="1"/>
  <c r="G414" i="1" s="1"/>
  <c r="A510" i="1"/>
  <c r="G415" i="1" s="1"/>
  <c r="A511" i="1"/>
  <c r="A512" i="1"/>
  <c r="A513" i="1"/>
  <c r="G418" i="1" s="1"/>
  <c r="A514" i="1"/>
  <c r="A515" i="1"/>
  <c r="G420" i="1" s="1"/>
  <c r="A516" i="1"/>
  <c r="A517" i="1"/>
  <c r="G422" i="1" s="1"/>
  <c r="A518" i="1"/>
  <c r="G423" i="1" s="1"/>
  <c r="A519" i="1"/>
  <c r="A520" i="1"/>
  <c r="A521" i="1"/>
  <c r="G426" i="1" s="1"/>
  <c r="A522" i="1"/>
  <c r="A523" i="1"/>
  <c r="G428" i="1" s="1"/>
  <c r="A524" i="1"/>
  <c r="A525" i="1"/>
  <c r="G430" i="1" s="1"/>
  <c r="A526" i="1"/>
  <c r="G431" i="1" s="1"/>
  <c r="A527" i="1"/>
  <c r="A528" i="1"/>
  <c r="A529" i="1"/>
  <c r="G434" i="1" s="1"/>
  <c r="A530" i="1"/>
  <c r="A531" i="1"/>
  <c r="G436" i="1" s="1"/>
  <c r="A532" i="1"/>
  <c r="A533" i="1"/>
  <c r="G438" i="1" s="1"/>
  <c r="A534" i="1"/>
  <c r="G439" i="1" s="1"/>
  <c r="A535" i="1"/>
  <c r="A536" i="1"/>
  <c r="A537" i="1"/>
  <c r="G442" i="1" s="1"/>
  <c r="A538" i="1"/>
  <c r="A539" i="1"/>
  <c r="G444" i="1" s="1"/>
  <c r="A540" i="1"/>
  <c r="A541" i="1"/>
  <c r="G446" i="1" s="1"/>
  <c r="A542" i="1"/>
  <c r="G447" i="1" s="1"/>
  <c r="A543" i="1"/>
  <c r="A544" i="1"/>
  <c r="A545" i="1"/>
  <c r="G450" i="1" s="1"/>
  <c r="A546" i="1"/>
  <c r="A547" i="1"/>
  <c r="G452" i="1" s="1"/>
  <c r="A548" i="1"/>
  <c r="A549" i="1"/>
  <c r="G454" i="1" s="1"/>
  <c r="A550" i="1"/>
  <c r="G455" i="1" s="1"/>
  <c r="A551" i="1"/>
  <c r="A552" i="1"/>
  <c r="A553" i="1"/>
  <c r="G458" i="1" s="1"/>
  <c r="A554" i="1"/>
  <c r="A555" i="1"/>
  <c r="G460" i="1" s="1"/>
  <c r="A556" i="1"/>
  <c r="A557" i="1"/>
  <c r="G462" i="1" s="1"/>
  <c r="A558" i="1"/>
  <c r="G463" i="1" s="1"/>
  <c r="A559" i="1"/>
  <c r="A560" i="1"/>
  <c r="A561" i="1"/>
  <c r="G466" i="1" s="1"/>
  <c r="A562" i="1"/>
  <c r="A563" i="1"/>
  <c r="G468" i="1" s="1"/>
  <c r="A564" i="1"/>
  <c r="A565" i="1"/>
  <c r="G470" i="1" s="1"/>
  <c r="A566" i="1"/>
  <c r="G471" i="1" s="1"/>
  <c r="A567" i="1"/>
  <c r="A568" i="1"/>
  <c r="A569" i="1"/>
  <c r="G474" i="1" s="1"/>
  <c r="A570" i="1"/>
  <c r="A571" i="1"/>
  <c r="G476" i="1" s="1"/>
  <c r="A572" i="1"/>
  <c r="A573" i="1"/>
  <c r="G478" i="1" s="1"/>
  <c r="A574" i="1"/>
  <c r="G479" i="1" s="1"/>
  <c r="A575" i="1"/>
  <c r="A576" i="1"/>
  <c r="A577" i="1"/>
  <c r="G482" i="1" s="1"/>
  <c r="A578" i="1"/>
  <c r="A579" i="1"/>
  <c r="G484" i="1" s="1"/>
  <c r="A580" i="1"/>
  <c r="A581" i="1"/>
  <c r="G486" i="1" s="1"/>
  <c r="A582" i="1"/>
  <c r="G487" i="1" s="1"/>
  <c r="A583" i="1"/>
  <c r="A584" i="1"/>
  <c r="A585" i="1"/>
  <c r="G490" i="1" s="1"/>
  <c r="A586" i="1"/>
  <c r="A587" i="1"/>
  <c r="G492" i="1" s="1"/>
  <c r="A588" i="1"/>
  <c r="A589" i="1"/>
  <c r="G494" i="1" s="1"/>
  <c r="A590" i="1"/>
  <c r="G495" i="1" s="1"/>
  <c r="A591" i="1"/>
  <c r="A592" i="1"/>
  <c r="A593" i="1"/>
  <c r="G498" i="1" s="1"/>
  <c r="A594" i="1"/>
  <c r="A595" i="1"/>
  <c r="G500" i="1" s="1"/>
  <c r="A596" i="1"/>
  <c r="A597" i="1"/>
  <c r="G502" i="1" s="1"/>
  <c r="A598" i="1"/>
  <c r="G503" i="1" s="1"/>
  <c r="A599" i="1"/>
  <c r="A600" i="1"/>
  <c r="A601" i="1"/>
  <c r="G506" i="1" s="1"/>
  <c r="A602" i="1"/>
  <c r="A603" i="1"/>
  <c r="G508" i="1" s="1"/>
  <c r="A604" i="1"/>
  <c r="A605" i="1"/>
  <c r="G510" i="1" s="1"/>
  <c r="A606" i="1"/>
  <c r="G511" i="1" s="1"/>
  <c r="A607" i="1"/>
  <c r="A608" i="1"/>
  <c r="A609" i="1"/>
  <c r="G514" i="1" s="1"/>
  <c r="A610" i="1"/>
  <c r="A611" i="1"/>
  <c r="G516" i="1" s="1"/>
  <c r="A612" i="1"/>
  <c r="A613" i="1"/>
  <c r="G518" i="1" s="1"/>
  <c r="A614" i="1"/>
  <c r="G519" i="1" s="1"/>
  <c r="A615" i="1"/>
  <c r="A616" i="1"/>
  <c r="A617" i="1"/>
  <c r="G522" i="1" s="1"/>
  <c r="A618" i="1"/>
  <c r="A619" i="1"/>
  <c r="G524" i="1" s="1"/>
  <c r="A620" i="1"/>
  <c r="A621" i="1"/>
  <c r="G526" i="1" s="1"/>
  <c r="A622" i="1"/>
  <c r="G527" i="1" s="1"/>
  <c r="A623" i="1"/>
  <c r="A624" i="1"/>
  <c r="A625" i="1"/>
  <c r="G530" i="1" s="1"/>
  <c r="A626" i="1"/>
  <c r="A627" i="1"/>
  <c r="G532" i="1" s="1"/>
  <c r="A628" i="1"/>
  <c r="A629" i="1"/>
  <c r="G534" i="1" s="1"/>
  <c r="A630" i="1"/>
  <c r="G535" i="1" s="1"/>
  <c r="A631" i="1"/>
  <c r="A632" i="1"/>
  <c r="A633" i="1"/>
  <c r="G538" i="1" s="1"/>
  <c r="A634" i="1"/>
  <c r="A635" i="1"/>
  <c r="G540" i="1" s="1"/>
  <c r="A636" i="1"/>
  <c r="A637" i="1"/>
  <c r="G542" i="1" s="1"/>
  <c r="A638" i="1"/>
  <c r="G543" i="1" s="1"/>
  <c r="A639" i="1"/>
  <c r="A640" i="1"/>
  <c r="A641" i="1"/>
  <c r="G546" i="1" s="1"/>
  <c r="A642" i="1"/>
  <c r="A643" i="1"/>
  <c r="G548" i="1" s="1"/>
  <c r="A644" i="1"/>
  <c r="A645" i="1"/>
  <c r="G550" i="1" s="1"/>
  <c r="A646" i="1"/>
  <c r="G551" i="1" s="1"/>
  <c r="A647" i="1"/>
  <c r="A648" i="1"/>
  <c r="A649" i="1"/>
  <c r="G554" i="1" s="1"/>
  <c r="A650" i="1"/>
  <c r="A651" i="1"/>
  <c r="G556" i="1" s="1"/>
  <c r="A652" i="1"/>
  <c r="A653" i="1"/>
  <c r="G558" i="1" s="1"/>
  <c r="A654" i="1"/>
  <c r="G559" i="1" s="1"/>
  <c r="A655" i="1"/>
  <c r="A656" i="1"/>
  <c r="A657" i="1"/>
  <c r="G562" i="1" s="1"/>
  <c r="A658" i="1"/>
  <c r="A659" i="1"/>
  <c r="G564" i="1" s="1"/>
  <c r="A660" i="1"/>
  <c r="A661" i="1"/>
  <c r="G566" i="1" s="1"/>
  <c r="A662" i="1"/>
  <c r="G567" i="1" s="1"/>
  <c r="A663" i="1"/>
  <c r="A664" i="1"/>
  <c r="A665" i="1"/>
  <c r="G570" i="1" s="1"/>
  <c r="A666" i="1"/>
  <c r="A667" i="1"/>
  <c r="G572" i="1" s="1"/>
  <c r="A668" i="1"/>
  <c r="A669" i="1"/>
  <c r="G574" i="1" s="1"/>
  <c r="A670" i="1"/>
  <c r="G575" i="1" s="1"/>
  <c r="A671" i="1"/>
  <c r="A672" i="1"/>
  <c r="A673" i="1"/>
  <c r="G578" i="1" s="1"/>
  <c r="A674" i="1"/>
  <c r="A675" i="1"/>
  <c r="G580" i="1" s="1"/>
  <c r="A676" i="1"/>
  <c r="A677" i="1"/>
  <c r="G582" i="1" s="1"/>
  <c r="A678" i="1"/>
  <c r="G583" i="1" s="1"/>
  <c r="A679" i="1"/>
  <c r="A680" i="1"/>
  <c r="A681" i="1"/>
  <c r="G586" i="1" s="1"/>
  <c r="A682" i="1"/>
  <c r="A683" i="1"/>
  <c r="G588" i="1" s="1"/>
  <c r="A684" i="1"/>
  <c r="A685" i="1"/>
  <c r="G590" i="1" s="1"/>
  <c r="A686" i="1"/>
  <c r="G591" i="1" s="1"/>
  <c r="A687" i="1"/>
  <c r="A688" i="1"/>
  <c r="A689" i="1"/>
  <c r="G594" i="1" s="1"/>
  <c r="A690" i="1"/>
  <c r="A691" i="1"/>
  <c r="G596" i="1" s="1"/>
  <c r="A692" i="1"/>
  <c r="A693" i="1"/>
  <c r="G598" i="1" s="1"/>
  <c r="A694" i="1"/>
  <c r="G599" i="1" s="1"/>
  <c r="A695" i="1"/>
  <c r="A696" i="1"/>
  <c r="A697" i="1"/>
  <c r="G602" i="1" s="1"/>
  <c r="A698" i="1"/>
  <c r="A699" i="1"/>
  <c r="G604" i="1" s="1"/>
  <c r="A700" i="1"/>
  <c r="A701" i="1"/>
  <c r="G606" i="1" s="1"/>
  <c r="A702" i="1"/>
  <c r="G607" i="1" s="1"/>
  <c r="A703" i="1"/>
  <c r="A704" i="1"/>
  <c r="A705" i="1"/>
  <c r="G610" i="1" s="1"/>
  <c r="A706" i="1"/>
  <c r="A707" i="1"/>
  <c r="G612" i="1" s="1"/>
  <c r="A708" i="1"/>
  <c r="A709" i="1"/>
  <c r="G614" i="1" s="1"/>
  <c r="A710" i="1"/>
  <c r="G615" i="1" s="1"/>
  <c r="A711" i="1"/>
  <c r="A712" i="1"/>
  <c r="A713" i="1"/>
  <c r="G618" i="1" s="1"/>
  <c r="A714" i="1"/>
  <c r="A715" i="1"/>
  <c r="G620" i="1" s="1"/>
  <c r="A716" i="1"/>
  <c r="A717" i="1"/>
  <c r="G622" i="1" s="1"/>
  <c r="A718" i="1"/>
  <c r="G623" i="1" s="1"/>
  <c r="A719" i="1"/>
  <c r="A720" i="1"/>
  <c r="A721" i="1"/>
  <c r="G626" i="1" s="1"/>
  <c r="A722" i="1"/>
  <c r="A723" i="1"/>
  <c r="G628" i="1" s="1"/>
  <c r="A724" i="1"/>
  <c r="A725" i="1"/>
  <c r="G630" i="1" s="1"/>
  <c r="A726" i="1"/>
  <c r="G631" i="1" s="1"/>
  <c r="A727" i="1"/>
  <c r="A728" i="1"/>
  <c r="A729" i="1"/>
  <c r="G634" i="1" s="1"/>
  <c r="A730" i="1"/>
  <c r="A731" i="1"/>
  <c r="G636" i="1" s="1"/>
  <c r="A732" i="1"/>
  <c r="G637" i="1" s="1"/>
  <c r="A733" i="1"/>
  <c r="G638" i="1" s="1"/>
  <c r="A734" i="1"/>
  <c r="G639" i="1" s="1"/>
  <c r="A735" i="1"/>
  <c r="A736" i="1"/>
  <c r="A737" i="1"/>
  <c r="G642" i="1" s="1"/>
  <c r="A738" i="1"/>
  <c r="A739" i="1"/>
  <c r="G644" i="1" s="1"/>
  <c r="A740" i="1"/>
  <c r="A741" i="1"/>
  <c r="G646" i="1" s="1"/>
  <c r="A742" i="1"/>
  <c r="G647" i="1" s="1"/>
  <c r="A743" i="1"/>
  <c r="A744" i="1"/>
  <c r="A745" i="1"/>
  <c r="G650" i="1" s="1"/>
  <c r="A746" i="1"/>
  <c r="A747" i="1"/>
  <c r="G652" i="1" s="1"/>
  <c r="A748" i="1"/>
  <c r="A749" i="1"/>
  <c r="G654" i="1" s="1"/>
  <c r="A750" i="1"/>
  <c r="G655" i="1" s="1"/>
  <c r="A751" i="1"/>
  <c r="A752" i="1"/>
  <c r="A753" i="1"/>
  <c r="G658" i="1" s="1"/>
  <c r="A754" i="1"/>
  <c r="A755" i="1"/>
  <c r="G660" i="1" s="1"/>
  <c r="A756" i="1"/>
  <c r="A757" i="1"/>
  <c r="G662" i="1" s="1"/>
  <c r="A758" i="1"/>
  <c r="G663" i="1" s="1"/>
  <c r="A759" i="1"/>
  <c r="A760" i="1"/>
  <c r="A761" i="1"/>
  <c r="G666" i="1" s="1"/>
  <c r="A762" i="1"/>
  <c r="A763" i="1"/>
  <c r="G668" i="1" s="1"/>
  <c r="A764" i="1"/>
  <c r="A765" i="1"/>
  <c r="G670" i="1" s="1"/>
  <c r="A766" i="1"/>
  <c r="G671" i="1" s="1"/>
  <c r="A767" i="1"/>
  <c r="A768" i="1"/>
  <c r="A769" i="1"/>
  <c r="G674" i="1" s="1"/>
  <c r="A770" i="1"/>
  <c r="A771" i="1"/>
  <c r="G676" i="1" s="1"/>
  <c r="A772" i="1"/>
  <c r="A773" i="1"/>
  <c r="G678" i="1" s="1"/>
  <c r="A774" i="1"/>
  <c r="G679" i="1" s="1"/>
  <c r="A775" i="1"/>
  <c r="A776" i="1"/>
  <c r="A777" i="1"/>
  <c r="G682" i="1" s="1"/>
  <c r="A778" i="1"/>
  <c r="A779" i="1"/>
  <c r="G684" i="1" s="1"/>
  <c r="A780" i="1"/>
  <c r="A781" i="1"/>
  <c r="G686" i="1" s="1"/>
  <c r="A782" i="1"/>
  <c r="G687" i="1" s="1"/>
  <c r="A783" i="1"/>
  <c r="A784" i="1"/>
  <c r="A785" i="1"/>
  <c r="G690" i="1" s="1"/>
  <c r="A786" i="1"/>
  <c r="A787" i="1"/>
  <c r="G692" i="1" s="1"/>
  <c r="A788" i="1"/>
  <c r="A789" i="1"/>
  <c r="G694" i="1" s="1"/>
  <c r="A790" i="1"/>
  <c r="G695" i="1" s="1"/>
  <c r="A791" i="1"/>
  <c r="A792" i="1"/>
  <c r="A793" i="1"/>
  <c r="G698" i="1" s="1"/>
  <c r="A794" i="1"/>
  <c r="A795" i="1"/>
  <c r="G700" i="1" s="1"/>
  <c r="A796" i="1"/>
  <c r="A797" i="1"/>
  <c r="G702" i="1" s="1"/>
  <c r="A798" i="1"/>
  <c r="G703" i="1" s="1"/>
  <c r="A799" i="1"/>
  <c r="A800" i="1"/>
  <c r="A801" i="1"/>
  <c r="G706" i="1" s="1"/>
  <c r="A802" i="1"/>
  <c r="A803" i="1"/>
  <c r="G708" i="1" s="1"/>
  <c r="A804" i="1"/>
  <c r="A805" i="1"/>
  <c r="G710" i="1" s="1"/>
  <c r="A806" i="1"/>
  <c r="G711" i="1" s="1"/>
  <c r="A807" i="1"/>
  <c r="A808" i="1"/>
  <c r="A809" i="1"/>
  <c r="G714" i="1" s="1"/>
  <c r="A810" i="1"/>
  <c r="A811" i="1"/>
  <c r="G716" i="1" s="1"/>
  <c r="A812" i="1"/>
  <c r="A813" i="1"/>
  <c r="G718" i="1" s="1"/>
  <c r="A814" i="1"/>
  <c r="G719" i="1" s="1"/>
  <c r="A815" i="1"/>
  <c r="A816" i="1"/>
  <c r="A817" i="1"/>
  <c r="G722" i="1" s="1"/>
  <c r="A818" i="1"/>
  <c r="A819" i="1"/>
  <c r="G724" i="1" s="1"/>
  <c r="A820" i="1"/>
  <c r="A821" i="1"/>
  <c r="G726" i="1" s="1"/>
  <c r="A822" i="1"/>
  <c r="G727" i="1" s="1"/>
  <c r="A823" i="1"/>
  <c r="A824" i="1"/>
  <c r="A825" i="1"/>
  <c r="G730" i="1" s="1"/>
  <c r="A826" i="1"/>
  <c r="A827" i="1"/>
  <c r="A828" i="1"/>
  <c r="A829" i="1"/>
  <c r="G734" i="1" s="1"/>
  <c r="A830" i="1"/>
  <c r="G735" i="1" s="1"/>
  <c r="A831" i="1"/>
  <c r="A832" i="1"/>
  <c r="A833" i="1"/>
  <c r="G738" i="1" s="1"/>
  <c r="A834" i="1"/>
  <c r="A835" i="1"/>
  <c r="A836" i="1"/>
  <c r="A837" i="1"/>
  <c r="G742" i="1" s="1"/>
  <c r="A838" i="1"/>
  <c r="G743" i="1" s="1"/>
  <c r="A839" i="1"/>
  <c r="A840" i="1"/>
  <c r="A841" i="1"/>
  <c r="G746" i="1" s="1"/>
  <c r="A842" i="1"/>
  <c r="A843" i="1"/>
  <c r="A844" i="1"/>
  <c r="A845" i="1"/>
  <c r="G750" i="1" s="1"/>
  <c r="A846" i="1"/>
  <c r="G751" i="1" s="1"/>
  <c r="A847" i="1"/>
  <c r="A848" i="1"/>
  <c r="A849" i="1"/>
  <c r="G754" i="1" s="1"/>
  <c r="A850" i="1"/>
  <c r="A851" i="1"/>
  <c r="A852" i="1"/>
  <c r="A853" i="1"/>
  <c r="G758" i="1" s="1"/>
  <c r="A854" i="1"/>
  <c r="G759" i="1" s="1"/>
  <c r="A855" i="1"/>
  <c r="A856" i="1"/>
  <c r="A857" i="1"/>
  <c r="G762" i="1" s="1"/>
  <c r="A858" i="1"/>
  <c r="A859" i="1"/>
  <c r="A860" i="1"/>
  <c r="A861" i="1"/>
  <c r="G766" i="1" s="1"/>
  <c r="A862" i="1"/>
  <c r="G767" i="1" s="1"/>
  <c r="A863" i="1"/>
  <c r="A864" i="1"/>
  <c r="A865" i="1"/>
  <c r="G770" i="1" s="1"/>
  <c r="A866" i="1"/>
  <c r="A867" i="1"/>
  <c r="A868" i="1"/>
  <c r="A869" i="1"/>
  <c r="G774" i="1" s="1"/>
  <c r="A870" i="1"/>
  <c r="G775" i="1" s="1"/>
  <c r="A871" i="1"/>
  <c r="A872" i="1"/>
  <c r="A873" i="1"/>
  <c r="G778" i="1" s="1"/>
  <c r="A874" i="1"/>
  <c r="A875" i="1"/>
  <c r="A876" i="1"/>
  <c r="A877" i="1"/>
  <c r="G782" i="1" s="1"/>
  <c r="A878" i="1"/>
  <c r="G783" i="1" s="1"/>
  <c r="A879" i="1"/>
  <c r="A880" i="1"/>
  <c r="A881" i="1"/>
  <c r="G786" i="1" s="1"/>
  <c r="A882" i="1"/>
  <c r="A883" i="1"/>
  <c r="A884" i="1"/>
  <c r="A885" i="1"/>
  <c r="G790" i="1" s="1"/>
  <c r="A886" i="1"/>
  <c r="G791" i="1" s="1"/>
  <c r="A887" i="1"/>
  <c r="A888" i="1"/>
  <c r="A889" i="1"/>
  <c r="G794" i="1" s="1"/>
  <c r="A890" i="1"/>
  <c r="A891" i="1"/>
  <c r="A892" i="1"/>
  <c r="A893" i="1"/>
  <c r="G798" i="1" s="1"/>
  <c r="A894" i="1"/>
  <c r="G799" i="1" s="1"/>
  <c r="A895" i="1"/>
  <c r="A896" i="1"/>
  <c r="A897" i="1"/>
  <c r="G802" i="1" s="1"/>
  <c r="A898" i="1"/>
  <c r="A899" i="1"/>
  <c r="A900" i="1"/>
  <c r="A901" i="1"/>
  <c r="G806" i="1" s="1"/>
  <c r="A902" i="1"/>
  <c r="G807" i="1" s="1"/>
  <c r="A903" i="1"/>
  <c r="A904" i="1"/>
  <c r="A905" i="1"/>
  <c r="G810" i="1" s="1"/>
  <c r="A906" i="1"/>
  <c r="A907" i="1"/>
  <c r="A908" i="1"/>
  <c r="A909" i="1"/>
  <c r="G814" i="1" s="1"/>
  <c r="A910" i="1"/>
  <c r="G815" i="1" s="1"/>
  <c r="A911" i="1"/>
  <c r="A912" i="1"/>
  <c r="A913" i="1"/>
  <c r="G818" i="1" s="1"/>
  <c r="A914" i="1"/>
  <c r="A915" i="1"/>
  <c r="A916" i="1"/>
  <c r="A917" i="1"/>
  <c r="G822" i="1" s="1"/>
  <c r="A918" i="1"/>
  <c r="G823" i="1" s="1"/>
  <c r="A919" i="1"/>
  <c r="A920" i="1"/>
  <c r="A921" i="1"/>
  <c r="G826" i="1" s="1"/>
  <c r="A922" i="1"/>
  <c r="A923" i="1"/>
  <c r="A924" i="1"/>
  <c r="A925" i="1"/>
  <c r="G830" i="1" s="1"/>
  <c r="A926" i="1"/>
  <c r="G831" i="1" s="1"/>
  <c r="A927" i="1"/>
  <c r="A928" i="1"/>
  <c r="A929" i="1"/>
  <c r="G834" i="1" s="1"/>
  <c r="A930" i="1"/>
  <c r="A931" i="1"/>
  <c r="A932" i="1"/>
  <c r="A933" i="1"/>
  <c r="G838" i="1" s="1"/>
  <c r="A934" i="1"/>
  <c r="G839" i="1" s="1"/>
  <c r="A935" i="1"/>
  <c r="A936" i="1"/>
  <c r="A937" i="1"/>
  <c r="G842" i="1" s="1"/>
  <c r="A938" i="1"/>
  <c r="A939" i="1"/>
  <c r="A940" i="1"/>
  <c r="A941" i="1"/>
  <c r="G846" i="1" s="1"/>
  <c r="A942" i="1"/>
  <c r="G847" i="1" s="1"/>
  <c r="A943" i="1"/>
  <c r="A944" i="1"/>
  <c r="A945" i="1"/>
  <c r="G850" i="1" s="1"/>
  <c r="A946" i="1"/>
  <c r="A947" i="1"/>
  <c r="A948" i="1"/>
  <c r="A949" i="1"/>
  <c r="G854" i="1" s="1"/>
  <c r="A950" i="1"/>
  <c r="G855" i="1" s="1"/>
  <c r="A951" i="1"/>
  <c r="A952" i="1"/>
  <c r="A953" i="1"/>
  <c r="G858" i="1" s="1"/>
  <c r="A954" i="1"/>
  <c r="A955" i="1"/>
  <c r="A956" i="1"/>
  <c r="A957" i="1"/>
  <c r="G862" i="1" s="1"/>
  <c r="A958" i="1"/>
  <c r="G863" i="1" s="1"/>
  <c r="A959" i="1"/>
  <c r="A960" i="1"/>
  <c r="A961" i="1"/>
  <c r="G866" i="1" s="1"/>
  <c r="A962" i="1"/>
  <c r="A963" i="1"/>
  <c r="A964" i="1"/>
  <c r="A965" i="1"/>
  <c r="G870" i="1" s="1"/>
  <c r="A966" i="1"/>
  <c r="G871" i="1" s="1"/>
  <c r="A967" i="1"/>
  <c r="A968" i="1"/>
  <c r="A969" i="1"/>
  <c r="G874" i="1" s="1"/>
  <c r="A970" i="1"/>
  <c r="A971" i="1"/>
  <c r="A972" i="1"/>
  <c r="A973" i="1"/>
  <c r="G878" i="1" s="1"/>
  <c r="A974" i="1"/>
  <c r="G879" i="1" s="1"/>
  <c r="A975" i="1"/>
  <c r="A976" i="1"/>
  <c r="A977" i="1"/>
  <c r="G882" i="1" s="1"/>
  <c r="A978" i="1"/>
  <c r="A979" i="1"/>
  <c r="A980" i="1"/>
  <c r="A981" i="1"/>
  <c r="G886" i="1" s="1"/>
  <c r="A982" i="1"/>
  <c r="G887" i="1" s="1"/>
  <c r="A983" i="1"/>
  <c r="A984" i="1"/>
  <c r="A985" i="1"/>
  <c r="G890" i="1" s="1"/>
  <c r="A986" i="1"/>
  <c r="A987" i="1"/>
  <c r="A988" i="1"/>
  <c r="A989" i="1"/>
  <c r="G894" i="1" s="1"/>
  <c r="A990" i="1"/>
  <c r="G895" i="1" s="1"/>
  <c r="A991" i="1"/>
  <c r="A992" i="1"/>
  <c r="A993" i="1"/>
  <c r="G898" i="1" s="1"/>
  <c r="A994" i="1"/>
  <c r="A995" i="1"/>
  <c r="A996" i="1"/>
  <c r="A997" i="1"/>
  <c r="G902" i="1" s="1"/>
  <c r="A998" i="1"/>
  <c r="G903" i="1" s="1"/>
  <c r="A999" i="1"/>
  <c r="A1000" i="1"/>
  <c r="A1001" i="1"/>
  <c r="G906" i="1" s="1"/>
  <c r="A1002" i="1"/>
  <c r="A1003" i="1"/>
  <c r="A1004" i="1"/>
  <c r="A1005" i="1"/>
  <c r="G910" i="1" s="1"/>
  <c r="A1006" i="1"/>
  <c r="G911" i="1" s="1"/>
  <c r="A1007" i="1"/>
  <c r="A1008" i="1"/>
  <c r="A1009" i="1"/>
  <c r="G914" i="1" s="1"/>
  <c r="A1010" i="1"/>
  <c r="A1011" i="1"/>
  <c r="A1012" i="1"/>
  <c r="A1013" i="1"/>
  <c r="G918" i="1" s="1"/>
  <c r="A1014" i="1"/>
  <c r="G919" i="1" s="1"/>
  <c r="A1015" i="1"/>
  <c r="A1016" i="1"/>
  <c r="A1017" i="1"/>
  <c r="G922" i="1" s="1"/>
  <c r="A1018" i="1"/>
  <c r="A1019" i="1"/>
  <c r="A1020" i="1"/>
  <c r="A1021" i="1"/>
  <c r="G926" i="1" s="1"/>
  <c r="A1022" i="1"/>
  <c r="G927" i="1" s="1"/>
  <c r="A1023" i="1"/>
  <c r="A1024" i="1"/>
  <c r="A1025" i="1"/>
  <c r="G930" i="1" s="1"/>
  <c r="A1026" i="1"/>
  <c r="A1027" i="1"/>
  <c r="A1028" i="1"/>
  <c r="A1029" i="1"/>
  <c r="G934" i="1" s="1"/>
  <c r="A1030" i="1"/>
  <c r="G935" i="1" s="1"/>
  <c r="A1031" i="1"/>
  <c r="A1032" i="1"/>
  <c r="A1033" i="1"/>
  <c r="G938" i="1" s="1"/>
  <c r="A1034" i="1"/>
  <c r="A1035" i="1"/>
  <c r="A1036" i="1"/>
  <c r="A1037" i="1"/>
  <c r="G942" i="1" s="1"/>
  <c r="A1038" i="1"/>
  <c r="G943" i="1" s="1"/>
  <c r="A1039" i="1"/>
  <c r="A1040" i="1"/>
  <c r="A1041" i="1"/>
  <c r="G946" i="1" s="1"/>
  <c r="A1042" i="1"/>
  <c r="A1043" i="1"/>
  <c r="A1044" i="1"/>
  <c r="A1045" i="1"/>
  <c r="G950" i="1" s="1"/>
  <c r="A1046" i="1"/>
  <c r="G951" i="1" s="1"/>
  <c r="A1047" i="1"/>
  <c r="A1048" i="1"/>
  <c r="A1049" i="1"/>
  <c r="G954" i="1" s="1"/>
  <c r="A1050" i="1"/>
  <c r="A1051" i="1"/>
  <c r="A1052" i="1"/>
  <c r="A1053" i="1"/>
  <c r="G958" i="1" s="1"/>
  <c r="A1054" i="1"/>
  <c r="G959" i="1" s="1"/>
  <c r="A1055" i="1"/>
  <c r="A1056" i="1"/>
  <c r="A1057" i="1"/>
  <c r="G962" i="1" s="1"/>
  <c r="A1058" i="1"/>
  <c r="A1059" i="1"/>
  <c r="A1060" i="1"/>
  <c r="A1061" i="1"/>
  <c r="G966" i="1" s="1"/>
  <c r="A1062" i="1"/>
  <c r="G967" i="1" s="1"/>
  <c r="A1063" i="1"/>
  <c r="A1064" i="1"/>
  <c r="A1065" i="1"/>
  <c r="G970" i="1" s="1"/>
  <c r="A1066" i="1"/>
  <c r="A1067" i="1"/>
  <c r="A1068" i="1"/>
  <c r="A1069" i="1"/>
  <c r="G974" i="1" s="1"/>
  <c r="A1070" i="1"/>
  <c r="G975" i="1" s="1"/>
  <c r="A1071" i="1"/>
  <c r="A1072" i="1"/>
  <c r="A1073" i="1"/>
  <c r="G978" i="1" s="1"/>
  <c r="A1074" i="1"/>
  <c r="A1075" i="1"/>
  <c r="A1076" i="1"/>
  <c r="A1077" i="1"/>
  <c r="G982" i="1" s="1"/>
  <c r="A1078" i="1"/>
  <c r="G983" i="1" s="1"/>
  <c r="A1079" i="1"/>
  <c r="A1080" i="1"/>
  <c r="A1081" i="1"/>
  <c r="G986" i="1" s="1"/>
  <c r="A1082" i="1"/>
  <c r="A1083" i="1"/>
  <c r="A1084" i="1"/>
  <c r="A1085" i="1"/>
  <c r="G990" i="1" s="1"/>
  <c r="A1086" i="1"/>
  <c r="G991" i="1" s="1"/>
  <c r="A1087" i="1"/>
  <c r="A1088" i="1"/>
  <c r="A1089" i="1"/>
  <c r="G994" i="1" s="1"/>
  <c r="A1090" i="1"/>
  <c r="A1091" i="1"/>
  <c r="A1092" i="1"/>
  <c r="A1093" i="1"/>
  <c r="G998" i="1" s="1"/>
  <c r="A1094" i="1"/>
  <c r="G999" i="1" s="1"/>
  <c r="A1095" i="1"/>
  <c r="A1096" i="1"/>
  <c r="A1097" i="1"/>
  <c r="G1002" i="1" s="1"/>
  <c r="A1098" i="1"/>
  <c r="A1099" i="1"/>
  <c r="A1100" i="1"/>
  <c r="A1101" i="1"/>
  <c r="G1006" i="1" s="1"/>
  <c r="A1102" i="1"/>
  <c r="G1007" i="1" s="1"/>
  <c r="A1103" i="1"/>
  <c r="A1104" i="1"/>
  <c r="A1105" i="1"/>
  <c r="G1010" i="1" s="1"/>
  <c r="A1106" i="1"/>
  <c r="A1107" i="1"/>
  <c r="A1108" i="1"/>
  <c r="A1109" i="1"/>
  <c r="G1014" i="1" s="1"/>
  <c r="A1110" i="1"/>
  <c r="G1015" i="1" s="1"/>
  <c r="A1111" i="1"/>
  <c r="A1112" i="1"/>
  <c r="A1113" i="1"/>
  <c r="G1018" i="1" s="1"/>
  <c r="A1114" i="1"/>
  <c r="A1115" i="1"/>
  <c r="A1116" i="1"/>
  <c r="A1117" i="1"/>
  <c r="G1022" i="1" s="1"/>
  <c r="A1118" i="1"/>
  <c r="G1023" i="1" s="1"/>
  <c r="A1119" i="1"/>
  <c r="A1120" i="1"/>
  <c r="A1121" i="1"/>
  <c r="G1026" i="1" s="1"/>
  <c r="A1122" i="1"/>
  <c r="A1123" i="1"/>
  <c r="A1124" i="1"/>
  <c r="A1125" i="1"/>
  <c r="G1030" i="1" s="1"/>
  <c r="A1126" i="1"/>
  <c r="G1031" i="1" s="1"/>
  <c r="A1127" i="1"/>
  <c r="A1128" i="1"/>
  <c r="A1129" i="1"/>
  <c r="G1034" i="1" s="1"/>
  <c r="A1130" i="1"/>
  <c r="A1131" i="1"/>
  <c r="A1132" i="1"/>
  <c r="A1133" i="1"/>
  <c r="G1038" i="1" s="1"/>
  <c r="A1134" i="1"/>
  <c r="G1039" i="1" s="1"/>
  <c r="A1135" i="1"/>
  <c r="A1136" i="1"/>
  <c r="A1137" i="1"/>
  <c r="G1042" i="1" s="1"/>
  <c r="A1138" i="1"/>
  <c r="A1139" i="1"/>
  <c r="A1140" i="1"/>
  <c r="A1141" i="1"/>
  <c r="G1046" i="1" s="1"/>
  <c r="A1142" i="1"/>
  <c r="G1047" i="1" s="1"/>
  <c r="A1143" i="1"/>
  <c r="A1144" i="1"/>
  <c r="A1145" i="1"/>
  <c r="G1050" i="1" s="1"/>
  <c r="A1146" i="1"/>
  <c r="A1147" i="1"/>
  <c r="A1148" i="1"/>
  <c r="A1149" i="1"/>
  <c r="G1054" i="1" s="1"/>
  <c r="A1150" i="1"/>
  <c r="G1055" i="1" s="1"/>
  <c r="A1151" i="1"/>
  <c r="A1152" i="1"/>
  <c r="A1153" i="1"/>
  <c r="G1058" i="1" s="1"/>
  <c r="A1154" i="1"/>
  <c r="A1155" i="1"/>
  <c r="A1156" i="1"/>
  <c r="A1157" i="1"/>
  <c r="G1062" i="1" s="1"/>
  <c r="A1158" i="1"/>
  <c r="G1063" i="1" s="1"/>
  <c r="A1159" i="1"/>
  <c r="A1160" i="1"/>
  <c r="A1161" i="1"/>
  <c r="G1066" i="1" s="1"/>
  <c r="A1162" i="1"/>
  <c r="A1163" i="1"/>
  <c r="A1164" i="1"/>
  <c r="A1165" i="1"/>
  <c r="G1070" i="1" s="1"/>
  <c r="A1166" i="1"/>
  <c r="G1071" i="1" s="1"/>
  <c r="A1167" i="1"/>
  <c r="A1168" i="1"/>
  <c r="A1169" i="1"/>
  <c r="G1074" i="1" s="1"/>
  <c r="A1170" i="1"/>
  <c r="A1171" i="1"/>
  <c r="A1172" i="1"/>
  <c r="A1173" i="1"/>
  <c r="G1078" i="1" s="1"/>
  <c r="A1174" i="1"/>
  <c r="G1079" i="1" s="1"/>
  <c r="A1175" i="1"/>
  <c r="A1176" i="1"/>
  <c r="A1177" i="1"/>
  <c r="G1082" i="1" s="1"/>
  <c r="A1178" i="1"/>
  <c r="A1179" i="1"/>
  <c r="A1180" i="1"/>
  <c r="A1181" i="1"/>
  <c r="G1086" i="1" s="1"/>
  <c r="A1182" i="1"/>
  <c r="G1087" i="1" s="1"/>
  <c r="A1183" i="1"/>
  <c r="A1184" i="1"/>
  <c r="A1185" i="1"/>
  <c r="G1090" i="1" s="1"/>
  <c r="A1186" i="1"/>
  <c r="A1187" i="1"/>
  <c r="A1188" i="1"/>
  <c r="A1189" i="1"/>
  <c r="G1094" i="1" s="1"/>
  <c r="A1190" i="1"/>
  <c r="G1095" i="1" s="1"/>
  <c r="A1191" i="1"/>
  <c r="A1192" i="1"/>
  <c r="A1193" i="1"/>
  <c r="G1098" i="1" s="1"/>
  <c r="A1194" i="1"/>
  <c r="A1195" i="1"/>
  <c r="A1196" i="1"/>
  <c r="A1197" i="1"/>
  <c r="G1102" i="1" s="1"/>
  <c r="A1198" i="1"/>
  <c r="G1103" i="1" s="1"/>
  <c r="A1199" i="1"/>
  <c r="A1200" i="1"/>
  <c r="A1201" i="1"/>
  <c r="G1106" i="1" s="1"/>
  <c r="A1202" i="1"/>
  <c r="A1203" i="1"/>
  <c r="A1204" i="1"/>
  <c r="A1205" i="1"/>
  <c r="G1110" i="1" s="1"/>
  <c r="A1206" i="1"/>
  <c r="G1111" i="1" s="1"/>
  <c r="A1207" i="1"/>
  <c r="A1208" i="1"/>
  <c r="A1209" i="1"/>
  <c r="G1114" i="1" s="1"/>
  <c r="A1210" i="1"/>
  <c r="A1211" i="1"/>
  <c r="A1212" i="1"/>
  <c r="A1213" i="1"/>
  <c r="G1118" i="1" s="1"/>
  <c r="A1214" i="1"/>
  <c r="G1119" i="1" s="1"/>
  <c r="A1215" i="1"/>
  <c r="A1216" i="1"/>
  <c r="A1217" i="1"/>
  <c r="G1122" i="1" s="1"/>
  <c r="A1218" i="1"/>
  <c r="A1219" i="1"/>
  <c r="A1220" i="1"/>
  <c r="A1221" i="1"/>
  <c r="G1126" i="1" s="1"/>
  <c r="A1222" i="1"/>
  <c r="G1127" i="1" s="1"/>
  <c r="A1223" i="1"/>
  <c r="A1224" i="1"/>
  <c r="A1225" i="1"/>
  <c r="G1130" i="1" s="1"/>
  <c r="A1226" i="1"/>
  <c r="A1227" i="1"/>
  <c r="A1228" i="1"/>
  <c r="A1229" i="1"/>
  <c r="G1134" i="1" s="1"/>
  <c r="A1230" i="1"/>
  <c r="G1135" i="1" s="1"/>
  <c r="A1231" i="1"/>
  <c r="A1232" i="1"/>
  <c r="A1233" i="1"/>
  <c r="G1138" i="1" s="1"/>
  <c r="A1234" i="1"/>
  <c r="A1235" i="1"/>
  <c r="A1236" i="1"/>
  <c r="A1237" i="1"/>
  <c r="G1142" i="1" s="1"/>
  <c r="A1238" i="1"/>
  <c r="G1143" i="1" s="1"/>
  <c r="A1239" i="1"/>
  <c r="A1240" i="1"/>
  <c r="A1241" i="1"/>
  <c r="G1146" i="1" s="1"/>
  <c r="A1242" i="1"/>
  <c r="A1243" i="1"/>
  <c r="A1244" i="1"/>
  <c r="A1245" i="1"/>
  <c r="G1150" i="1" s="1"/>
  <c r="A1246" i="1"/>
  <c r="G1151" i="1" s="1"/>
  <c r="A1247" i="1"/>
  <c r="A1248" i="1"/>
  <c r="A1249" i="1"/>
  <c r="G1154" i="1" s="1"/>
  <c r="A1250" i="1"/>
  <c r="A1251" i="1"/>
  <c r="A1252" i="1"/>
  <c r="A1253" i="1"/>
  <c r="G1158" i="1" s="1"/>
  <c r="A1254" i="1"/>
  <c r="G1159" i="1" s="1"/>
  <c r="A1255" i="1"/>
  <c r="A1256" i="1"/>
  <c r="A1257" i="1"/>
  <c r="G1162" i="1" s="1"/>
  <c r="A1258" i="1"/>
  <c r="A1259" i="1"/>
  <c r="A1260" i="1"/>
  <c r="A1261" i="1"/>
  <c r="G1166" i="1" s="1"/>
  <c r="A1262" i="1"/>
  <c r="G1167" i="1" s="1"/>
  <c r="A1263" i="1"/>
  <c r="A1264" i="1"/>
  <c r="A1265" i="1"/>
  <c r="G1170" i="1" s="1"/>
  <c r="A1266" i="1"/>
  <c r="A1267" i="1"/>
  <c r="A1268" i="1"/>
  <c r="A1269" i="1"/>
  <c r="G1174" i="1" s="1"/>
  <c r="A1270" i="1"/>
  <c r="G1175" i="1" s="1"/>
  <c r="A1271" i="1"/>
  <c r="A1272" i="1"/>
  <c r="A1273" i="1"/>
  <c r="G1178" i="1" s="1"/>
  <c r="A1274" i="1"/>
  <c r="A1275" i="1"/>
  <c r="A1276" i="1"/>
  <c r="A1277" i="1"/>
  <c r="G1182" i="1" s="1"/>
  <c r="A1278" i="1"/>
  <c r="G1183" i="1" s="1"/>
  <c r="A1279" i="1"/>
  <c r="A1280" i="1"/>
  <c r="A1281" i="1"/>
  <c r="G1186" i="1" s="1"/>
  <c r="A1282" i="1"/>
  <c r="A1283" i="1"/>
  <c r="A1284" i="1"/>
  <c r="A1285" i="1"/>
  <c r="G1190" i="1" s="1"/>
  <c r="A1286" i="1"/>
  <c r="G1191" i="1" s="1"/>
  <c r="A1287" i="1"/>
  <c r="A1288" i="1"/>
  <c r="A1289" i="1"/>
  <c r="G1194" i="1" s="1"/>
  <c r="A1290" i="1"/>
  <c r="A1291" i="1"/>
  <c r="A1292" i="1"/>
  <c r="A1293" i="1"/>
  <c r="G1198" i="1" s="1"/>
  <c r="A1294" i="1"/>
  <c r="G1199" i="1" s="1"/>
  <c r="A1295" i="1"/>
  <c r="A1296" i="1"/>
  <c r="A1297" i="1"/>
  <c r="G1202" i="1" s="1"/>
  <c r="A1298" i="1"/>
  <c r="A1299" i="1"/>
  <c r="A1300" i="1"/>
  <c r="A1301" i="1"/>
  <c r="G1206" i="1" s="1"/>
  <c r="A1302" i="1"/>
  <c r="G1207" i="1" s="1"/>
  <c r="A1303" i="1"/>
  <c r="A1304" i="1"/>
  <c r="A1305" i="1"/>
  <c r="G1210" i="1" s="1"/>
  <c r="A1306" i="1"/>
  <c r="A1307" i="1"/>
  <c r="A1308" i="1"/>
  <c r="A1309" i="1"/>
  <c r="G1214" i="1" s="1"/>
  <c r="A1310" i="1"/>
  <c r="G1215" i="1" s="1"/>
  <c r="A1311" i="1"/>
  <c r="A1312" i="1"/>
  <c r="A1313" i="1"/>
  <c r="G1218" i="1" s="1"/>
  <c r="A1314" i="1"/>
  <c r="A1315" i="1"/>
  <c r="A1316" i="1"/>
  <c r="A1317" i="1"/>
  <c r="G1222" i="1" s="1"/>
  <c r="A1318" i="1"/>
  <c r="G1223" i="1" s="1"/>
  <c r="A1319" i="1"/>
  <c r="A1320" i="1"/>
  <c r="A1321" i="1"/>
  <c r="G1226" i="1" s="1"/>
  <c r="A1322" i="1"/>
  <c r="A1323" i="1"/>
  <c r="A1324" i="1"/>
  <c r="A1325" i="1"/>
  <c r="G1230" i="1" s="1"/>
  <c r="A1326" i="1"/>
  <c r="G1231" i="1" s="1"/>
  <c r="A1327" i="1"/>
  <c r="A1328" i="1"/>
  <c r="A1329" i="1"/>
  <c r="G1234" i="1" s="1"/>
  <c r="A1330" i="1"/>
  <c r="A1331" i="1"/>
  <c r="A1332" i="1"/>
  <c r="A1333" i="1"/>
  <c r="G1238" i="1" s="1"/>
  <c r="A1334" i="1"/>
  <c r="G1239" i="1" s="1"/>
  <c r="A1335" i="1"/>
  <c r="A1336" i="1"/>
  <c r="A1337" i="1"/>
  <c r="G1242" i="1" s="1"/>
  <c r="A1338" i="1"/>
  <c r="A1339" i="1"/>
  <c r="A1340" i="1"/>
  <c r="A1341" i="1"/>
  <c r="G1246" i="1" s="1"/>
  <c r="A1342" i="1"/>
  <c r="G1247" i="1" s="1"/>
  <c r="A1343" i="1"/>
  <c r="A1344" i="1"/>
  <c r="A1345" i="1"/>
  <c r="G1250" i="1" s="1"/>
  <c r="A1346" i="1"/>
  <c r="A1347" i="1"/>
  <c r="A1348" i="1"/>
  <c r="A1349" i="1"/>
  <c r="G1254" i="1" s="1"/>
  <c r="A1350" i="1"/>
  <c r="G1255" i="1" s="1"/>
  <c r="A1351" i="1"/>
  <c r="A1352" i="1"/>
  <c r="A1353" i="1"/>
  <c r="G1258" i="1" s="1"/>
  <c r="A1354" i="1"/>
  <c r="A1355" i="1"/>
  <c r="A1356" i="1"/>
  <c r="A1357" i="1"/>
  <c r="G1262" i="1" s="1"/>
  <c r="A1358" i="1"/>
  <c r="G1263" i="1" s="1"/>
  <c r="A1359" i="1"/>
  <c r="A1360" i="1"/>
  <c r="A1361" i="1"/>
  <c r="G1266" i="1" s="1"/>
  <c r="A1362" i="1"/>
  <c r="A1363" i="1"/>
  <c r="A1364" i="1"/>
  <c r="A1365" i="1"/>
  <c r="G1270" i="1" s="1"/>
  <c r="A1366" i="1"/>
  <c r="G1271" i="1" s="1"/>
  <c r="A1367" i="1"/>
  <c r="A1368" i="1"/>
  <c r="A1369" i="1"/>
  <c r="G1274" i="1" s="1"/>
  <c r="A1370" i="1"/>
  <c r="A1371" i="1"/>
  <c r="A1372" i="1"/>
  <c r="A1373" i="1"/>
  <c r="G1278" i="1" s="1"/>
  <c r="A1374" i="1"/>
  <c r="G1279" i="1" s="1"/>
  <c r="A1375" i="1"/>
  <c r="A1376" i="1"/>
  <c r="A1377" i="1"/>
  <c r="G1282" i="1" s="1"/>
  <c r="A1378" i="1"/>
  <c r="A1379" i="1"/>
  <c r="A1380" i="1"/>
  <c r="A1381" i="1"/>
  <c r="G1286" i="1" s="1"/>
  <c r="A1382" i="1"/>
  <c r="G1287" i="1" s="1"/>
  <c r="A1383" i="1"/>
  <c r="A1384" i="1"/>
  <c r="A1385" i="1"/>
  <c r="G1290" i="1" s="1"/>
  <c r="A1386" i="1"/>
  <c r="A1387" i="1"/>
  <c r="A1388" i="1"/>
  <c r="A1389" i="1"/>
  <c r="G1294" i="1" s="1"/>
  <c r="A1390" i="1"/>
  <c r="G1295" i="1" s="1"/>
  <c r="A1391" i="1"/>
  <c r="A1392" i="1"/>
  <c r="A1393" i="1"/>
  <c r="G1298" i="1" s="1"/>
  <c r="A1394" i="1"/>
  <c r="A1395" i="1"/>
  <c r="A1396" i="1"/>
  <c r="A1397" i="1"/>
  <c r="G1302" i="1" s="1"/>
  <c r="A1398" i="1"/>
  <c r="G1303" i="1" s="1"/>
  <c r="A1399" i="1"/>
  <c r="A1400" i="1"/>
  <c r="A1401" i="1"/>
  <c r="G1306" i="1" s="1"/>
  <c r="A1402" i="1"/>
  <c r="A1403" i="1"/>
  <c r="A1404" i="1"/>
  <c r="A1405" i="1"/>
  <c r="G1310" i="1" s="1"/>
  <c r="A1406" i="1"/>
  <c r="G1311" i="1" s="1"/>
  <c r="A1407" i="1"/>
  <c r="A1408" i="1"/>
  <c r="A1409" i="1"/>
  <c r="G1314" i="1" s="1"/>
  <c r="A1410" i="1"/>
  <c r="A1411" i="1"/>
  <c r="A1412" i="1"/>
  <c r="A1413" i="1"/>
  <c r="G1318" i="1" s="1"/>
  <c r="A1414" i="1"/>
  <c r="G1319" i="1" s="1"/>
  <c r="A1415" i="1"/>
  <c r="A1416" i="1"/>
  <c r="A1417" i="1"/>
  <c r="G1322" i="1" s="1"/>
  <c r="A1418" i="1"/>
  <c r="A1419" i="1"/>
  <c r="A1420" i="1"/>
  <c r="A1421" i="1"/>
  <c r="G1326" i="1" s="1"/>
  <c r="A1422" i="1"/>
  <c r="G1327" i="1" s="1"/>
  <c r="A1423" i="1"/>
  <c r="A1424" i="1"/>
  <c r="A1425" i="1"/>
  <c r="G1330" i="1" s="1"/>
  <c r="A1426" i="1"/>
  <c r="A1427" i="1"/>
  <c r="A1428" i="1"/>
  <c r="A1429" i="1"/>
  <c r="G1334" i="1" s="1"/>
  <c r="A1430" i="1"/>
  <c r="G1335" i="1" s="1"/>
  <c r="A1431" i="1"/>
  <c r="A1432" i="1"/>
  <c r="A1433" i="1"/>
  <c r="G1338" i="1" s="1"/>
  <c r="A1434" i="1"/>
  <c r="A1435" i="1"/>
  <c r="A1436" i="1"/>
  <c r="A1437" i="1"/>
  <c r="G1342" i="1" s="1"/>
  <c r="A1438" i="1"/>
  <c r="G1343" i="1" s="1"/>
  <c r="A1439" i="1"/>
  <c r="A1440" i="1"/>
  <c r="A1441" i="1"/>
  <c r="G1346" i="1" s="1"/>
  <c r="A1442" i="1"/>
  <c r="A1443" i="1"/>
  <c r="A1444" i="1"/>
  <c r="A1445" i="1"/>
  <c r="G1350" i="1" s="1"/>
  <c r="A1446" i="1"/>
  <c r="G1351" i="1" s="1"/>
  <c r="A1447" i="1"/>
  <c r="A1448" i="1"/>
  <c r="A1449" i="1"/>
  <c r="G1354" i="1" s="1"/>
  <c r="A1450" i="1"/>
  <c r="A1451" i="1"/>
  <c r="A1452" i="1"/>
  <c r="A1453" i="1"/>
  <c r="G1358" i="1" s="1"/>
  <c r="A1454" i="1"/>
  <c r="G1359" i="1" s="1"/>
  <c r="A1455" i="1"/>
  <c r="A1456" i="1"/>
  <c r="A1457" i="1"/>
  <c r="G1362" i="1" s="1"/>
  <c r="A1458" i="1"/>
  <c r="A1459" i="1"/>
  <c r="A1460" i="1"/>
  <c r="A1461" i="1"/>
  <c r="G1366" i="1" s="1"/>
  <c r="A1462" i="1"/>
  <c r="G1367" i="1" s="1"/>
  <c r="A1463" i="1"/>
  <c r="A1464" i="1"/>
  <c r="A1465" i="1"/>
  <c r="G1370" i="1" s="1"/>
  <c r="A1466" i="1"/>
  <c r="A1467" i="1"/>
  <c r="A1468" i="1"/>
  <c r="A1469" i="1"/>
  <c r="G1374" i="1" s="1"/>
  <c r="A1470" i="1"/>
  <c r="G1375" i="1" s="1"/>
  <c r="A1471" i="1"/>
  <c r="A1472" i="1"/>
  <c r="A1473" i="1"/>
  <c r="G1378" i="1" s="1"/>
  <c r="A1474" i="1"/>
  <c r="A1475" i="1"/>
  <c r="A1476" i="1"/>
  <c r="A1477" i="1"/>
  <c r="G1382" i="1" s="1"/>
  <c r="A1478" i="1"/>
  <c r="G1383" i="1" s="1"/>
  <c r="A1479" i="1"/>
  <c r="A1480" i="1"/>
  <c r="A1481" i="1"/>
  <c r="G1386" i="1" s="1"/>
  <c r="A1482" i="1"/>
  <c r="A1483" i="1"/>
  <c r="A1484" i="1"/>
  <c r="A1485" i="1"/>
  <c r="G1390" i="1" s="1"/>
  <c r="A1486" i="1"/>
  <c r="G1391" i="1" s="1"/>
  <c r="A1487" i="1"/>
  <c r="A1488" i="1"/>
  <c r="A1489" i="1"/>
  <c r="G1394" i="1" s="1"/>
  <c r="A1490" i="1"/>
  <c r="A1491" i="1"/>
  <c r="A1492" i="1"/>
  <c r="A1493" i="1"/>
  <c r="G1398" i="1" s="1"/>
  <c r="A1494" i="1"/>
  <c r="G1399" i="1" s="1"/>
  <c r="A1495" i="1"/>
  <c r="A1496" i="1"/>
  <c r="A1497" i="1"/>
  <c r="G1402" i="1" s="1"/>
  <c r="A1498" i="1"/>
  <c r="A1499" i="1"/>
  <c r="A1500" i="1"/>
  <c r="A1501" i="1"/>
  <c r="G1406" i="1" s="1"/>
  <c r="A1502" i="1"/>
  <c r="G1407" i="1" s="1"/>
  <c r="A1503" i="1"/>
  <c r="A1504" i="1"/>
  <c r="A1505" i="1"/>
  <c r="G1410" i="1" s="1"/>
  <c r="A1506" i="1"/>
  <c r="A1507" i="1"/>
  <c r="A1508" i="1"/>
  <c r="A1509" i="1"/>
  <c r="G1414" i="1" s="1"/>
  <c r="A1510" i="1"/>
  <c r="G1415" i="1" s="1"/>
  <c r="A1511" i="1"/>
  <c r="A1512" i="1"/>
  <c r="A1513" i="1"/>
  <c r="G1418" i="1" s="1"/>
  <c r="A1514" i="1"/>
  <c r="A1515" i="1"/>
  <c r="A1516" i="1"/>
  <c r="A1517" i="1"/>
  <c r="G1422" i="1" s="1"/>
  <c r="A1518" i="1"/>
  <c r="G1423" i="1" s="1"/>
  <c r="A1519" i="1"/>
  <c r="A1520" i="1"/>
  <c r="A1521" i="1"/>
  <c r="G1426" i="1" s="1"/>
  <c r="A1522" i="1"/>
  <c r="A1523" i="1"/>
  <c r="A1524" i="1"/>
  <c r="A1525" i="1"/>
  <c r="G1430" i="1" s="1"/>
  <c r="A1526" i="1"/>
  <c r="G1431" i="1" s="1"/>
  <c r="A1527" i="1"/>
  <c r="A1528" i="1"/>
  <c r="A1529" i="1"/>
  <c r="G1434" i="1" s="1"/>
  <c r="A1530" i="1"/>
  <c r="A1531" i="1"/>
  <c r="A1532" i="1"/>
  <c r="A1533" i="1"/>
  <c r="G1438" i="1" s="1"/>
  <c r="A1534" i="1"/>
  <c r="G1439" i="1" s="1"/>
  <c r="A1535" i="1"/>
  <c r="A1536" i="1"/>
  <c r="A1537" i="1"/>
  <c r="G1442" i="1" s="1"/>
  <c r="A1538" i="1"/>
  <c r="A1539" i="1"/>
  <c r="A1540" i="1"/>
  <c r="A1541" i="1"/>
  <c r="G1446" i="1" s="1"/>
  <c r="A1542" i="1"/>
  <c r="G1447" i="1" s="1"/>
  <c r="A1543" i="1"/>
  <c r="A1544" i="1"/>
  <c r="A1545" i="1"/>
  <c r="G1450" i="1" s="1"/>
  <c r="A1546" i="1"/>
  <c r="A1547" i="1"/>
  <c r="A1548" i="1"/>
  <c r="A1549" i="1"/>
  <c r="G1454" i="1" s="1"/>
  <c r="A1550" i="1"/>
  <c r="G1455" i="1" s="1"/>
  <c r="A1551" i="1"/>
  <c r="A1552" i="1"/>
  <c r="A1553" i="1"/>
  <c r="G1458" i="1" s="1"/>
  <c r="A1554" i="1"/>
  <c r="A1555" i="1"/>
  <c r="A1556" i="1"/>
  <c r="A1557" i="1"/>
  <c r="G1462" i="1" s="1"/>
  <c r="A1558" i="1"/>
  <c r="G1463" i="1" s="1"/>
  <c r="A1559" i="1"/>
  <c r="A1560" i="1"/>
  <c r="A1561" i="1"/>
  <c r="G1466" i="1" s="1"/>
  <c r="A1562" i="1"/>
  <c r="A1563" i="1"/>
  <c r="A1564" i="1"/>
  <c r="A1565" i="1"/>
  <c r="G1470" i="1" s="1"/>
  <c r="A1566" i="1"/>
  <c r="G1471" i="1" s="1"/>
  <c r="A1567" i="1"/>
  <c r="A1568" i="1"/>
  <c r="A1569" i="1"/>
  <c r="G1474" i="1" s="1"/>
  <c r="A1570" i="1"/>
  <c r="A1571" i="1"/>
  <c r="A1572" i="1"/>
  <c r="A1573" i="1"/>
  <c r="G1478" i="1" s="1"/>
  <c r="A1574" i="1"/>
  <c r="G1479" i="1" s="1"/>
  <c r="A1575" i="1"/>
  <c r="A1576" i="1"/>
  <c r="A1577" i="1"/>
  <c r="G1482" i="1" s="1"/>
  <c r="A1578" i="1"/>
  <c r="A1579" i="1"/>
  <c r="A1580" i="1"/>
  <c r="A1581" i="1"/>
  <c r="G1486" i="1" s="1"/>
  <c r="A1582" i="1"/>
  <c r="G1487" i="1" s="1"/>
  <c r="A1583" i="1"/>
  <c r="A1584" i="1"/>
  <c r="A1585" i="1"/>
  <c r="G1490" i="1" s="1"/>
  <c r="A1586" i="1"/>
  <c r="A1587" i="1"/>
  <c r="A1588" i="1"/>
  <c r="A1589" i="1"/>
  <c r="G1494" i="1" s="1"/>
  <c r="A1590" i="1"/>
  <c r="G1495" i="1" s="1"/>
  <c r="A1591" i="1"/>
  <c r="A1592" i="1"/>
  <c r="A1593" i="1"/>
  <c r="G1498" i="1" s="1"/>
  <c r="A1594" i="1"/>
  <c r="A1595" i="1"/>
  <c r="A1596" i="1"/>
  <c r="A1597" i="1"/>
  <c r="G1502" i="1" s="1"/>
  <c r="A1598" i="1"/>
  <c r="G1503" i="1" s="1"/>
  <c r="A1599" i="1"/>
  <c r="A1600" i="1"/>
  <c r="A1601" i="1"/>
  <c r="G1506" i="1" s="1"/>
  <c r="A1602" i="1"/>
  <c r="A1603" i="1"/>
  <c r="A1604" i="1"/>
  <c r="A1605" i="1"/>
  <c r="G1510" i="1" s="1"/>
  <c r="A1606" i="1"/>
  <c r="G1511" i="1" s="1"/>
  <c r="A1607" i="1"/>
  <c r="A1608" i="1"/>
  <c r="A1609" i="1"/>
  <c r="G1514" i="1" s="1"/>
  <c r="A1610" i="1"/>
  <c r="A1611" i="1"/>
  <c r="A1612" i="1"/>
  <c r="A1613" i="1"/>
  <c r="G1518" i="1" s="1"/>
  <c r="A1614" i="1"/>
  <c r="G1519" i="1" s="1"/>
  <c r="A1615" i="1"/>
  <c r="A1616" i="1"/>
  <c r="A1617" i="1"/>
  <c r="G1522" i="1" s="1"/>
  <c r="A1618" i="1"/>
  <c r="A1619" i="1"/>
  <c r="A1620" i="1"/>
  <c r="A1621" i="1"/>
  <c r="G1526" i="1" s="1"/>
  <c r="A1622" i="1"/>
  <c r="G1527" i="1" s="1"/>
  <c r="A1623" i="1"/>
  <c r="A1624" i="1"/>
  <c r="A1625" i="1"/>
  <c r="G1530" i="1" s="1"/>
  <c r="A1626" i="1"/>
  <c r="A1627" i="1"/>
  <c r="A1628" i="1"/>
  <c r="A1629" i="1"/>
  <c r="G1534" i="1" s="1"/>
  <c r="A1630" i="1"/>
  <c r="G1535" i="1" s="1"/>
  <c r="A1631" i="1"/>
  <c r="A1632" i="1"/>
  <c r="A1633" i="1"/>
  <c r="G1538" i="1" s="1"/>
  <c r="A1634" i="1"/>
  <c r="A1635" i="1"/>
  <c r="A1636" i="1"/>
  <c r="A1637" i="1"/>
  <c r="G1542" i="1" s="1"/>
  <c r="A1638" i="1"/>
  <c r="G1543" i="1" s="1"/>
  <c r="A1639" i="1"/>
  <c r="A1640" i="1"/>
  <c r="A1641" i="1"/>
  <c r="G1546" i="1" s="1"/>
  <c r="A1642" i="1"/>
  <c r="A1643" i="1"/>
  <c r="A1644" i="1"/>
  <c r="A1645" i="1"/>
  <c r="G1550" i="1" s="1"/>
  <c r="A1646" i="1"/>
  <c r="G1551" i="1" s="1"/>
  <c r="A1647" i="1"/>
  <c r="A1648" i="1"/>
  <c r="A1649" i="1"/>
  <c r="G1554" i="1" s="1"/>
  <c r="A1650" i="1"/>
  <c r="A1651" i="1"/>
  <c r="A1652" i="1"/>
  <c r="A1653" i="1"/>
  <c r="G1558" i="1" s="1"/>
  <c r="A1654" i="1"/>
  <c r="G1559" i="1" s="1"/>
  <c r="A1655" i="1"/>
  <c r="A1656" i="1"/>
  <c r="A1657" i="1"/>
  <c r="G1562" i="1" s="1"/>
  <c r="A1658" i="1"/>
  <c r="A1659" i="1"/>
  <c r="A1660" i="1"/>
  <c r="A1661" i="1"/>
  <c r="G1566" i="1" s="1"/>
  <c r="A1662" i="1"/>
  <c r="G1567" i="1" s="1"/>
  <c r="A1663" i="1"/>
  <c r="A1664" i="1"/>
  <c r="A1665" i="1"/>
  <c r="G1570" i="1" s="1"/>
  <c r="A1666" i="1"/>
  <c r="A1667" i="1"/>
  <c r="A1668" i="1"/>
  <c r="A1669" i="1"/>
  <c r="G1574" i="1" s="1"/>
  <c r="A1670" i="1"/>
  <c r="G1575" i="1" s="1"/>
  <c r="A1671" i="1"/>
  <c r="A1672" i="1"/>
  <c r="A1673" i="1"/>
  <c r="G1578" i="1" s="1"/>
  <c r="A1674" i="1"/>
  <c r="A1675" i="1"/>
  <c r="A1676" i="1"/>
  <c r="A1677" i="1"/>
  <c r="G1582" i="1" s="1"/>
  <c r="A1678" i="1"/>
  <c r="G1583" i="1" s="1"/>
  <c r="A1679" i="1"/>
  <c r="A1680" i="1"/>
  <c r="A1681" i="1"/>
  <c r="G1586" i="1" s="1"/>
  <c r="A1682" i="1"/>
  <c r="A1683" i="1"/>
  <c r="A1684" i="1"/>
  <c r="A1685" i="1"/>
  <c r="G1590" i="1" s="1"/>
  <c r="A1686" i="1"/>
  <c r="G1591" i="1" s="1"/>
  <c r="A1687" i="1"/>
  <c r="A1688" i="1"/>
  <c r="A1689" i="1"/>
  <c r="G1594" i="1" s="1"/>
  <c r="A1690" i="1"/>
  <c r="A1691" i="1"/>
  <c r="A1692" i="1"/>
  <c r="A1693" i="1"/>
  <c r="G1598" i="1" s="1"/>
  <c r="A1694" i="1"/>
  <c r="G1599" i="1" s="1"/>
  <c r="A1695" i="1"/>
  <c r="A1696" i="1"/>
  <c r="A1697" i="1"/>
  <c r="G1602" i="1" s="1"/>
  <c r="A1698" i="1"/>
  <c r="A1699" i="1"/>
  <c r="A1700" i="1"/>
  <c r="A1701" i="1"/>
  <c r="G1606" i="1" s="1"/>
  <c r="A1702" i="1"/>
  <c r="G1607" i="1" s="1"/>
  <c r="A1703" i="1"/>
  <c r="A1704" i="1"/>
  <c r="A1705" i="1"/>
  <c r="G1610" i="1" s="1"/>
  <c r="A1706" i="1"/>
  <c r="A1707" i="1"/>
  <c r="A1708" i="1"/>
  <c r="A1709" i="1"/>
  <c r="G1614" i="1" s="1"/>
  <c r="A1710" i="1"/>
  <c r="G1615" i="1" s="1"/>
  <c r="A1711" i="1"/>
  <c r="A1712" i="1"/>
  <c r="A1713" i="1"/>
  <c r="G1618" i="1" s="1"/>
  <c r="A1714" i="1"/>
  <c r="A1715" i="1"/>
  <c r="A1716" i="1"/>
  <c r="A1717" i="1"/>
  <c r="G1622" i="1" s="1"/>
  <c r="A1718" i="1"/>
  <c r="G1623" i="1" s="1"/>
  <c r="A1719" i="1"/>
  <c r="A1720" i="1"/>
  <c r="A1721" i="1"/>
  <c r="G1626" i="1" s="1"/>
  <c r="A1722" i="1"/>
  <c r="A1723" i="1"/>
  <c r="A1724" i="1"/>
  <c r="A1725" i="1"/>
  <c r="G1630" i="1" s="1"/>
  <c r="A1726" i="1"/>
  <c r="G1631" i="1" s="1"/>
  <c r="A1727" i="1"/>
  <c r="A1728" i="1"/>
  <c r="A1729" i="1"/>
  <c r="G1634" i="1" s="1"/>
  <c r="A1730" i="1"/>
  <c r="A1731" i="1"/>
  <c r="A1732" i="1"/>
  <c r="A1733" i="1"/>
  <c r="G1638" i="1" s="1"/>
  <c r="A1734" i="1"/>
  <c r="G1639" i="1" s="1"/>
  <c r="A1735" i="1"/>
  <c r="A1736" i="1"/>
  <c r="A1737" i="1"/>
  <c r="G1642" i="1" s="1"/>
  <c r="A1738" i="1"/>
  <c r="A1739" i="1"/>
  <c r="A1740" i="1"/>
  <c r="A1741" i="1"/>
  <c r="G1646" i="1" s="1"/>
  <c r="A1742" i="1"/>
  <c r="G1647" i="1" s="1"/>
  <c r="A5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2" i="2"/>
  <c r="O446" i="2"/>
  <c r="B446" i="2"/>
  <c r="O445" i="2"/>
  <c r="B445" i="2"/>
  <c r="O444" i="2"/>
  <c r="B444" i="2"/>
  <c r="O443" i="2"/>
  <c r="B443" i="2"/>
  <c r="O442" i="2"/>
  <c r="B442" i="2"/>
  <c r="O441" i="2"/>
  <c r="B441" i="2"/>
  <c r="O440" i="2"/>
  <c r="B440" i="2"/>
  <c r="O439" i="2"/>
  <c r="B439" i="2"/>
  <c r="O438" i="2"/>
  <c r="B438" i="2"/>
  <c r="O437" i="2"/>
  <c r="B437" i="2"/>
  <c r="O436" i="2"/>
  <c r="B436" i="2"/>
  <c r="O435" i="2"/>
  <c r="B435" i="2"/>
  <c r="O434" i="2"/>
  <c r="B434" i="2"/>
  <c r="O433" i="2"/>
  <c r="B433" i="2"/>
  <c r="O432" i="2"/>
  <c r="B432" i="2"/>
  <c r="O431" i="2"/>
  <c r="B431" i="2"/>
  <c r="O430" i="2"/>
  <c r="B430" i="2"/>
  <c r="O429" i="2"/>
  <c r="B429" i="2"/>
  <c r="O428" i="2"/>
  <c r="B428" i="2"/>
  <c r="O427" i="2"/>
  <c r="B427" i="2"/>
  <c r="O426" i="2"/>
  <c r="B426" i="2"/>
  <c r="O425" i="2"/>
  <c r="B425" i="2"/>
  <c r="O424" i="2"/>
  <c r="B424" i="2"/>
  <c r="O423" i="2"/>
  <c r="B423" i="2"/>
  <c r="O422" i="2"/>
  <c r="B422" i="2"/>
  <c r="O421" i="2"/>
  <c r="B421" i="2"/>
  <c r="O420" i="2"/>
  <c r="B420" i="2"/>
  <c r="O419" i="2"/>
  <c r="B419" i="2"/>
  <c r="O418" i="2"/>
  <c r="B418" i="2"/>
  <c r="O417" i="2"/>
  <c r="B417" i="2"/>
  <c r="O416" i="2"/>
  <c r="B416" i="2"/>
  <c r="O415" i="2"/>
  <c r="B415" i="2"/>
  <c r="O414" i="2"/>
  <c r="B414" i="2"/>
  <c r="O413" i="2"/>
  <c r="B413" i="2"/>
  <c r="O412" i="2"/>
  <c r="B412" i="2"/>
  <c r="O411" i="2"/>
  <c r="B411" i="2"/>
  <c r="O410" i="2"/>
  <c r="B410" i="2"/>
  <c r="O409" i="2"/>
  <c r="B409" i="2"/>
  <c r="O408" i="2"/>
  <c r="B408" i="2"/>
  <c r="O407" i="2"/>
  <c r="B407" i="2"/>
  <c r="O406" i="2"/>
  <c r="B406" i="2"/>
  <c r="O405" i="2"/>
  <c r="B405" i="2"/>
  <c r="O404" i="2"/>
  <c r="B404" i="2"/>
  <c r="O403" i="2"/>
  <c r="B403" i="2"/>
  <c r="O402" i="2"/>
  <c r="B402" i="2"/>
  <c r="O401" i="2"/>
  <c r="B401" i="2"/>
  <c r="O400" i="2"/>
  <c r="B400" i="2"/>
  <c r="O399" i="2"/>
  <c r="B399" i="2"/>
  <c r="O398" i="2"/>
  <c r="B398" i="2"/>
  <c r="O397" i="2"/>
  <c r="B397" i="2"/>
  <c r="O396" i="2"/>
  <c r="B396" i="2"/>
  <c r="O395" i="2"/>
  <c r="B395" i="2"/>
  <c r="O394" i="2"/>
  <c r="B394" i="2"/>
  <c r="O393" i="2"/>
  <c r="B393" i="2"/>
  <c r="O392" i="2"/>
  <c r="B392" i="2"/>
  <c r="O391" i="2"/>
  <c r="B391" i="2"/>
  <c r="O390" i="2"/>
  <c r="B390" i="2"/>
  <c r="O389" i="2"/>
  <c r="B389" i="2"/>
  <c r="O388" i="2"/>
  <c r="B388" i="2"/>
  <c r="O387" i="2"/>
  <c r="B387" i="2"/>
  <c r="O386" i="2"/>
  <c r="B386" i="2"/>
  <c r="O385" i="2"/>
  <c r="B385" i="2"/>
  <c r="O384" i="2"/>
  <c r="B384" i="2"/>
  <c r="O383" i="2"/>
  <c r="B383" i="2"/>
  <c r="O382" i="2"/>
  <c r="B382" i="2"/>
  <c r="O381" i="2"/>
  <c r="B381" i="2"/>
  <c r="O380" i="2"/>
  <c r="B380" i="2"/>
  <c r="O379" i="2"/>
  <c r="B379" i="2"/>
  <c r="O378" i="2"/>
  <c r="B378" i="2"/>
  <c r="O377" i="2"/>
  <c r="B377" i="2"/>
  <c r="O376" i="2"/>
  <c r="B376" i="2"/>
  <c r="O375" i="2"/>
  <c r="B375" i="2"/>
  <c r="O374" i="2"/>
  <c r="B374" i="2"/>
  <c r="O373" i="2"/>
  <c r="B373" i="2"/>
  <c r="O372" i="2"/>
  <c r="B372" i="2"/>
  <c r="O371" i="2"/>
  <c r="B371" i="2"/>
  <c r="O370" i="2"/>
  <c r="B370" i="2"/>
  <c r="O369" i="2"/>
  <c r="B369" i="2"/>
  <c r="O368" i="2"/>
  <c r="B368" i="2"/>
  <c r="O367" i="2"/>
  <c r="B367" i="2"/>
  <c r="O366" i="2"/>
  <c r="B366" i="2"/>
  <c r="O365" i="2"/>
  <c r="B365" i="2"/>
  <c r="O364" i="2"/>
  <c r="B364" i="2"/>
  <c r="O363" i="2"/>
  <c r="B363" i="2"/>
  <c r="O362" i="2"/>
  <c r="B362" i="2"/>
  <c r="O361" i="2"/>
  <c r="B361" i="2"/>
  <c r="O360" i="2"/>
  <c r="B360" i="2"/>
  <c r="O359" i="2"/>
  <c r="B359" i="2"/>
  <c r="O358" i="2"/>
  <c r="B358" i="2"/>
  <c r="O357" i="2"/>
  <c r="B357" i="2"/>
  <c r="O356" i="2"/>
  <c r="B356" i="2"/>
  <c r="O355" i="2"/>
  <c r="B355" i="2"/>
  <c r="O354" i="2"/>
  <c r="B354" i="2"/>
  <c r="O353" i="2"/>
  <c r="B353" i="2"/>
  <c r="O352" i="2"/>
  <c r="B352" i="2"/>
  <c r="O351" i="2"/>
  <c r="B351" i="2"/>
  <c r="O350" i="2"/>
  <c r="B350" i="2"/>
  <c r="O349" i="2"/>
  <c r="B349" i="2"/>
  <c r="O348" i="2"/>
  <c r="B348" i="2"/>
  <c r="O347" i="2"/>
  <c r="B347" i="2"/>
  <c r="O346" i="2"/>
  <c r="B346" i="2"/>
  <c r="O345" i="2"/>
  <c r="B345" i="2"/>
  <c r="O344" i="2"/>
  <c r="B344" i="2"/>
  <c r="O343" i="2"/>
  <c r="B343" i="2"/>
  <c r="O342" i="2"/>
  <c r="B342" i="2"/>
  <c r="O341" i="2"/>
  <c r="B341" i="2"/>
  <c r="O340" i="2"/>
  <c r="B340" i="2"/>
  <c r="O339" i="2"/>
  <c r="B339" i="2"/>
  <c r="O338" i="2"/>
  <c r="B338" i="2"/>
  <c r="O337" i="2"/>
  <c r="B337" i="2"/>
  <c r="O336" i="2"/>
  <c r="B336" i="2"/>
  <c r="O335" i="2"/>
  <c r="B335" i="2"/>
  <c r="O334" i="2"/>
  <c r="B334" i="2"/>
  <c r="O333" i="2"/>
  <c r="B333" i="2"/>
  <c r="O332" i="2"/>
  <c r="B332" i="2"/>
  <c r="O331" i="2"/>
  <c r="B331" i="2"/>
  <c r="O330" i="2"/>
  <c r="B330" i="2"/>
  <c r="O329" i="2"/>
  <c r="B329" i="2"/>
  <c r="O328" i="2"/>
  <c r="B328" i="2"/>
  <c r="O327" i="2"/>
  <c r="B327" i="2"/>
  <c r="O326" i="2"/>
  <c r="B326" i="2"/>
  <c r="O325" i="2"/>
  <c r="B325" i="2"/>
  <c r="O324" i="2"/>
  <c r="B324" i="2"/>
  <c r="O323" i="2"/>
  <c r="B323" i="2"/>
  <c r="O322" i="2"/>
  <c r="B322" i="2"/>
  <c r="O321" i="2"/>
  <c r="B321" i="2"/>
  <c r="O320" i="2"/>
  <c r="B320" i="2"/>
  <c r="O319" i="2"/>
  <c r="B319" i="2"/>
  <c r="O318" i="2"/>
  <c r="B318" i="2"/>
  <c r="O317" i="2"/>
  <c r="B317" i="2"/>
  <c r="O316" i="2"/>
  <c r="B316" i="2"/>
  <c r="O315" i="2"/>
  <c r="B315" i="2"/>
  <c r="O314" i="2"/>
  <c r="B314" i="2"/>
  <c r="O313" i="2"/>
  <c r="B313" i="2"/>
  <c r="O312" i="2"/>
  <c r="B312" i="2"/>
  <c r="O311" i="2"/>
  <c r="B311" i="2"/>
  <c r="O310" i="2"/>
  <c r="B310" i="2"/>
  <c r="O309" i="2"/>
  <c r="B309" i="2"/>
  <c r="O308" i="2"/>
  <c r="B308" i="2"/>
  <c r="O307" i="2"/>
  <c r="B307" i="2"/>
  <c r="O306" i="2"/>
  <c r="B306" i="2"/>
  <c r="O305" i="2"/>
  <c r="B305" i="2"/>
  <c r="O304" i="2"/>
  <c r="B304" i="2"/>
  <c r="O303" i="2"/>
  <c r="B303" i="2"/>
  <c r="O302" i="2"/>
  <c r="B302" i="2"/>
  <c r="O301" i="2"/>
  <c r="B301" i="2"/>
  <c r="O300" i="2"/>
  <c r="B300" i="2"/>
  <c r="O299" i="2"/>
  <c r="B299" i="2"/>
  <c r="O298" i="2"/>
  <c r="B298" i="2"/>
  <c r="O297" i="2"/>
  <c r="B297" i="2"/>
  <c r="O296" i="2"/>
  <c r="B296" i="2"/>
  <c r="O295" i="2"/>
  <c r="B295" i="2"/>
  <c r="O294" i="2"/>
  <c r="B294" i="2"/>
  <c r="O293" i="2"/>
  <c r="B293" i="2"/>
  <c r="O292" i="2"/>
  <c r="B292" i="2"/>
  <c r="O291" i="2"/>
  <c r="B291" i="2"/>
  <c r="O290" i="2"/>
  <c r="B290" i="2"/>
  <c r="O289" i="2"/>
  <c r="B289" i="2"/>
  <c r="O288" i="2"/>
  <c r="B288" i="2"/>
  <c r="O287" i="2"/>
  <c r="B287" i="2"/>
  <c r="O286" i="2"/>
  <c r="B286" i="2"/>
  <c r="O285" i="2"/>
  <c r="B285" i="2"/>
  <c r="O284" i="2"/>
  <c r="B284" i="2"/>
  <c r="O283" i="2"/>
  <c r="B283" i="2"/>
  <c r="O282" i="2"/>
  <c r="B282" i="2"/>
  <c r="O281" i="2"/>
  <c r="B281" i="2"/>
  <c r="O280" i="2"/>
  <c r="B280" i="2"/>
  <c r="O279" i="2"/>
  <c r="B279" i="2"/>
  <c r="O278" i="2"/>
  <c r="B278" i="2"/>
  <c r="O277" i="2"/>
  <c r="B277" i="2"/>
  <c r="O276" i="2"/>
  <c r="B276" i="2"/>
  <c r="O275" i="2"/>
  <c r="B275" i="2"/>
  <c r="O274" i="2"/>
  <c r="B274" i="2"/>
  <c r="O273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K3" i="1"/>
  <c r="G1669" i="1" l="1"/>
  <c r="G1678" i="1"/>
  <c r="G1709" i="1"/>
  <c r="G1645" i="1"/>
  <c r="G1629" i="1"/>
  <c r="G1605" i="1"/>
  <c r="G1581" i="1"/>
  <c r="G1557" i="1"/>
  <c r="G1541" i="1"/>
  <c r="G1517" i="1"/>
  <c r="G1493" i="1"/>
  <c r="G1461" i="1"/>
  <c r="G1437" i="1"/>
  <c r="G1421" i="1"/>
  <c r="G1397" i="1"/>
  <c r="G1373" i="1"/>
  <c r="G1349" i="1"/>
  <c r="G1333" i="1"/>
  <c r="G1309" i="1"/>
  <c r="G1293" i="1"/>
  <c r="G1261" i="1"/>
  <c r="G1237" i="1"/>
  <c r="G1221" i="1"/>
  <c r="G1189" i="1"/>
  <c r="G1181" i="1"/>
  <c r="G1149" i="1"/>
  <c r="G1125" i="1"/>
  <c r="G1109" i="1"/>
  <c r="G1077" i="1"/>
  <c r="G1061" i="1"/>
  <c r="G1037" i="1"/>
  <c r="G1013" i="1"/>
  <c r="G997" i="1"/>
  <c r="G973" i="1"/>
  <c r="G949" i="1"/>
  <c r="G933" i="1"/>
  <c r="G901" i="1"/>
  <c r="G893" i="1"/>
  <c r="G861" i="1"/>
  <c r="G845" i="1"/>
  <c r="G821" i="1"/>
  <c r="G797" i="1"/>
  <c r="G773" i="1"/>
  <c r="G749" i="1"/>
  <c r="G733" i="1"/>
  <c r="G701" i="1"/>
  <c r="G693" i="1"/>
  <c r="G669" i="1"/>
  <c r="G1636" i="1"/>
  <c r="G1612" i="1"/>
  <c r="G1580" i="1"/>
  <c r="G1548" i="1"/>
  <c r="G1532" i="1"/>
  <c r="G1508" i="1"/>
  <c r="G1484" i="1"/>
  <c r="G1460" i="1"/>
  <c r="G1436" i="1"/>
  <c r="G1412" i="1"/>
  <c r="G1388" i="1"/>
  <c r="G1372" i="1"/>
  <c r="G1348" i="1"/>
  <c r="G1332" i="1"/>
  <c r="G1316" i="1"/>
  <c r="G1292" i="1"/>
  <c r="G1284" i="1"/>
  <c r="G1276" i="1"/>
  <c r="G1252" i="1"/>
  <c r="G1244" i="1"/>
  <c r="G1236" i="1"/>
  <c r="G1228" i="1"/>
  <c r="G1220" i="1"/>
  <c r="G1212" i="1"/>
  <c r="G1204" i="1"/>
  <c r="G1196" i="1"/>
  <c r="G1180" i="1"/>
  <c r="G1172" i="1"/>
  <c r="G1164" i="1"/>
  <c r="G1156" i="1"/>
  <c r="G1148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1637" i="1"/>
  <c r="G1597" i="1"/>
  <c r="G1573" i="1"/>
  <c r="G1533" i="1"/>
  <c r="G1501" i="1"/>
  <c r="G1469" i="1"/>
  <c r="G1429" i="1"/>
  <c r="G1389" i="1"/>
  <c r="G1357" i="1"/>
  <c r="G1317" i="1"/>
  <c r="G1285" i="1"/>
  <c r="G1253" i="1"/>
  <c r="G1213" i="1"/>
  <c r="G1173" i="1"/>
  <c r="G1141" i="1"/>
  <c r="G1101" i="1"/>
  <c r="G1069" i="1"/>
  <c r="G1029" i="1"/>
  <c r="G989" i="1"/>
  <c r="G957" i="1"/>
  <c r="G909" i="1"/>
  <c r="G869" i="1"/>
  <c r="G837" i="1"/>
  <c r="G805" i="1"/>
  <c r="G765" i="1"/>
  <c r="G725" i="1"/>
  <c r="G653" i="1"/>
  <c r="G1628" i="1"/>
  <c r="G1604" i="1"/>
  <c r="G1572" i="1"/>
  <c r="G1540" i="1"/>
  <c r="G1500" i="1"/>
  <c r="G1468" i="1"/>
  <c r="G1428" i="1"/>
  <c r="G1404" i="1"/>
  <c r="G1364" i="1"/>
  <c r="G1340" i="1"/>
  <c r="G1308" i="1"/>
  <c r="G1268" i="1"/>
  <c r="G1132" i="1"/>
  <c r="G1621" i="1"/>
  <c r="G1589" i="1"/>
  <c r="G1549" i="1"/>
  <c r="G1509" i="1"/>
  <c r="G1477" i="1"/>
  <c r="G1453" i="1"/>
  <c r="G1413" i="1"/>
  <c r="G1381" i="1"/>
  <c r="G1341" i="1"/>
  <c r="G1301" i="1"/>
  <c r="G1269" i="1"/>
  <c r="G1229" i="1"/>
  <c r="G1197" i="1"/>
  <c r="G1165" i="1"/>
  <c r="G1133" i="1"/>
  <c r="G1093" i="1"/>
  <c r="G1053" i="1"/>
  <c r="G1021" i="1"/>
  <c r="G981" i="1"/>
  <c r="G941" i="1"/>
  <c r="G917" i="1"/>
  <c r="G885" i="1"/>
  <c r="G853" i="1"/>
  <c r="G813" i="1"/>
  <c r="G781" i="1"/>
  <c r="G741" i="1"/>
  <c r="G709" i="1"/>
  <c r="G677" i="1"/>
  <c r="G645" i="1"/>
  <c r="G1620" i="1"/>
  <c r="G1588" i="1"/>
  <c r="G1556" i="1"/>
  <c r="G1524" i="1"/>
  <c r="G1492" i="1"/>
  <c r="G1452" i="1"/>
  <c r="G1420" i="1"/>
  <c r="G1396" i="1"/>
  <c r="G1356" i="1"/>
  <c r="G1324" i="1"/>
  <c r="G1300" i="1"/>
  <c r="G1260" i="1"/>
  <c r="G1140" i="1"/>
  <c r="G1613" i="1"/>
  <c r="G1565" i="1"/>
  <c r="G1525" i="1"/>
  <c r="G1485" i="1"/>
  <c r="G1445" i="1"/>
  <c r="G1405" i="1"/>
  <c r="G1365" i="1"/>
  <c r="G1325" i="1"/>
  <c r="G1277" i="1"/>
  <c r="G1245" i="1"/>
  <c r="G1205" i="1"/>
  <c r="G1157" i="1"/>
  <c r="G1117" i="1"/>
  <c r="G1085" i="1"/>
  <c r="G1045" i="1"/>
  <c r="G1005" i="1"/>
  <c r="G965" i="1"/>
  <c r="G925" i="1"/>
  <c r="G877" i="1"/>
  <c r="G829" i="1"/>
  <c r="G789" i="1"/>
  <c r="G757" i="1"/>
  <c r="G717" i="1"/>
  <c r="G685" i="1"/>
  <c r="G661" i="1"/>
  <c r="G1644" i="1"/>
  <c r="G1596" i="1"/>
  <c r="G1564" i="1"/>
  <c r="G1516" i="1"/>
  <c r="G1476" i="1"/>
  <c r="G1444" i="1"/>
  <c r="G1380" i="1"/>
  <c r="G1188" i="1"/>
  <c r="G1707" i="1"/>
  <c r="G629" i="1"/>
  <c r="G621" i="1"/>
  <c r="G613" i="1"/>
  <c r="G605" i="1"/>
  <c r="G597" i="1"/>
  <c r="G589" i="1"/>
  <c r="G581" i="1"/>
  <c r="G573" i="1"/>
  <c r="G565" i="1"/>
  <c r="G557" i="1"/>
  <c r="G549" i="1"/>
  <c r="G541" i="1"/>
  <c r="G533" i="1"/>
  <c r="G525" i="1"/>
  <c r="G517" i="1"/>
  <c r="G509" i="1"/>
  <c r="G501" i="1"/>
  <c r="G493" i="1"/>
  <c r="G485" i="1"/>
  <c r="G477" i="1"/>
  <c r="G469" i="1"/>
  <c r="G461" i="1"/>
  <c r="G453" i="1"/>
  <c r="G445" i="1"/>
  <c r="G437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229" i="1"/>
  <c r="G221" i="1"/>
  <c r="G213" i="1"/>
  <c r="G205" i="1"/>
  <c r="G197" i="1"/>
  <c r="G189" i="1"/>
  <c r="G181" i="1"/>
  <c r="G173" i="1"/>
  <c r="G165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726" i="1"/>
  <c r="G1700" i="1"/>
  <c r="G1719" i="1"/>
  <c r="G1652" i="1"/>
  <c r="G1734" i="1"/>
  <c r="G1725" i="1"/>
  <c r="G1710" i="1"/>
  <c r="G1704" i="1"/>
  <c r="G1689" i="1"/>
  <c r="G1667" i="1"/>
  <c r="G1665" i="1"/>
  <c r="G1677" i="1"/>
  <c r="G1697" i="1"/>
  <c r="G1649" i="1"/>
  <c r="G1723" i="1"/>
  <c r="G1708" i="1"/>
  <c r="G1643" i="1"/>
  <c r="G1635" i="1"/>
  <c r="G1627" i="1"/>
  <c r="G1619" i="1"/>
  <c r="G1611" i="1"/>
  <c r="G1603" i="1"/>
  <c r="G1595" i="1"/>
  <c r="G1587" i="1"/>
  <c r="G1579" i="1"/>
  <c r="G1571" i="1"/>
  <c r="G1563" i="1"/>
  <c r="G1555" i="1"/>
  <c r="G1547" i="1"/>
  <c r="G1539" i="1"/>
  <c r="G1531" i="1"/>
  <c r="G1523" i="1"/>
  <c r="G1515" i="1"/>
  <c r="G1507" i="1"/>
  <c r="G1499" i="1"/>
  <c r="G1491" i="1"/>
  <c r="G1483" i="1"/>
  <c r="G1475" i="1"/>
  <c r="G1467" i="1"/>
  <c r="G1459" i="1"/>
  <c r="G1451" i="1"/>
  <c r="G1443" i="1"/>
  <c r="G1435" i="1"/>
  <c r="G1427" i="1"/>
  <c r="G1419" i="1"/>
  <c r="G1411" i="1"/>
  <c r="G1403" i="1"/>
  <c r="G1395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641" i="1"/>
  <c r="G1633" i="1"/>
  <c r="G1625" i="1"/>
  <c r="G1617" i="1"/>
  <c r="G1609" i="1"/>
  <c r="G1601" i="1"/>
  <c r="G1593" i="1"/>
  <c r="G1585" i="1"/>
  <c r="G1577" i="1"/>
  <c r="G1569" i="1"/>
  <c r="G1561" i="1"/>
  <c r="G1553" i="1"/>
  <c r="G1545" i="1"/>
  <c r="G1537" i="1"/>
  <c r="G1529" i="1"/>
  <c r="G1521" i="1"/>
  <c r="G1513" i="1"/>
  <c r="G1505" i="1"/>
  <c r="G1497" i="1"/>
  <c r="G1489" i="1"/>
  <c r="G1481" i="1"/>
  <c r="G1473" i="1"/>
  <c r="G1465" i="1"/>
  <c r="G1457" i="1"/>
  <c r="G1449" i="1"/>
  <c r="G1441" i="1"/>
  <c r="G1433" i="1"/>
  <c r="G1425" i="1"/>
  <c r="G1417" i="1"/>
  <c r="G1409" i="1"/>
  <c r="G1401" i="1"/>
  <c r="G1393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1737" i="1"/>
  <c r="G1640" i="1"/>
  <c r="G1632" i="1"/>
  <c r="G1624" i="1"/>
  <c r="G1616" i="1"/>
  <c r="G1608" i="1"/>
  <c r="G1600" i="1"/>
  <c r="G1592" i="1"/>
  <c r="G1584" i="1"/>
  <c r="G1576" i="1"/>
  <c r="G1568" i="1"/>
  <c r="G1560" i="1"/>
  <c r="G1552" i="1"/>
  <c r="G1544" i="1"/>
  <c r="G1536" i="1"/>
  <c r="G1528" i="1"/>
  <c r="G1520" i="1"/>
  <c r="G1512" i="1"/>
  <c r="G1504" i="1"/>
  <c r="G1496" i="1"/>
  <c r="G1488" i="1"/>
  <c r="G1480" i="1"/>
  <c r="G1472" i="1"/>
  <c r="G1464" i="1"/>
  <c r="G1456" i="1"/>
  <c r="G1448" i="1"/>
  <c r="G1440" i="1"/>
  <c r="G1432" i="1"/>
  <c r="G1424" i="1"/>
  <c r="G1416" i="1"/>
  <c r="G1408" i="1"/>
  <c r="G1400" i="1"/>
  <c r="G1392" i="1"/>
  <c r="G1384" i="1"/>
  <c r="G1376" i="1"/>
  <c r="G1368" i="1"/>
  <c r="G1360" i="1"/>
  <c r="G1352" i="1"/>
  <c r="G1344" i="1"/>
  <c r="G1336" i="1"/>
  <c r="G1328" i="1"/>
  <c r="G1320" i="1"/>
  <c r="G1312" i="1"/>
  <c r="G1304" i="1"/>
  <c r="G1296" i="1"/>
  <c r="G1288" i="1"/>
  <c r="G1280" i="1"/>
  <c r="G1272" i="1"/>
  <c r="G1264" i="1"/>
  <c r="G1256" i="1"/>
  <c r="G1248" i="1"/>
  <c r="G1240" i="1"/>
  <c r="G1232" i="1"/>
  <c r="G1224" i="1"/>
  <c r="G1216" i="1"/>
  <c r="G1208" i="1"/>
  <c r="G1200" i="1"/>
  <c r="G1192" i="1"/>
  <c r="G1184" i="1"/>
  <c r="G1176" i="1"/>
  <c r="G1168" i="1"/>
  <c r="G1160" i="1"/>
  <c r="G1152" i="1"/>
  <c r="G1144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1664" i="1"/>
  <c r="G1662" i="1"/>
  <c r="G1651" i="1"/>
  <c r="G1741" i="1"/>
  <c r="G1698" i="1"/>
  <c r="G1703" i="1"/>
  <c r="G1713" i="1"/>
  <c r="G1653" i="1"/>
  <c r="G1731" i="1"/>
  <c r="G1718" i="1"/>
  <c r="G1705" i="1"/>
  <c r="G168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433" i="1"/>
  <c r="G425" i="1"/>
  <c r="G417" i="1"/>
  <c r="G409" i="1"/>
  <c r="G401" i="1"/>
  <c r="G393" i="1"/>
  <c r="G385" i="1"/>
  <c r="G377" i="1"/>
  <c r="G369" i="1"/>
  <c r="G361" i="1"/>
  <c r="G353" i="1"/>
  <c r="G345" i="1"/>
  <c r="G337" i="1"/>
  <c r="G329" i="1"/>
  <c r="G321" i="1"/>
  <c r="G313" i="1"/>
  <c r="G305" i="1"/>
  <c r="G297" i="1"/>
  <c r="G289" i="1"/>
  <c r="G281" i="1"/>
  <c r="G273" i="1"/>
  <c r="G265" i="1"/>
  <c r="G257" i="1"/>
  <c r="G249" i="1"/>
  <c r="G241" i="1"/>
  <c r="G1136" i="1"/>
  <c r="G1128" i="1"/>
  <c r="G1120" i="1"/>
  <c r="G1112" i="1"/>
  <c r="G1104" i="1"/>
  <c r="G1096" i="1"/>
  <c r="G1088" i="1"/>
  <c r="G1080" i="1"/>
  <c r="G1072" i="1"/>
  <c r="G1064" i="1"/>
  <c r="G1056" i="1"/>
  <c r="G1048" i="1"/>
  <c r="G1040" i="1"/>
  <c r="G1032" i="1"/>
  <c r="G1024" i="1"/>
  <c r="G1016" i="1"/>
  <c r="G1008" i="1"/>
  <c r="G1000" i="1"/>
  <c r="G992" i="1"/>
  <c r="G984" i="1"/>
  <c r="G976" i="1"/>
  <c r="G968" i="1"/>
  <c r="G960" i="1"/>
  <c r="G952" i="1"/>
  <c r="G944" i="1"/>
  <c r="G936" i="1"/>
  <c r="G928" i="1"/>
  <c r="G920" i="1"/>
  <c r="G912" i="1"/>
  <c r="G904" i="1"/>
  <c r="G896" i="1"/>
  <c r="G888" i="1"/>
  <c r="G880" i="1"/>
  <c r="G872" i="1"/>
  <c r="G864" i="1"/>
  <c r="G856" i="1"/>
  <c r="G848" i="1"/>
  <c r="G840" i="1"/>
  <c r="G832" i="1"/>
  <c r="G824" i="1"/>
  <c r="G816" i="1"/>
  <c r="G808" i="1"/>
  <c r="G800" i="1"/>
  <c r="G792" i="1"/>
  <c r="G784" i="1"/>
  <c r="G776" i="1"/>
  <c r="G768" i="1"/>
  <c r="G760" i="1"/>
  <c r="G752" i="1"/>
  <c r="G744" i="1"/>
  <c r="G736" i="1"/>
  <c r="G728" i="1"/>
  <c r="G720" i="1"/>
  <c r="G712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1660" i="1"/>
  <c r="G1674" i="1"/>
  <c r="G1673" i="1"/>
  <c r="G1690" i="1"/>
  <c r="G1694" i="1"/>
  <c r="G1699" i="1"/>
  <c r="G1717" i="1"/>
  <c r="G1648" i="1"/>
  <c r="G1742" i="1"/>
  <c r="G1721" i="1"/>
  <c r="G1712" i="1"/>
  <c r="G1682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1670" i="1"/>
  <c r="G1657" i="1"/>
  <c r="G1650" i="1"/>
  <c r="G1738" i="1"/>
  <c r="G1695" i="1"/>
  <c r="G1702" i="1"/>
  <c r="G1686" i="1"/>
  <c r="G1654" i="1"/>
  <c r="G1730" i="1"/>
  <c r="G1688" i="1"/>
  <c r="G1715" i="1"/>
  <c r="G1733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668" i="1"/>
  <c r="G1658" i="1"/>
  <c r="G1680" i="1"/>
  <c r="G1732" i="1"/>
  <c r="G1693" i="1"/>
  <c r="G1701" i="1"/>
  <c r="G1685" i="1"/>
  <c r="G1655" i="1"/>
  <c r="G1729" i="1"/>
  <c r="G1684" i="1"/>
  <c r="G1714" i="1"/>
  <c r="G1740" i="1"/>
  <c r="G1661" i="1"/>
  <c r="G1666" i="1"/>
  <c r="G1676" i="1"/>
  <c r="G1728" i="1"/>
  <c r="G1691" i="1"/>
  <c r="G1706" i="1"/>
  <c r="G1687" i="1"/>
  <c r="G1675" i="1"/>
  <c r="G1711" i="1"/>
  <c r="G1683" i="1"/>
  <c r="G1722" i="1"/>
  <c r="G1739" i="1"/>
  <c r="P4" i="2"/>
  <c r="P6" i="2"/>
  <c r="P8" i="2"/>
  <c r="P12" i="2"/>
  <c r="P20" i="2"/>
  <c r="P28" i="2"/>
  <c r="P36" i="2"/>
  <c r="P44" i="2"/>
  <c r="P52" i="2"/>
  <c r="R52" i="2" s="1"/>
  <c r="P60" i="2"/>
  <c r="P68" i="2"/>
  <c r="P76" i="2"/>
  <c r="P84" i="2"/>
  <c r="P92" i="2"/>
  <c r="P100" i="2"/>
  <c r="P108" i="2"/>
  <c r="P116" i="2"/>
  <c r="R116" i="2" s="1"/>
  <c r="P124" i="2"/>
  <c r="P132" i="2"/>
  <c r="P140" i="2"/>
  <c r="P148" i="2"/>
  <c r="P156" i="2"/>
  <c r="P164" i="2"/>
  <c r="P172" i="2"/>
  <c r="R172" i="2" s="1"/>
  <c r="P180" i="2"/>
  <c r="R180" i="2" s="1"/>
  <c r="P188" i="2"/>
  <c r="P196" i="2"/>
  <c r="P204" i="2"/>
  <c r="P212" i="2"/>
  <c r="P220" i="2"/>
  <c r="P228" i="2"/>
  <c r="P236" i="2"/>
  <c r="R236" i="2" s="1"/>
  <c r="P244" i="2"/>
  <c r="R244" i="2" s="1"/>
  <c r="P252" i="2"/>
  <c r="P260" i="2"/>
  <c r="P268" i="2"/>
  <c r="P5" i="2"/>
  <c r="P13" i="2"/>
  <c r="R13" i="2" s="1"/>
  <c r="P21" i="2"/>
  <c r="P29" i="2"/>
  <c r="R29" i="2" s="1"/>
  <c r="P37" i="2"/>
  <c r="R37" i="2" s="1"/>
  <c r="P45" i="2"/>
  <c r="P53" i="2"/>
  <c r="P61" i="2"/>
  <c r="P69" i="2"/>
  <c r="P77" i="2"/>
  <c r="P85" i="2"/>
  <c r="P93" i="2"/>
  <c r="R93" i="2" s="1"/>
  <c r="P101" i="2"/>
  <c r="R101" i="2" s="1"/>
  <c r="P109" i="2"/>
  <c r="P117" i="2"/>
  <c r="P125" i="2"/>
  <c r="P133" i="2"/>
  <c r="P141" i="2"/>
  <c r="P149" i="2"/>
  <c r="P157" i="2"/>
  <c r="R157" i="2" s="1"/>
  <c r="P165" i="2"/>
  <c r="R165" i="2" s="1"/>
  <c r="P173" i="2"/>
  <c r="P181" i="2"/>
  <c r="P189" i="2"/>
  <c r="P197" i="2"/>
  <c r="P205" i="2"/>
  <c r="P213" i="2"/>
  <c r="P221" i="2"/>
  <c r="R221" i="2" s="1"/>
  <c r="P229" i="2"/>
  <c r="R229" i="2" s="1"/>
  <c r="P237" i="2"/>
  <c r="P245" i="2"/>
  <c r="P253" i="2"/>
  <c r="P261" i="2"/>
  <c r="P269" i="2"/>
  <c r="R269" i="2" s="1"/>
  <c r="P14" i="2"/>
  <c r="P22" i="2"/>
  <c r="R22" i="2" s="1"/>
  <c r="P30" i="2"/>
  <c r="R30" i="2" s="1"/>
  <c r="P38" i="2"/>
  <c r="P46" i="2"/>
  <c r="P54" i="2"/>
  <c r="P62" i="2"/>
  <c r="P70" i="2"/>
  <c r="P78" i="2"/>
  <c r="P86" i="2"/>
  <c r="R86" i="2" s="1"/>
  <c r="P94" i="2"/>
  <c r="R94" i="2" s="1"/>
  <c r="P102" i="2"/>
  <c r="P110" i="2"/>
  <c r="P118" i="2"/>
  <c r="P126" i="2"/>
  <c r="P134" i="2"/>
  <c r="P142" i="2"/>
  <c r="P150" i="2"/>
  <c r="R150" i="2" s="1"/>
  <c r="P158" i="2"/>
  <c r="R158" i="2" s="1"/>
  <c r="P166" i="2"/>
  <c r="P174" i="2"/>
  <c r="P182" i="2"/>
  <c r="P190" i="2"/>
  <c r="P198" i="2"/>
  <c r="P206" i="2"/>
  <c r="P214" i="2"/>
  <c r="R214" i="2" s="1"/>
  <c r="P222" i="2"/>
  <c r="R222" i="2" s="1"/>
  <c r="P230" i="2"/>
  <c r="P238" i="2"/>
  <c r="P246" i="2"/>
  <c r="P254" i="2"/>
  <c r="P262" i="2"/>
  <c r="P270" i="2"/>
  <c r="P7" i="2"/>
  <c r="R7" i="2" s="1"/>
  <c r="P15" i="2"/>
  <c r="R15" i="2" s="1"/>
  <c r="P23" i="2"/>
  <c r="P31" i="2"/>
  <c r="P39" i="2"/>
  <c r="P47" i="2"/>
  <c r="P55" i="2"/>
  <c r="P63" i="2"/>
  <c r="P71" i="2"/>
  <c r="R71" i="2" s="1"/>
  <c r="P79" i="2"/>
  <c r="P87" i="2"/>
  <c r="P95" i="2"/>
  <c r="P103" i="2"/>
  <c r="P111" i="2"/>
  <c r="P119" i="2"/>
  <c r="P127" i="2"/>
  <c r="P135" i="2"/>
  <c r="R135" i="2" s="1"/>
  <c r="P143" i="2"/>
  <c r="R143" i="2" s="1"/>
  <c r="P151" i="2"/>
  <c r="P159" i="2"/>
  <c r="P167" i="2"/>
  <c r="P175" i="2"/>
  <c r="P183" i="2"/>
  <c r="P191" i="2"/>
  <c r="P199" i="2"/>
  <c r="R199" i="2" s="1"/>
  <c r="P207" i="2"/>
  <c r="P215" i="2"/>
  <c r="P223" i="2"/>
  <c r="P231" i="2"/>
  <c r="P239" i="2"/>
  <c r="P247" i="2"/>
  <c r="P255" i="2"/>
  <c r="P263" i="2"/>
  <c r="R263" i="2" s="1"/>
  <c r="P271" i="2"/>
  <c r="R271" i="2" s="1"/>
  <c r="P16" i="2"/>
  <c r="P24" i="2"/>
  <c r="P32" i="2"/>
  <c r="P40" i="2"/>
  <c r="P48" i="2"/>
  <c r="P56" i="2"/>
  <c r="P64" i="2"/>
  <c r="R64" i="2" s="1"/>
  <c r="P72" i="2"/>
  <c r="R72" i="2" s="1"/>
  <c r="P80" i="2"/>
  <c r="P88" i="2"/>
  <c r="P96" i="2"/>
  <c r="P104" i="2"/>
  <c r="P112" i="2"/>
  <c r="P120" i="2"/>
  <c r="P128" i="2"/>
  <c r="R128" i="2" s="1"/>
  <c r="P136" i="2"/>
  <c r="R136" i="2" s="1"/>
  <c r="P144" i="2"/>
  <c r="P152" i="2"/>
  <c r="P160" i="2"/>
  <c r="P168" i="2"/>
  <c r="P176" i="2"/>
  <c r="R176" i="2" s="1"/>
  <c r="P184" i="2"/>
  <c r="P192" i="2"/>
  <c r="R192" i="2" s="1"/>
  <c r="P200" i="2"/>
  <c r="R200" i="2" s="1"/>
  <c r="P208" i="2"/>
  <c r="P216" i="2"/>
  <c r="P224" i="2"/>
  <c r="P232" i="2"/>
  <c r="P240" i="2"/>
  <c r="P248" i="2"/>
  <c r="P256" i="2"/>
  <c r="P264" i="2"/>
  <c r="R264" i="2" s="1"/>
  <c r="P272" i="2"/>
  <c r="P9" i="2"/>
  <c r="P17" i="2"/>
  <c r="P25" i="2"/>
  <c r="P33" i="2"/>
  <c r="P41" i="2"/>
  <c r="P49" i="2"/>
  <c r="R49" i="2" s="1"/>
  <c r="P57" i="2"/>
  <c r="R57" i="2" s="1"/>
  <c r="P65" i="2"/>
  <c r="P73" i="2"/>
  <c r="P81" i="2"/>
  <c r="P89" i="2"/>
  <c r="P97" i="2"/>
  <c r="P105" i="2"/>
  <c r="P113" i="2"/>
  <c r="R113" i="2" s="1"/>
  <c r="P121" i="2"/>
  <c r="P129" i="2"/>
  <c r="P137" i="2"/>
  <c r="P145" i="2"/>
  <c r="P153" i="2"/>
  <c r="P161" i="2"/>
  <c r="P169" i="2"/>
  <c r="P177" i="2"/>
  <c r="R177" i="2" s="1"/>
  <c r="P185" i="2"/>
  <c r="R185" i="2" s="1"/>
  <c r="P193" i="2"/>
  <c r="P201" i="2"/>
  <c r="P209" i="2"/>
  <c r="P217" i="2"/>
  <c r="P225" i="2"/>
  <c r="P233" i="2"/>
  <c r="P241" i="2"/>
  <c r="R241" i="2" s="1"/>
  <c r="P249" i="2"/>
  <c r="R249" i="2" s="1"/>
  <c r="P257" i="2"/>
  <c r="P265" i="2"/>
  <c r="P2" i="2"/>
  <c r="P10" i="2"/>
  <c r="P18" i="2"/>
  <c r="R18" i="2" s="1"/>
  <c r="P26" i="2"/>
  <c r="P34" i="2"/>
  <c r="R34" i="2" s="1"/>
  <c r="P42" i="2"/>
  <c r="R42" i="2" s="1"/>
  <c r="P50" i="2"/>
  <c r="P58" i="2"/>
  <c r="P66" i="2"/>
  <c r="P74" i="2"/>
  <c r="P82" i="2"/>
  <c r="P90" i="2"/>
  <c r="P98" i="2"/>
  <c r="R98" i="2" s="1"/>
  <c r="P106" i="2"/>
  <c r="R106" i="2" s="1"/>
  <c r="P114" i="2"/>
  <c r="P122" i="2"/>
  <c r="P130" i="2"/>
  <c r="P138" i="2"/>
  <c r="P146" i="2"/>
  <c r="P154" i="2"/>
  <c r="P162" i="2"/>
  <c r="P170" i="2"/>
  <c r="R170" i="2" s="1"/>
  <c r="P178" i="2"/>
  <c r="P186" i="2"/>
  <c r="P194" i="2"/>
  <c r="P202" i="2"/>
  <c r="P210" i="2"/>
  <c r="P218" i="2"/>
  <c r="P226" i="2"/>
  <c r="R226" i="2" s="1"/>
  <c r="P234" i="2"/>
  <c r="R234" i="2" s="1"/>
  <c r="P242" i="2"/>
  <c r="P250" i="2"/>
  <c r="P258" i="2"/>
  <c r="P266" i="2"/>
  <c r="P3" i="2"/>
  <c r="P11" i="2"/>
  <c r="P19" i="2"/>
  <c r="R19" i="2" s="1"/>
  <c r="P27" i="2"/>
  <c r="R27" i="2" s="1"/>
  <c r="P35" i="2"/>
  <c r="P43" i="2"/>
  <c r="P51" i="2"/>
  <c r="P59" i="2"/>
  <c r="P67" i="2"/>
  <c r="P75" i="2"/>
  <c r="P83" i="2"/>
  <c r="R83" i="2" s="1"/>
  <c r="P91" i="2"/>
  <c r="R91" i="2" s="1"/>
  <c r="P99" i="2"/>
  <c r="P107" i="2"/>
  <c r="P115" i="2"/>
  <c r="P123" i="2"/>
  <c r="P131" i="2"/>
  <c r="P139" i="2"/>
  <c r="P147" i="2"/>
  <c r="R147" i="2" s="1"/>
  <c r="P155" i="2"/>
  <c r="R155" i="2" s="1"/>
  <c r="P163" i="2"/>
  <c r="P171" i="2"/>
  <c r="P179" i="2"/>
  <c r="P187" i="2"/>
  <c r="P195" i="2"/>
  <c r="P203" i="2"/>
  <c r="P211" i="2"/>
  <c r="R211" i="2" s="1"/>
  <c r="P219" i="2"/>
  <c r="R219" i="2" s="1"/>
  <c r="P227" i="2"/>
  <c r="P235" i="2"/>
  <c r="P243" i="2"/>
  <c r="P251" i="2"/>
  <c r="P259" i="2"/>
  <c r="P267" i="2"/>
  <c r="I101" i="1"/>
  <c r="K101" i="1" s="1"/>
  <c r="I109" i="1"/>
  <c r="K109" i="1" s="1"/>
  <c r="I117" i="1"/>
  <c r="I125" i="1"/>
  <c r="I133" i="1"/>
  <c r="I141" i="1"/>
  <c r="I149" i="1"/>
  <c r="I157" i="1"/>
  <c r="I165" i="1"/>
  <c r="K165" i="1" s="1"/>
  <c r="I173" i="1"/>
  <c r="K173" i="1" s="1"/>
  <c r="I181" i="1"/>
  <c r="I189" i="1"/>
  <c r="I197" i="1"/>
  <c r="I205" i="1"/>
  <c r="I213" i="1"/>
  <c r="I221" i="1"/>
  <c r="I229" i="1"/>
  <c r="K229" i="1" s="1"/>
  <c r="I237" i="1"/>
  <c r="K237" i="1" s="1"/>
  <c r="I245" i="1"/>
  <c r="I253" i="1"/>
  <c r="I261" i="1"/>
  <c r="I269" i="1"/>
  <c r="I277" i="1"/>
  <c r="I285" i="1"/>
  <c r="I293" i="1"/>
  <c r="K293" i="1" s="1"/>
  <c r="I301" i="1"/>
  <c r="K301" i="1" s="1"/>
  <c r="I309" i="1"/>
  <c r="I317" i="1"/>
  <c r="I325" i="1"/>
  <c r="I333" i="1"/>
  <c r="I341" i="1"/>
  <c r="I349" i="1"/>
  <c r="I357" i="1"/>
  <c r="K357" i="1" s="1"/>
  <c r="I365" i="1"/>
  <c r="K365" i="1" s="1"/>
  <c r="I373" i="1"/>
  <c r="I381" i="1"/>
  <c r="I389" i="1"/>
  <c r="I397" i="1"/>
  <c r="I405" i="1"/>
  <c r="I413" i="1"/>
  <c r="I421" i="1"/>
  <c r="K421" i="1" s="1"/>
  <c r="I429" i="1"/>
  <c r="K429" i="1" s="1"/>
  <c r="I437" i="1"/>
  <c r="I445" i="1"/>
  <c r="I453" i="1"/>
  <c r="I461" i="1"/>
  <c r="I469" i="1"/>
  <c r="I477" i="1"/>
  <c r="I485" i="1"/>
  <c r="K485" i="1" s="1"/>
  <c r="I493" i="1"/>
  <c r="K493" i="1" s="1"/>
  <c r="I501" i="1"/>
  <c r="I509" i="1"/>
  <c r="I517" i="1"/>
  <c r="I525" i="1"/>
  <c r="I533" i="1"/>
  <c r="I541" i="1"/>
  <c r="I549" i="1"/>
  <c r="K549" i="1" s="1"/>
  <c r="I557" i="1"/>
  <c r="K557" i="1" s="1"/>
  <c r="I565" i="1"/>
  <c r="I573" i="1"/>
  <c r="I581" i="1"/>
  <c r="I589" i="1"/>
  <c r="I597" i="1"/>
  <c r="I605" i="1"/>
  <c r="I613" i="1"/>
  <c r="K613" i="1" s="1"/>
  <c r="I621" i="1"/>
  <c r="K621" i="1" s="1"/>
  <c r="I629" i="1"/>
  <c r="I637" i="1"/>
  <c r="I645" i="1"/>
  <c r="I653" i="1"/>
  <c r="I661" i="1"/>
  <c r="I669" i="1"/>
  <c r="I677" i="1"/>
  <c r="K677" i="1" s="1"/>
  <c r="I685" i="1"/>
  <c r="K685" i="1" s="1"/>
  <c r="I693" i="1"/>
  <c r="I701" i="1"/>
  <c r="I709" i="1"/>
  <c r="I717" i="1"/>
  <c r="I725" i="1"/>
  <c r="K725" i="1" s="1"/>
  <c r="I733" i="1"/>
  <c r="I741" i="1"/>
  <c r="K741" i="1" s="1"/>
  <c r="I102" i="1"/>
  <c r="K102" i="1" s="1"/>
  <c r="I110" i="1"/>
  <c r="I118" i="1"/>
  <c r="I126" i="1"/>
  <c r="I134" i="1"/>
  <c r="I142" i="1"/>
  <c r="I150" i="1"/>
  <c r="I158" i="1"/>
  <c r="K158" i="1" s="1"/>
  <c r="I166" i="1"/>
  <c r="K166" i="1" s="1"/>
  <c r="I174" i="1"/>
  <c r="I182" i="1"/>
  <c r="I190" i="1"/>
  <c r="I198" i="1"/>
  <c r="I206" i="1"/>
  <c r="I214" i="1"/>
  <c r="I222" i="1"/>
  <c r="K222" i="1" s="1"/>
  <c r="I230" i="1"/>
  <c r="K230" i="1" s="1"/>
  <c r="I238" i="1"/>
  <c r="I246" i="1"/>
  <c r="I254" i="1"/>
  <c r="I262" i="1"/>
  <c r="I270" i="1"/>
  <c r="I278" i="1"/>
  <c r="I286" i="1"/>
  <c r="K286" i="1" s="1"/>
  <c r="I294" i="1"/>
  <c r="K294" i="1" s="1"/>
  <c r="I302" i="1"/>
  <c r="I310" i="1"/>
  <c r="I318" i="1"/>
  <c r="I326" i="1"/>
  <c r="I334" i="1"/>
  <c r="K334" i="1" s="1"/>
  <c r="I342" i="1"/>
  <c r="I350" i="1"/>
  <c r="K350" i="1" s="1"/>
  <c r="I358" i="1"/>
  <c r="K358" i="1" s="1"/>
  <c r="I366" i="1"/>
  <c r="I374" i="1"/>
  <c r="I382" i="1"/>
  <c r="I390" i="1"/>
  <c r="I398" i="1"/>
  <c r="I406" i="1"/>
  <c r="I414" i="1"/>
  <c r="K414" i="1" s="1"/>
  <c r="I422" i="1"/>
  <c r="K422" i="1" s="1"/>
  <c r="I430" i="1"/>
  <c r="I438" i="1"/>
  <c r="I446" i="1"/>
  <c r="I454" i="1"/>
  <c r="I462" i="1"/>
  <c r="K462" i="1" s="1"/>
  <c r="I470" i="1"/>
  <c r="I478" i="1"/>
  <c r="K478" i="1" s="1"/>
  <c r="I486" i="1"/>
  <c r="K486" i="1" s="1"/>
  <c r="I494" i="1"/>
  <c r="I502" i="1"/>
  <c r="I510" i="1"/>
  <c r="I518" i="1"/>
  <c r="I526" i="1"/>
  <c r="K526" i="1" s="1"/>
  <c r="I534" i="1"/>
  <c r="I542" i="1"/>
  <c r="K542" i="1" s="1"/>
  <c r="I550" i="1"/>
  <c r="K550" i="1" s="1"/>
  <c r="I558" i="1"/>
  <c r="I566" i="1"/>
  <c r="I574" i="1"/>
  <c r="I582" i="1"/>
  <c r="I590" i="1"/>
  <c r="I598" i="1"/>
  <c r="I606" i="1"/>
  <c r="K606" i="1" s="1"/>
  <c r="I614" i="1"/>
  <c r="K614" i="1" s="1"/>
  <c r="I622" i="1"/>
  <c r="I630" i="1"/>
  <c r="I638" i="1"/>
  <c r="I646" i="1"/>
  <c r="I654" i="1"/>
  <c r="K654" i="1" s="1"/>
  <c r="I662" i="1"/>
  <c r="I670" i="1"/>
  <c r="K670" i="1" s="1"/>
  <c r="I678" i="1"/>
  <c r="K678" i="1" s="1"/>
  <c r="I686" i="1"/>
  <c r="I694" i="1"/>
  <c r="I702" i="1"/>
  <c r="I710" i="1"/>
  <c r="I718" i="1"/>
  <c r="I726" i="1"/>
  <c r="I734" i="1"/>
  <c r="K734" i="1" s="1"/>
  <c r="I742" i="1"/>
  <c r="K742" i="1" s="1"/>
  <c r="I750" i="1"/>
  <c r="I758" i="1"/>
  <c r="I766" i="1"/>
  <c r="I774" i="1"/>
  <c r="I103" i="1"/>
  <c r="I111" i="1"/>
  <c r="I119" i="1"/>
  <c r="K119" i="1" s="1"/>
  <c r="I127" i="1"/>
  <c r="K127" i="1" s="1"/>
  <c r="I135" i="1"/>
  <c r="I143" i="1"/>
  <c r="I151" i="1"/>
  <c r="I159" i="1"/>
  <c r="I167" i="1"/>
  <c r="I175" i="1"/>
  <c r="I183" i="1"/>
  <c r="K183" i="1" s="1"/>
  <c r="I191" i="1"/>
  <c r="K191" i="1" s="1"/>
  <c r="I199" i="1"/>
  <c r="I207" i="1"/>
  <c r="I215" i="1"/>
  <c r="I223" i="1"/>
  <c r="I231" i="1"/>
  <c r="I239" i="1"/>
  <c r="I247" i="1"/>
  <c r="K247" i="1" s="1"/>
  <c r="I255" i="1"/>
  <c r="K255" i="1" s="1"/>
  <c r="I104" i="1"/>
  <c r="I112" i="1"/>
  <c r="I120" i="1"/>
  <c r="I128" i="1"/>
  <c r="I136" i="1"/>
  <c r="K136" i="1" s="1"/>
  <c r="I144" i="1"/>
  <c r="I152" i="1"/>
  <c r="K152" i="1" s="1"/>
  <c r="I160" i="1"/>
  <c r="K160" i="1" s="1"/>
  <c r="I168" i="1"/>
  <c r="I176" i="1"/>
  <c r="I184" i="1"/>
  <c r="I192" i="1"/>
  <c r="I200" i="1"/>
  <c r="I208" i="1"/>
  <c r="I216" i="1"/>
  <c r="K216" i="1" s="1"/>
  <c r="I224" i="1"/>
  <c r="K224" i="1" s="1"/>
  <c r="I232" i="1"/>
  <c r="I240" i="1"/>
  <c r="I248" i="1"/>
  <c r="I256" i="1"/>
  <c r="I264" i="1"/>
  <c r="I272" i="1"/>
  <c r="I280" i="1"/>
  <c r="K280" i="1" s="1"/>
  <c r="I288" i="1"/>
  <c r="K288" i="1" s="1"/>
  <c r="I296" i="1"/>
  <c r="I304" i="1"/>
  <c r="I312" i="1"/>
  <c r="I320" i="1"/>
  <c r="I328" i="1"/>
  <c r="I336" i="1"/>
  <c r="I344" i="1"/>
  <c r="K344" i="1" s="1"/>
  <c r="I352" i="1"/>
  <c r="K352" i="1" s="1"/>
  <c r="I360" i="1"/>
  <c r="I368" i="1"/>
  <c r="I376" i="1"/>
  <c r="I384" i="1"/>
  <c r="I392" i="1"/>
  <c r="I400" i="1"/>
  <c r="I408" i="1"/>
  <c r="K408" i="1" s="1"/>
  <c r="I416" i="1"/>
  <c r="K416" i="1" s="1"/>
  <c r="I424" i="1"/>
  <c r="I432" i="1"/>
  <c r="I440" i="1"/>
  <c r="I448" i="1"/>
  <c r="I456" i="1"/>
  <c r="I464" i="1"/>
  <c r="I472" i="1"/>
  <c r="K472" i="1" s="1"/>
  <c r="I480" i="1"/>
  <c r="K480" i="1" s="1"/>
  <c r="I488" i="1"/>
  <c r="I496" i="1"/>
  <c r="I504" i="1"/>
  <c r="I512" i="1"/>
  <c r="I520" i="1"/>
  <c r="K520" i="1" s="1"/>
  <c r="I528" i="1"/>
  <c r="I536" i="1"/>
  <c r="K536" i="1" s="1"/>
  <c r="I544" i="1"/>
  <c r="K544" i="1" s="1"/>
  <c r="I552" i="1"/>
  <c r="I560" i="1"/>
  <c r="I568" i="1"/>
  <c r="I576" i="1"/>
  <c r="I584" i="1"/>
  <c r="I592" i="1"/>
  <c r="I600" i="1"/>
  <c r="K600" i="1" s="1"/>
  <c r="I608" i="1"/>
  <c r="K608" i="1" s="1"/>
  <c r="I616" i="1"/>
  <c r="I624" i="1"/>
  <c r="I632" i="1"/>
  <c r="I640" i="1"/>
  <c r="I648" i="1"/>
  <c r="I656" i="1"/>
  <c r="I664" i="1"/>
  <c r="K664" i="1" s="1"/>
  <c r="I672" i="1"/>
  <c r="K672" i="1" s="1"/>
  <c r="I680" i="1"/>
  <c r="I688" i="1"/>
  <c r="I696" i="1"/>
  <c r="I704" i="1"/>
  <c r="I712" i="1"/>
  <c r="I720" i="1"/>
  <c r="I728" i="1"/>
  <c r="K728" i="1" s="1"/>
  <c r="I736" i="1"/>
  <c r="K736" i="1" s="1"/>
  <c r="I744" i="1"/>
  <c r="I752" i="1"/>
  <c r="I105" i="1"/>
  <c r="I113" i="1"/>
  <c r="I121" i="1"/>
  <c r="I129" i="1"/>
  <c r="I137" i="1"/>
  <c r="K137" i="1" s="1"/>
  <c r="I145" i="1"/>
  <c r="K145" i="1" s="1"/>
  <c r="I153" i="1"/>
  <c r="I161" i="1"/>
  <c r="I169" i="1"/>
  <c r="I177" i="1"/>
  <c r="I185" i="1"/>
  <c r="I193" i="1"/>
  <c r="I201" i="1"/>
  <c r="K201" i="1" s="1"/>
  <c r="I209" i="1"/>
  <c r="K209" i="1" s="1"/>
  <c r="I217" i="1"/>
  <c r="I225" i="1"/>
  <c r="I233" i="1"/>
  <c r="I241" i="1"/>
  <c r="I249" i="1"/>
  <c r="I257" i="1"/>
  <c r="I265" i="1"/>
  <c r="K265" i="1" s="1"/>
  <c r="I273" i="1"/>
  <c r="K273" i="1" s="1"/>
  <c r="I281" i="1"/>
  <c r="I289" i="1"/>
  <c r="I297" i="1"/>
  <c r="I305" i="1"/>
  <c r="I313" i="1"/>
  <c r="I321" i="1"/>
  <c r="I329" i="1"/>
  <c r="K329" i="1" s="1"/>
  <c r="I337" i="1"/>
  <c r="K337" i="1" s="1"/>
  <c r="I345" i="1"/>
  <c r="I353" i="1"/>
  <c r="I361" i="1"/>
  <c r="I369" i="1"/>
  <c r="I377" i="1"/>
  <c r="I385" i="1"/>
  <c r="I393" i="1"/>
  <c r="K393" i="1" s="1"/>
  <c r="I401" i="1"/>
  <c r="K401" i="1" s="1"/>
  <c r="I409" i="1"/>
  <c r="I417" i="1"/>
  <c r="I425" i="1"/>
  <c r="I433" i="1"/>
  <c r="I441" i="1"/>
  <c r="I449" i="1"/>
  <c r="I457" i="1"/>
  <c r="K457" i="1" s="1"/>
  <c r="I465" i="1"/>
  <c r="K465" i="1" s="1"/>
  <c r="I473" i="1"/>
  <c r="I481" i="1"/>
  <c r="I489" i="1"/>
  <c r="I497" i="1"/>
  <c r="I505" i="1"/>
  <c r="I513" i="1"/>
  <c r="I521" i="1"/>
  <c r="K521" i="1" s="1"/>
  <c r="I529" i="1"/>
  <c r="K529" i="1" s="1"/>
  <c r="I537" i="1"/>
  <c r="I545" i="1"/>
  <c r="I553" i="1"/>
  <c r="I561" i="1"/>
  <c r="I569" i="1"/>
  <c r="I577" i="1"/>
  <c r="I585" i="1"/>
  <c r="K585" i="1" s="1"/>
  <c r="I593" i="1"/>
  <c r="K593" i="1" s="1"/>
  <c r="I601" i="1"/>
  <c r="I609" i="1"/>
  <c r="I617" i="1"/>
  <c r="I625" i="1"/>
  <c r="I633" i="1"/>
  <c r="I641" i="1"/>
  <c r="I649" i="1"/>
  <c r="K649" i="1" s="1"/>
  <c r="I657" i="1"/>
  <c r="K657" i="1" s="1"/>
  <c r="I665" i="1"/>
  <c r="I673" i="1"/>
  <c r="I681" i="1"/>
  <c r="I689" i="1"/>
  <c r="I697" i="1"/>
  <c r="I705" i="1"/>
  <c r="I713" i="1"/>
  <c r="K713" i="1" s="1"/>
  <c r="I721" i="1"/>
  <c r="K721" i="1" s="1"/>
  <c r="I729" i="1"/>
  <c r="I737" i="1"/>
  <c r="I106" i="1"/>
  <c r="I124" i="1"/>
  <c r="I147" i="1"/>
  <c r="I170" i="1"/>
  <c r="I188" i="1"/>
  <c r="K188" i="1" s="1"/>
  <c r="I211" i="1"/>
  <c r="K211" i="1" s="1"/>
  <c r="I234" i="1"/>
  <c r="I252" i="1"/>
  <c r="I271" i="1"/>
  <c r="I287" i="1"/>
  <c r="I303" i="1"/>
  <c r="I319" i="1"/>
  <c r="I335" i="1"/>
  <c r="K335" i="1" s="1"/>
  <c r="I351" i="1"/>
  <c r="K351" i="1" s="1"/>
  <c r="I367" i="1"/>
  <c r="I383" i="1"/>
  <c r="I399" i="1"/>
  <c r="I415" i="1"/>
  <c r="I431" i="1"/>
  <c r="I447" i="1"/>
  <c r="I463" i="1"/>
  <c r="K463" i="1" s="1"/>
  <c r="I479" i="1"/>
  <c r="K479" i="1" s="1"/>
  <c r="I495" i="1"/>
  <c r="I511" i="1"/>
  <c r="I527" i="1"/>
  <c r="I543" i="1"/>
  <c r="I559" i="1"/>
  <c r="I575" i="1"/>
  <c r="I591" i="1"/>
  <c r="K591" i="1" s="1"/>
  <c r="I607" i="1"/>
  <c r="K607" i="1" s="1"/>
  <c r="I623" i="1"/>
  <c r="I639" i="1"/>
  <c r="I655" i="1"/>
  <c r="I671" i="1"/>
  <c r="I687" i="1"/>
  <c r="I703" i="1"/>
  <c r="I719" i="1"/>
  <c r="K719" i="1" s="1"/>
  <c r="I735" i="1"/>
  <c r="K735" i="1" s="1"/>
  <c r="I748" i="1"/>
  <c r="I759" i="1"/>
  <c r="I768" i="1"/>
  <c r="I777" i="1"/>
  <c r="I785" i="1"/>
  <c r="I793" i="1"/>
  <c r="I801" i="1"/>
  <c r="K801" i="1" s="1"/>
  <c r="I809" i="1"/>
  <c r="K809" i="1" s="1"/>
  <c r="I817" i="1"/>
  <c r="I825" i="1"/>
  <c r="I833" i="1"/>
  <c r="I841" i="1"/>
  <c r="I849" i="1"/>
  <c r="I857" i="1"/>
  <c r="I865" i="1"/>
  <c r="K865" i="1" s="1"/>
  <c r="I873" i="1"/>
  <c r="K873" i="1" s="1"/>
  <c r="I881" i="1"/>
  <c r="I889" i="1"/>
  <c r="I897" i="1"/>
  <c r="I905" i="1"/>
  <c r="I913" i="1"/>
  <c r="I921" i="1"/>
  <c r="I929" i="1"/>
  <c r="K929" i="1" s="1"/>
  <c r="I937" i="1"/>
  <c r="K937" i="1" s="1"/>
  <c r="I945" i="1"/>
  <c r="I953" i="1"/>
  <c r="I961" i="1"/>
  <c r="I969" i="1"/>
  <c r="I977" i="1"/>
  <c r="I985" i="1"/>
  <c r="I993" i="1"/>
  <c r="K993" i="1" s="1"/>
  <c r="I1001" i="1"/>
  <c r="K1001" i="1" s="1"/>
  <c r="I1009" i="1"/>
  <c r="I1017" i="1"/>
  <c r="I1025" i="1"/>
  <c r="I1033" i="1"/>
  <c r="I1041" i="1"/>
  <c r="I1049" i="1"/>
  <c r="I1057" i="1"/>
  <c r="I1065" i="1"/>
  <c r="K1065" i="1" s="1"/>
  <c r="I1073" i="1"/>
  <c r="I1081" i="1"/>
  <c r="I1089" i="1"/>
  <c r="I1097" i="1"/>
  <c r="I1105" i="1"/>
  <c r="I1113" i="1"/>
  <c r="I1121" i="1"/>
  <c r="K1121" i="1" s="1"/>
  <c r="I107" i="1"/>
  <c r="K107" i="1" s="1"/>
  <c r="I130" i="1"/>
  <c r="I148" i="1"/>
  <c r="I171" i="1"/>
  <c r="I194" i="1"/>
  <c r="I212" i="1"/>
  <c r="I235" i="1"/>
  <c r="I258" i="1"/>
  <c r="K258" i="1" s="1"/>
  <c r="I274" i="1"/>
  <c r="K274" i="1" s="1"/>
  <c r="I290" i="1"/>
  <c r="I306" i="1"/>
  <c r="I322" i="1"/>
  <c r="I338" i="1"/>
  <c r="I354" i="1"/>
  <c r="K354" i="1" s="1"/>
  <c r="I370" i="1"/>
  <c r="I386" i="1"/>
  <c r="K386" i="1" s="1"/>
  <c r="I402" i="1"/>
  <c r="K402" i="1" s="1"/>
  <c r="I418" i="1"/>
  <c r="I434" i="1"/>
  <c r="I450" i="1"/>
  <c r="I466" i="1"/>
  <c r="I482" i="1"/>
  <c r="I498" i="1"/>
  <c r="I514" i="1"/>
  <c r="K514" i="1" s="1"/>
  <c r="I530" i="1"/>
  <c r="K530" i="1" s="1"/>
  <c r="I546" i="1"/>
  <c r="I562" i="1"/>
  <c r="I578" i="1"/>
  <c r="I594" i="1"/>
  <c r="I610" i="1"/>
  <c r="K610" i="1" s="1"/>
  <c r="I626" i="1"/>
  <c r="I642" i="1"/>
  <c r="K642" i="1" s="1"/>
  <c r="I658" i="1"/>
  <c r="K658" i="1" s="1"/>
  <c r="I674" i="1"/>
  <c r="I690" i="1"/>
  <c r="I706" i="1"/>
  <c r="I722" i="1"/>
  <c r="I738" i="1"/>
  <c r="I749" i="1"/>
  <c r="I760" i="1"/>
  <c r="K760" i="1" s="1"/>
  <c r="I769" i="1"/>
  <c r="K769" i="1" s="1"/>
  <c r="I778" i="1"/>
  <c r="I786" i="1"/>
  <c r="I794" i="1"/>
  <c r="I802" i="1"/>
  <c r="I810" i="1"/>
  <c r="K810" i="1" s="1"/>
  <c r="I818" i="1"/>
  <c r="I826" i="1"/>
  <c r="K826" i="1" s="1"/>
  <c r="I834" i="1"/>
  <c r="K834" i="1" s="1"/>
  <c r="I842" i="1"/>
  <c r="I850" i="1"/>
  <c r="I858" i="1"/>
  <c r="I866" i="1"/>
  <c r="I874" i="1"/>
  <c r="I882" i="1"/>
  <c r="I890" i="1"/>
  <c r="K890" i="1" s="1"/>
  <c r="I898" i="1"/>
  <c r="K898" i="1" s="1"/>
  <c r="I906" i="1"/>
  <c r="I914" i="1"/>
  <c r="I922" i="1"/>
  <c r="I930" i="1"/>
  <c r="I938" i="1"/>
  <c r="K938" i="1" s="1"/>
  <c r="I946" i="1"/>
  <c r="I954" i="1"/>
  <c r="K954" i="1" s="1"/>
  <c r="I962" i="1"/>
  <c r="K962" i="1" s="1"/>
  <c r="I970" i="1"/>
  <c r="I978" i="1"/>
  <c r="I986" i="1"/>
  <c r="I994" i="1"/>
  <c r="I1002" i="1"/>
  <c r="K1002" i="1" s="1"/>
  <c r="I1010" i="1"/>
  <c r="I1018" i="1"/>
  <c r="K1018" i="1" s="1"/>
  <c r="I1026" i="1"/>
  <c r="K1026" i="1" s="1"/>
  <c r="I1034" i="1"/>
  <c r="I1042" i="1"/>
  <c r="I1050" i="1"/>
  <c r="I1058" i="1"/>
  <c r="I1066" i="1"/>
  <c r="K1066" i="1" s="1"/>
  <c r="I1074" i="1"/>
  <c r="I1082" i="1"/>
  <c r="K1082" i="1" s="1"/>
  <c r="I1090" i="1"/>
  <c r="K1090" i="1" s="1"/>
  <c r="I1098" i="1"/>
  <c r="I1106" i="1"/>
  <c r="I1114" i="1"/>
  <c r="I1122" i="1"/>
  <c r="I1130" i="1"/>
  <c r="K1130" i="1" s="1"/>
  <c r="I1138" i="1"/>
  <c r="I1146" i="1"/>
  <c r="K1146" i="1" s="1"/>
  <c r="I108" i="1"/>
  <c r="K108" i="1" s="1"/>
  <c r="I131" i="1"/>
  <c r="I154" i="1"/>
  <c r="I172" i="1"/>
  <c r="I195" i="1"/>
  <c r="I218" i="1"/>
  <c r="K218" i="1" s="1"/>
  <c r="I236" i="1"/>
  <c r="I259" i="1"/>
  <c r="K259" i="1" s="1"/>
  <c r="I275" i="1"/>
  <c r="K275" i="1" s="1"/>
  <c r="I291" i="1"/>
  <c r="I307" i="1"/>
  <c r="I323" i="1"/>
  <c r="I339" i="1"/>
  <c r="I355" i="1"/>
  <c r="K355" i="1" s="1"/>
  <c r="I371" i="1"/>
  <c r="I387" i="1"/>
  <c r="K387" i="1" s="1"/>
  <c r="I403" i="1"/>
  <c r="K403" i="1" s="1"/>
  <c r="I419" i="1"/>
  <c r="I435" i="1"/>
  <c r="I451" i="1"/>
  <c r="I467" i="1"/>
  <c r="I483" i="1"/>
  <c r="K483" i="1" s="1"/>
  <c r="I499" i="1"/>
  <c r="I515" i="1"/>
  <c r="K515" i="1" s="1"/>
  <c r="I531" i="1"/>
  <c r="K531" i="1" s="1"/>
  <c r="I547" i="1"/>
  <c r="I563" i="1"/>
  <c r="I579" i="1"/>
  <c r="I595" i="1"/>
  <c r="I611" i="1"/>
  <c r="K611" i="1" s="1"/>
  <c r="I627" i="1"/>
  <c r="I643" i="1"/>
  <c r="K643" i="1" s="1"/>
  <c r="I659" i="1"/>
  <c r="K659" i="1" s="1"/>
  <c r="I675" i="1"/>
  <c r="I691" i="1"/>
  <c r="I707" i="1"/>
  <c r="I723" i="1"/>
  <c r="I739" i="1"/>
  <c r="K739" i="1" s="1"/>
  <c r="I751" i="1"/>
  <c r="I761" i="1"/>
  <c r="K761" i="1" s="1"/>
  <c r="I770" i="1"/>
  <c r="K770" i="1" s="1"/>
  <c r="I779" i="1"/>
  <c r="I787" i="1"/>
  <c r="I795" i="1"/>
  <c r="I803" i="1"/>
  <c r="I811" i="1"/>
  <c r="I819" i="1"/>
  <c r="I827" i="1"/>
  <c r="K827" i="1" s="1"/>
  <c r="I835" i="1"/>
  <c r="K835" i="1" s="1"/>
  <c r="I843" i="1"/>
  <c r="I851" i="1"/>
  <c r="I859" i="1"/>
  <c r="I867" i="1"/>
  <c r="I875" i="1"/>
  <c r="I883" i="1"/>
  <c r="I891" i="1"/>
  <c r="K891" i="1" s="1"/>
  <c r="I899" i="1"/>
  <c r="K899" i="1" s="1"/>
  <c r="I907" i="1"/>
  <c r="I915" i="1"/>
  <c r="I923" i="1"/>
  <c r="I931" i="1"/>
  <c r="I939" i="1"/>
  <c r="K939" i="1" s="1"/>
  <c r="I947" i="1"/>
  <c r="I955" i="1"/>
  <c r="K955" i="1" s="1"/>
  <c r="I963" i="1"/>
  <c r="K963" i="1" s="1"/>
  <c r="I971" i="1"/>
  <c r="I979" i="1"/>
  <c r="I987" i="1"/>
  <c r="I995" i="1"/>
  <c r="I1003" i="1"/>
  <c r="I1011" i="1"/>
  <c r="I1019" i="1"/>
  <c r="K1019" i="1" s="1"/>
  <c r="I1027" i="1"/>
  <c r="K1027" i="1" s="1"/>
  <c r="I1035" i="1"/>
  <c r="I1043" i="1"/>
  <c r="I1051" i="1"/>
  <c r="I1059" i="1"/>
  <c r="I1067" i="1"/>
  <c r="K1067" i="1" s="1"/>
  <c r="I1075" i="1"/>
  <c r="I1083" i="1"/>
  <c r="K1083" i="1" s="1"/>
  <c r="I1091" i="1"/>
  <c r="K1091" i="1" s="1"/>
  <c r="I1099" i="1"/>
  <c r="I1107" i="1"/>
  <c r="I114" i="1"/>
  <c r="I132" i="1"/>
  <c r="I155" i="1"/>
  <c r="I178" i="1"/>
  <c r="I196" i="1"/>
  <c r="K196" i="1" s="1"/>
  <c r="I219" i="1"/>
  <c r="K219" i="1" s="1"/>
  <c r="I242" i="1"/>
  <c r="I260" i="1"/>
  <c r="I276" i="1"/>
  <c r="I292" i="1"/>
  <c r="I308" i="1"/>
  <c r="K308" i="1" s="1"/>
  <c r="I324" i="1"/>
  <c r="I340" i="1"/>
  <c r="K340" i="1" s="1"/>
  <c r="I356" i="1"/>
  <c r="K356" i="1" s="1"/>
  <c r="I372" i="1"/>
  <c r="I388" i="1"/>
  <c r="I404" i="1"/>
  <c r="I420" i="1"/>
  <c r="I436" i="1"/>
  <c r="K436" i="1" s="1"/>
  <c r="I452" i="1"/>
  <c r="I468" i="1"/>
  <c r="K468" i="1" s="1"/>
  <c r="I484" i="1"/>
  <c r="K484" i="1" s="1"/>
  <c r="I500" i="1"/>
  <c r="I516" i="1"/>
  <c r="I532" i="1"/>
  <c r="I548" i="1"/>
  <c r="I564" i="1"/>
  <c r="K564" i="1" s="1"/>
  <c r="I580" i="1"/>
  <c r="I596" i="1"/>
  <c r="K596" i="1" s="1"/>
  <c r="I612" i="1"/>
  <c r="K612" i="1" s="1"/>
  <c r="I628" i="1"/>
  <c r="I644" i="1"/>
  <c r="I660" i="1"/>
  <c r="I676" i="1"/>
  <c r="I692" i="1"/>
  <c r="K692" i="1" s="1"/>
  <c r="I708" i="1"/>
  <c r="I724" i="1"/>
  <c r="K724" i="1" s="1"/>
  <c r="I740" i="1"/>
  <c r="K740" i="1" s="1"/>
  <c r="I753" i="1"/>
  <c r="I762" i="1"/>
  <c r="I771" i="1"/>
  <c r="I780" i="1"/>
  <c r="I788" i="1"/>
  <c r="K788" i="1" s="1"/>
  <c r="I796" i="1"/>
  <c r="I804" i="1"/>
  <c r="K804" i="1" s="1"/>
  <c r="I812" i="1"/>
  <c r="K812" i="1" s="1"/>
  <c r="I820" i="1"/>
  <c r="I828" i="1"/>
  <c r="I836" i="1"/>
  <c r="I844" i="1"/>
  <c r="I852" i="1"/>
  <c r="I860" i="1"/>
  <c r="I868" i="1"/>
  <c r="K868" i="1" s="1"/>
  <c r="I876" i="1"/>
  <c r="K876" i="1" s="1"/>
  <c r="I884" i="1"/>
  <c r="I892" i="1"/>
  <c r="I900" i="1"/>
  <c r="I908" i="1"/>
  <c r="I916" i="1"/>
  <c r="I924" i="1"/>
  <c r="I932" i="1"/>
  <c r="K932" i="1" s="1"/>
  <c r="I940" i="1"/>
  <c r="K940" i="1" s="1"/>
  <c r="I948" i="1"/>
  <c r="I956" i="1"/>
  <c r="I964" i="1"/>
  <c r="I972" i="1"/>
  <c r="I980" i="1"/>
  <c r="K980" i="1" s="1"/>
  <c r="I988" i="1"/>
  <c r="I996" i="1"/>
  <c r="K996" i="1" s="1"/>
  <c r="I1004" i="1"/>
  <c r="K1004" i="1" s="1"/>
  <c r="I1012" i="1"/>
  <c r="I1020" i="1"/>
  <c r="I1028" i="1"/>
  <c r="I1036" i="1"/>
  <c r="I1044" i="1"/>
  <c r="K1044" i="1" s="1"/>
  <c r="I1052" i="1"/>
  <c r="I1060" i="1"/>
  <c r="K1060" i="1" s="1"/>
  <c r="I1068" i="1"/>
  <c r="K1068" i="1" s="1"/>
  <c r="I1076" i="1"/>
  <c r="I1084" i="1"/>
  <c r="I1092" i="1"/>
  <c r="K1092" i="1" s="1"/>
  <c r="I1100" i="1"/>
  <c r="I1108" i="1"/>
  <c r="K1108" i="1" s="1"/>
  <c r="I115" i="1"/>
  <c r="I138" i="1"/>
  <c r="K138" i="1" s="1"/>
  <c r="I156" i="1"/>
  <c r="K156" i="1" s="1"/>
  <c r="I179" i="1"/>
  <c r="I202" i="1"/>
  <c r="I220" i="1"/>
  <c r="I243" i="1"/>
  <c r="I263" i="1"/>
  <c r="K263" i="1" s="1"/>
  <c r="I279" i="1"/>
  <c r="I295" i="1"/>
  <c r="K295" i="1" s="1"/>
  <c r="I311" i="1"/>
  <c r="K311" i="1" s="1"/>
  <c r="I327" i="1"/>
  <c r="I343" i="1"/>
  <c r="I359" i="1"/>
  <c r="I375" i="1"/>
  <c r="I391" i="1"/>
  <c r="K391" i="1" s="1"/>
  <c r="I407" i="1"/>
  <c r="I423" i="1"/>
  <c r="K423" i="1" s="1"/>
  <c r="I439" i="1"/>
  <c r="K439" i="1" s="1"/>
  <c r="I455" i="1"/>
  <c r="I471" i="1"/>
  <c r="I487" i="1"/>
  <c r="I503" i="1"/>
  <c r="I519" i="1"/>
  <c r="I535" i="1"/>
  <c r="I551" i="1"/>
  <c r="K551" i="1" s="1"/>
  <c r="I567" i="1"/>
  <c r="K567" i="1" s="1"/>
  <c r="I583" i="1"/>
  <c r="I599" i="1"/>
  <c r="I615" i="1"/>
  <c r="I631" i="1"/>
  <c r="I647" i="1"/>
  <c r="I663" i="1"/>
  <c r="I679" i="1"/>
  <c r="K679" i="1" s="1"/>
  <c r="I695" i="1"/>
  <c r="K695" i="1" s="1"/>
  <c r="I711" i="1"/>
  <c r="I727" i="1"/>
  <c r="I743" i="1"/>
  <c r="I754" i="1"/>
  <c r="I763" i="1"/>
  <c r="K763" i="1" s="1"/>
  <c r="I772" i="1"/>
  <c r="I781" i="1"/>
  <c r="K781" i="1" s="1"/>
  <c r="I789" i="1"/>
  <c r="K789" i="1" s="1"/>
  <c r="I797" i="1"/>
  <c r="I805" i="1"/>
  <c r="I813" i="1"/>
  <c r="I821" i="1"/>
  <c r="I829" i="1"/>
  <c r="K829" i="1" s="1"/>
  <c r="I837" i="1"/>
  <c r="I845" i="1"/>
  <c r="K845" i="1" s="1"/>
  <c r="I853" i="1"/>
  <c r="K853" i="1" s="1"/>
  <c r="I861" i="1"/>
  <c r="I869" i="1"/>
  <c r="I877" i="1"/>
  <c r="K877" i="1" s="1"/>
  <c r="I885" i="1"/>
  <c r="I893" i="1"/>
  <c r="K893" i="1" s="1"/>
  <c r="I901" i="1"/>
  <c r="I909" i="1"/>
  <c r="K909" i="1" s="1"/>
  <c r="I917" i="1"/>
  <c r="K917" i="1" s="1"/>
  <c r="I925" i="1"/>
  <c r="I933" i="1"/>
  <c r="I941" i="1"/>
  <c r="I949" i="1"/>
  <c r="I957" i="1"/>
  <c r="I965" i="1"/>
  <c r="I973" i="1"/>
  <c r="K973" i="1" s="1"/>
  <c r="I981" i="1"/>
  <c r="K981" i="1" s="1"/>
  <c r="I989" i="1"/>
  <c r="I997" i="1"/>
  <c r="I1005" i="1"/>
  <c r="I1013" i="1"/>
  <c r="I1021" i="1"/>
  <c r="I1029" i="1"/>
  <c r="I1037" i="1"/>
  <c r="K1037" i="1" s="1"/>
  <c r="I1045" i="1"/>
  <c r="K1045" i="1" s="1"/>
  <c r="I1053" i="1"/>
  <c r="I1061" i="1"/>
  <c r="I1069" i="1"/>
  <c r="I1077" i="1"/>
  <c r="I1085" i="1"/>
  <c r="I1093" i="1"/>
  <c r="I1101" i="1"/>
  <c r="K1101" i="1" s="1"/>
  <c r="I1109" i="1"/>
  <c r="K1109" i="1" s="1"/>
  <c r="I122" i="1"/>
  <c r="I140" i="1"/>
  <c r="I163" i="1"/>
  <c r="I186" i="1"/>
  <c r="I204" i="1"/>
  <c r="K204" i="1" s="1"/>
  <c r="I227" i="1"/>
  <c r="I250" i="1"/>
  <c r="K250" i="1" s="1"/>
  <c r="I267" i="1"/>
  <c r="K267" i="1" s="1"/>
  <c r="I283" i="1"/>
  <c r="I299" i="1"/>
  <c r="I315" i="1"/>
  <c r="K315" i="1" s="1"/>
  <c r="I331" i="1"/>
  <c r="I347" i="1"/>
  <c r="I363" i="1"/>
  <c r="I379" i="1"/>
  <c r="K379" i="1" s="1"/>
  <c r="I395" i="1"/>
  <c r="K395" i="1" s="1"/>
  <c r="I411" i="1"/>
  <c r="I427" i="1"/>
  <c r="I443" i="1"/>
  <c r="I459" i="1"/>
  <c r="I475" i="1"/>
  <c r="K475" i="1" s="1"/>
  <c r="I491" i="1"/>
  <c r="I507" i="1"/>
  <c r="K507" i="1" s="1"/>
  <c r="I523" i="1"/>
  <c r="K523" i="1" s="1"/>
  <c r="I539" i="1"/>
  <c r="I555" i="1"/>
  <c r="I571" i="1"/>
  <c r="I587" i="1"/>
  <c r="I603" i="1"/>
  <c r="I619" i="1"/>
  <c r="I635" i="1"/>
  <c r="K635" i="1" s="1"/>
  <c r="I651" i="1"/>
  <c r="K651" i="1" s="1"/>
  <c r="I667" i="1"/>
  <c r="I683" i="1"/>
  <c r="I699" i="1"/>
  <c r="I715" i="1"/>
  <c r="I731" i="1"/>
  <c r="K731" i="1" s="1"/>
  <c r="I746" i="1"/>
  <c r="I756" i="1"/>
  <c r="K756" i="1" s="1"/>
  <c r="I765" i="1"/>
  <c r="K765" i="1" s="1"/>
  <c r="I775" i="1"/>
  <c r="I783" i="1"/>
  <c r="I791" i="1"/>
  <c r="I799" i="1"/>
  <c r="I807" i="1"/>
  <c r="I815" i="1"/>
  <c r="I823" i="1"/>
  <c r="K823" i="1" s="1"/>
  <c r="I831" i="1"/>
  <c r="K831" i="1" s="1"/>
  <c r="I839" i="1"/>
  <c r="I847" i="1"/>
  <c r="I855" i="1"/>
  <c r="I863" i="1"/>
  <c r="I871" i="1"/>
  <c r="I879" i="1"/>
  <c r="I887" i="1"/>
  <c r="K887" i="1" s="1"/>
  <c r="I895" i="1"/>
  <c r="K895" i="1" s="1"/>
  <c r="I903" i="1"/>
  <c r="I911" i="1"/>
  <c r="I919" i="1"/>
  <c r="I927" i="1"/>
  <c r="I935" i="1"/>
  <c r="I943" i="1"/>
  <c r="I951" i="1"/>
  <c r="K951" i="1" s="1"/>
  <c r="I959" i="1"/>
  <c r="K959" i="1" s="1"/>
  <c r="I967" i="1"/>
  <c r="I975" i="1"/>
  <c r="I983" i="1"/>
  <c r="I991" i="1"/>
  <c r="I999" i="1"/>
  <c r="K999" i="1" s="1"/>
  <c r="I1007" i="1"/>
  <c r="I1015" i="1"/>
  <c r="K1015" i="1" s="1"/>
  <c r="I1023" i="1"/>
  <c r="K1023" i="1" s="1"/>
  <c r="I1031" i="1"/>
  <c r="I1039" i="1"/>
  <c r="I1047" i="1"/>
  <c r="I1055" i="1"/>
  <c r="I1063" i="1"/>
  <c r="K1063" i="1" s="1"/>
  <c r="I1071" i="1"/>
  <c r="I1079" i="1"/>
  <c r="K1079" i="1" s="1"/>
  <c r="I1087" i="1"/>
  <c r="K1087" i="1" s="1"/>
  <c r="I1095" i="1"/>
  <c r="I1103" i="1"/>
  <c r="I1111" i="1"/>
  <c r="I116" i="1"/>
  <c r="I203" i="1"/>
  <c r="I282" i="1"/>
  <c r="I346" i="1"/>
  <c r="K346" i="1" s="1"/>
  <c r="I410" i="1"/>
  <c r="K410" i="1" s="1"/>
  <c r="I474" i="1"/>
  <c r="I538" i="1"/>
  <c r="I602" i="1"/>
  <c r="K602" i="1" s="1"/>
  <c r="I666" i="1"/>
  <c r="I730" i="1"/>
  <c r="K730" i="1" s="1"/>
  <c r="I773" i="1"/>
  <c r="I806" i="1"/>
  <c r="K806" i="1" s="1"/>
  <c r="I838" i="1"/>
  <c r="K838" i="1" s="1"/>
  <c r="I870" i="1"/>
  <c r="I902" i="1"/>
  <c r="I934" i="1"/>
  <c r="I966" i="1"/>
  <c r="I998" i="1"/>
  <c r="K998" i="1" s="1"/>
  <c r="I1030" i="1"/>
  <c r="I1062" i="1"/>
  <c r="K1062" i="1" s="1"/>
  <c r="I1094" i="1"/>
  <c r="K1094" i="1" s="1"/>
  <c r="I1117" i="1"/>
  <c r="I1127" i="1"/>
  <c r="I1136" i="1"/>
  <c r="K1136" i="1" s="1"/>
  <c r="I1145" i="1"/>
  <c r="I1154" i="1"/>
  <c r="I1162" i="1"/>
  <c r="I1170" i="1"/>
  <c r="K1170" i="1" s="1"/>
  <c r="I1178" i="1"/>
  <c r="K1178" i="1" s="1"/>
  <c r="I1186" i="1"/>
  <c r="I1194" i="1"/>
  <c r="I1202" i="1"/>
  <c r="K1202" i="1" s="1"/>
  <c r="I1210" i="1"/>
  <c r="I1218" i="1"/>
  <c r="I1226" i="1"/>
  <c r="I1234" i="1"/>
  <c r="K1234" i="1" s="1"/>
  <c r="I1242" i="1"/>
  <c r="K1242" i="1" s="1"/>
  <c r="I1250" i="1"/>
  <c r="I1258" i="1"/>
  <c r="I1266" i="1"/>
  <c r="K1266" i="1" s="1"/>
  <c r="I1274" i="1"/>
  <c r="I1282" i="1"/>
  <c r="I1290" i="1"/>
  <c r="I1298" i="1"/>
  <c r="K1298" i="1" s="1"/>
  <c r="I1306" i="1"/>
  <c r="K1306" i="1" s="1"/>
  <c r="I1314" i="1"/>
  <c r="I1322" i="1"/>
  <c r="I1330" i="1"/>
  <c r="K1330" i="1" s="1"/>
  <c r="I1338" i="1"/>
  <c r="I1346" i="1"/>
  <c r="K1346" i="1" s="1"/>
  <c r="I1354" i="1"/>
  <c r="I1362" i="1"/>
  <c r="K1362" i="1" s="1"/>
  <c r="I1370" i="1"/>
  <c r="K1370" i="1" s="1"/>
  <c r="I1378" i="1"/>
  <c r="I1386" i="1"/>
  <c r="I1394" i="1"/>
  <c r="K1394" i="1" s="1"/>
  <c r="I1402" i="1"/>
  <c r="I1410" i="1"/>
  <c r="I1418" i="1"/>
  <c r="I1426" i="1"/>
  <c r="K1426" i="1" s="1"/>
  <c r="I1434" i="1"/>
  <c r="K1434" i="1" s="1"/>
  <c r="I1442" i="1"/>
  <c r="I1450" i="1"/>
  <c r="I1458" i="1"/>
  <c r="K1458" i="1" s="1"/>
  <c r="I1466" i="1"/>
  <c r="I1474" i="1"/>
  <c r="K1474" i="1" s="1"/>
  <c r="I1482" i="1"/>
  <c r="I1490" i="1"/>
  <c r="K1490" i="1" s="1"/>
  <c r="I1498" i="1"/>
  <c r="K1498" i="1" s="1"/>
  <c r="I1506" i="1"/>
  <c r="I1514" i="1"/>
  <c r="I1522" i="1"/>
  <c r="K1522" i="1" s="1"/>
  <c r="I1530" i="1"/>
  <c r="I1538" i="1"/>
  <c r="I1546" i="1"/>
  <c r="I1554" i="1"/>
  <c r="K1554" i="1" s="1"/>
  <c r="I1562" i="1"/>
  <c r="K1562" i="1" s="1"/>
  <c r="I1570" i="1"/>
  <c r="I1578" i="1"/>
  <c r="I1586" i="1"/>
  <c r="K1586" i="1" s="1"/>
  <c r="I1594" i="1"/>
  <c r="I1602" i="1"/>
  <c r="K1602" i="1" s="1"/>
  <c r="I1610" i="1"/>
  <c r="I1618" i="1"/>
  <c r="K1618" i="1" s="1"/>
  <c r="I1626" i="1"/>
  <c r="K1626" i="1" s="1"/>
  <c r="I123" i="1"/>
  <c r="I210" i="1"/>
  <c r="I284" i="1"/>
  <c r="K284" i="1" s="1"/>
  <c r="I348" i="1"/>
  <c r="I412" i="1"/>
  <c r="I476" i="1"/>
  <c r="I540" i="1"/>
  <c r="K540" i="1" s="1"/>
  <c r="I604" i="1"/>
  <c r="K604" i="1" s="1"/>
  <c r="I668" i="1"/>
  <c r="I732" i="1"/>
  <c r="I776" i="1"/>
  <c r="K776" i="1" s="1"/>
  <c r="I808" i="1"/>
  <c r="I840" i="1"/>
  <c r="K840" i="1" s="1"/>
  <c r="I872" i="1"/>
  <c r="I904" i="1"/>
  <c r="K904" i="1" s="1"/>
  <c r="I936" i="1"/>
  <c r="K936" i="1" s="1"/>
  <c r="I968" i="1"/>
  <c r="I1000" i="1"/>
  <c r="I1032" i="1"/>
  <c r="K1032" i="1" s="1"/>
  <c r="I1064" i="1"/>
  <c r="I1096" i="1"/>
  <c r="I1118" i="1"/>
  <c r="I1128" i="1"/>
  <c r="K1128" i="1" s="1"/>
  <c r="I1137" i="1"/>
  <c r="K1137" i="1" s="1"/>
  <c r="I1147" i="1"/>
  <c r="I1155" i="1"/>
  <c r="I1163" i="1"/>
  <c r="K1163" i="1" s="1"/>
  <c r="I1171" i="1"/>
  <c r="I1179" i="1"/>
  <c r="K1179" i="1" s="1"/>
  <c r="I1187" i="1"/>
  <c r="I1195" i="1"/>
  <c r="K1195" i="1" s="1"/>
  <c r="I1203" i="1"/>
  <c r="K1203" i="1" s="1"/>
  <c r="I1211" i="1"/>
  <c r="I1219" i="1"/>
  <c r="I1227" i="1"/>
  <c r="K1227" i="1" s="1"/>
  <c r="I1235" i="1"/>
  <c r="I1243" i="1"/>
  <c r="I1251" i="1"/>
  <c r="I1259" i="1"/>
  <c r="K1259" i="1" s="1"/>
  <c r="I1267" i="1"/>
  <c r="K1267" i="1" s="1"/>
  <c r="I1275" i="1"/>
  <c r="I1283" i="1"/>
  <c r="I1291" i="1"/>
  <c r="I1299" i="1"/>
  <c r="I1307" i="1"/>
  <c r="K1307" i="1" s="1"/>
  <c r="I1315" i="1"/>
  <c r="I1323" i="1"/>
  <c r="K1323" i="1" s="1"/>
  <c r="I1331" i="1"/>
  <c r="K1331" i="1" s="1"/>
  <c r="I1339" i="1"/>
  <c r="I1347" i="1"/>
  <c r="I1355" i="1"/>
  <c r="K1355" i="1" s="1"/>
  <c r="I1363" i="1"/>
  <c r="I1371" i="1"/>
  <c r="K1371" i="1" s="1"/>
  <c r="I1379" i="1"/>
  <c r="I1387" i="1"/>
  <c r="K1387" i="1" s="1"/>
  <c r="I1395" i="1"/>
  <c r="K1395" i="1" s="1"/>
  <c r="I1403" i="1"/>
  <c r="I1411" i="1"/>
  <c r="I1419" i="1"/>
  <c r="K1419" i="1" s="1"/>
  <c r="I1427" i="1"/>
  <c r="I1435" i="1"/>
  <c r="I1443" i="1"/>
  <c r="I1451" i="1"/>
  <c r="K1451" i="1" s="1"/>
  <c r="I1459" i="1"/>
  <c r="K1459" i="1" s="1"/>
  <c r="I1467" i="1"/>
  <c r="I1475" i="1"/>
  <c r="I1483" i="1"/>
  <c r="K1483" i="1" s="1"/>
  <c r="I1491" i="1"/>
  <c r="I1499" i="1"/>
  <c r="I1507" i="1"/>
  <c r="I1515" i="1"/>
  <c r="K1515" i="1" s="1"/>
  <c r="I1523" i="1"/>
  <c r="K1523" i="1" s="1"/>
  <c r="I1531" i="1"/>
  <c r="I1539" i="1"/>
  <c r="I1547" i="1"/>
  <c r="K1547" i="1" s="1"/>
  <c r="I1555" i="1"/>
  <c r="I1563" i="1"/>
  <c r="K1563" i="1" s="1"/>
  <c r="I1571" i="1"/>
  <c r="K1571" i="1" s="1"/>
  <c r="I1579" i="1"/>
  <c r="K1579" i="1" s="1"/>
  <c r="I1587" i="1"/>
  <c r="I1595" i="1"/>
  <c r="I1603" i="1"/>
  <c r="I1611" i="1"/>
  <c r="I1619" i="1"/>
  <c r="I1627" i="1"/>
  <c r="K1627" i="1" s="1"/>
  <c r="I1635" i="1"/>
  <c r="I1643" i="1"/>
  <c r="K1643" i="1" s="1"/>
  <c r="I1651" i="1"/>
  <c r="K1651" i="1" s="1"/>
  <c r="I1659" i="1"/>
  <c r="I1667" i="1"/>
  <c r="I1675" i="1"/>
  <c r="I139" i="1"/>
  <c r="I226" i="1"/>
  <c r="K226" i="1" s="1"/>
  <c r="I298" i="1"/>
  <c r="I362" i="1"/>
  <c r="K362" i="1" s="1"/>
  <c r="I426" i="1"/>
  <c r="K426" i="1" s="1"/>
  <c r="I490" i="1"/>
  <c r="I554" i="1"/>
  <c r="I618" i="1"/>
  <c r="K618" i="1" s="1"/>
  <c r="I682" i="1"/>
  <c r="I745" i="1"/>
  <c r="K745" i="1" s="1"/>
  <c r="I782" i="1"/>
  <c r="I814" i="1"/>
  <c r="K814" i="1" s="1"/>
  <c r="I846" i="1"/>
  <c r="K846" i="1" s="1"/>
  <c r="I878" i="1"/>
  <c r="I910" i="1"/>
  <c r="I942" i="1"/>
  <c r="K942" i="1" s="1"/>
  <c r="I974" i="1"/>
  <c r="I1006" i="1"/>
  <c r="K1006" i="1" s="1"/>
  <c r="I1038" i="1"/>
  <c r="I1070" i="1"/>
  <c r="K1070" i="1" s="1"/>
  <c r="I1102" i="1"/>
  <c r="K1102" i="1" s="1"/>
  <c r="I1119" i="1"/>
  <c r="I1129" i="1"/>
  <c r="I1139" i="1"/>
  <c r="K1139" i="1" s="1"/>
  <c r="I1148" i="1"/>
  <c r="I1156" i="1"/>
  <c r="I1164" i="1"/>
  <c r="I1172" i="1"/>
  <c r="K1172" i="1" s="1"/>
  <c r="I1180" i="1"/>
  <c r="K1180" i="1" s="1"/>
  <c r="I1188" i="1"/>
  <c r="I1196" i="1"/>
  <c r="I1204" i="1"/>
  <c r="K1204" i="1" s="1"/>
  <c r="I1212" i="1"/>
  <c r="I1220" i="1"/>
  <c r="I1228" i="1"/>
  <c r="I1236" i="1"/>
  <c r="K1236" i="1" s="1"/>
  <c r="I1244" i="1"/>
  <c r="K1244" i="1" s="1"/>
  <c r="I1252" i="1"/>
  <c r="I1260" i="1"/>
  <c r="I1268" i="1"/>
  <c r="K1268" i="1" s="1"/>
  <c r="I1276" i="1"/>
  <c r="I1284" i="1"/>
  <c r="K1284" i="1" s="1"/>
  <c r="I1292" i="1"/>
  <c r="K1292" i="1" s="1"/>
  <c r="I1300" i="1"/>
  <c r="K1300" i="1" s="1"/>
  <c r="I1308" i="1"/>
  <c r="K1308" i="1" s="1"/>
  <c r="I1316" i="1"/>
  <c r="I1324" i="1"/>
  <c r="I1332" i="1"/>
  <c r="K1332" i="1" s="1"/>
  <c r="I1340" i="1"/>
  <c r="I1348" i="1"/>
  <c r="I1356" i="1"/>
  <c r="K1356" i="1" s="1"/>
  <c r="I1364" i="1"/>
  <c r="K1364" i="1" s="1"/>
  <c r="I1372" i="1"/>
  <c r="K1372" i="1" s="1"/>
  <c r="I1380" i="1"/>
  <c r="I1388" i="1"/>
  <c r="K1388" i="1" s="1"/>
  <c r="I1396" i="1"/>
  <c r="K1396" i="1" s="1"/>
  <c r="I1404" i="1"/>
  <c r="I1412" i="1"/>
  <c r="I1420" i="1"/>
  <c r="I1428" i="1"/>
  <c r="K1428" i="1" s="1"/>
  <c r="I1436" i="1"/>
  <c r="K1436" i="1" s="1"/>
  <c r="I1444" i="1"/>
  <c r="I1452" i="1"/>
  <c r="I1460" i="1"/>
  <c r="K1460" i="1" s="1"/>
  <c r="I1468" i="1"/>
  <c r="I1476" i="1"/>
  <c r="K1476" i="1" s="1"/>
  <c r="I1484" i="1"/>
  <c r="I1492" i="1"/>
  <c r="K1492" i="1" s="1"/>
  <c r="I1500" i="1"/>
  <c r="K1500" i="1" s="1"/>
  <c r="I1508" i="1"/>
  <c r="I1516" i="1"/>
  <c r="I1524" i="1"/>
  <c r="I1532" i="1"/>
  <c r="I1540" i="1"/>
  <c r="K1540" i="1" s="1"/>
  <c r="I1548" i="1"/>
  <c r="K1548" i="1" s="1"/>
  <c r="I1556" i="1"/>
  <c r="K1556" i="1" s="1"/>
  <c r="I1564" i="1"/>
  <c r="K1564" i="1" s="1"/>
  <c r="I1572" i="1"/>
  <c r="I1580" i="1"/>
  <c r="I1588" i="1"/>
  <c r="K1588" i="1" s="1"/>
  <c r="I1596" i="1"/>
  <c r="I1604" i="1"/>
  <c r="K1604" i="1" s="1"/>
  <c r="I1612" i="1"/>
  <c r="I1620" i="1"/>
  <c r="K1620" i="1" s="1"/>
  <c r="I1628" i="1"/>
  <c r="K1628" i="1" s="1"/>
  <c r="I146" i="1"/>
  <c r="I228" i="1"/>
  <c r="I300" i="1"/>
  <c r="K300" i="1" s="1"/>
  <c r="I364" i="1"/>
  <c r="I428" i="1"/>
  <c r="I492" i="1"/>
  <c r="K492" i="1" s="1"/>
  <c r="I556" i="1"/>
  <c r="K556" i="1" s="1"/>
  <c r="I620" i="1"/>
  <c r="K620" i="1" s="1"/>
  <c r="I684" i="1"/>
  <c r="I747" i="1"/>
  <c r="I784" i="1"/>
  <c r="K784" i="1" s="1"/>
  <c r="I816" i="1"/>
  <c r="I848" i="1"/>
  <c r="K848" i="1" s="1"/>
  <c r="I880" i="1"/>
  <c r="K880" i="1" s="1"/>
  <c r="I912" i="1"/>
  <c r="K912" i="1" s="1"/>
  <c r="I944" i="1"/>
  <c r="K944" i="1" s="1"/>
  <c r="I976" i="1"/>
  <c r="I1008" i="1"/>
  <c r="I1040" i="1"/>
  <c r="K1040" i="1" s="1"/>
  <c r="I1072" i="1"/>
  <c r="I1104" i="1"/>
  <c r="I1120" i="1"/>
  <c r="K1120" i="1" s="1"/>
  <c r="I1131" i="1"/>
  <c r="K1131" i="1" s="1"/>
  <c r="I1140" i="1"/>
  <c r="K1140" i="1" s="1"/>
  <c r="I1149" i="1"/>
  <c r="I1157" i="1"/>
  <c r="I1165" i="1"/>
  <c r="K1165" i="1" s="1"/>
  <c r="I1173" i="1"/>
  <c r="I1181" i="1"/>
  <c r="K1181" i="1" s="1"/>
  <c r="I1189" i="1"/>
  <c r="K1189" i="1" s="1"/>
  <c r="I1197" i="1"/>
  <c r="K1197" i="1" s="1"/>
  <c r="I1205" i="1"/>
  <c r="K1205" i="1" s="1"/>
  <c r="I1213" i="1"/>
  <c r="I1221" i="1"/>
  <c r="I1229" i="1"/>
  <c r="K1229" i="1" s="1"/>
  <c r="I1237" i="1"/>
  <c r="I1245" i="1"/>
  <c r="I1253" i="1"/>
  <c r="I1261" i="1"/>
  <c r="K1261" i="1" s="1"/>
  <c r="I1269" i="1"/>
  <c r="K1269" i="1" s="1"/>
  <c r="I1277" i="1"/>
  <c r="I1285" i="1"/>
  <c r="I1293" i="1"/>
  <c r="K1293" i="1" s="1"/>
  <c r="I1301" i="1"/>
  <c r="I1309" i="1"/>
  <c r="K1309" i="1" s="1"/>
  <c r="I1317" i="1"/>
  <c r="K1317" i="1" s="1"/>
  <c r="I1325" i="1"/>
  <c r="K1325" i="1" s="1"/>
  <c r="I1333" i="1"/>
  <c r="K1333" i="1" s="1"/>
  <c r="I1341" i="1"/>
  <c r="I1349" i="1"/>
  <c r="K1349" i="1" s="1"/>
  <c r="I1357" i="1"/>
  <c r="K1357" i="1" s="1"/>
  <c r="I1365" i="1"/>
  <c r="I1373" i="1"/>
  <c r="K1373" i="1" s="1"/>
  <c r="I1381" i="1"/>
  <c r="K1381" i="1" s="1"/>
  <c r="I1389" i="1"/>
  <c r="K1389" i="1" s="1"/>
  <c r="I1397" i="1"/>
  <c r="K1397" i="1" s="1"/>
  <c r="I1405" i="1"/>
  <c r="I1413" i="1"/>
  <c r="I1421" i="1"/>
  <c r="K1421" i="1" s="1"/>
  <c r="I1429" i="1"/>
  <c r="I1437" i="1"/>
  <c r="I1445" i="1"/>
  <c r="I1453" i="1"/>
  <c r="K1453" i="1" s="1"/>
  <c r="I1461" i="1"/>
  <c r="K1461" i="1" s="1"/>
  <c r="I1469" i="1"/>
  <c r="I1477" i="1"/>
  <c r="I1485" i="1"/>
  <c r="K1485" i="1" s="1"/>
  <c r="I1493" i="1"/>
  <c r="I1501" i="1"/>
  <c r="K1501" i="1" s="1"/>
  <c r="I1509" i="1"/>
  <c r="I1517" i="1"/>
  <c r="K1517" i="1" s="1"/>
  <c r="I1525" i="1"/>
  <c r="K1525" i="1" s="1"/>
  <c r="I1533" i="1"/>
  <c r="I1541" i="1"/>
  <c r="K1541" i="1" s="1"/>
  <c r="I1549" i="1"/>
  <c r="K1549" i="1" s="1"/>
  <c r="I1557" i="1"/>
  <c r="I1565" i="1"/>
  <c r="I1573" i="1"/>
  <c r="K1573" i="1" s="1"/>
  <c r="I1581" i="1"/>
  <c r="K1581" i="1" s="1"/>
  <c r="I1589" i="1"/>
  <c r="K1589" i="1" s="1"/>
  <c r="I1597" i="1"/>
  <c r="I180" i="1"/>
  <c r="I266" i="1"/>
  <c r="K266" i="1" s="1"/>
  <c r="I330" i="1"/>
  <c r="I394" i="1"/>
  <c r="I458" i="1"/>
  <c r="K458" i="1" s="1"/>
  <c r="I522" i="1"/>
  <c r="K522" i="1" s="1"/>
  <c r="I586" i="1"/>
  <c r="K586" i="1" s="1"/>
  <c r="I650" i="1"/>
  <c r="I714" i="1"/>
  <c r="I764" i="1"/>
  <c r="K764" i="1" s="1"/>
  <c r="I798" i="1"/>
  <c r="I830" i="1"/>
  <c r="K830" i="1" s="1"/>
  <c r="I862" i="1"/>
  <c r="K862" i="1" s="1"/>
  <c r="I894" i="1"/>
  <c r="K894" i="1" s="1"/>
  <c r="I926" i="1"/>
  <c r="K926" i="1" s="1"/>
  <c r="I958" i="1"/>
  <c r="I990" i="1"/>
  <c r="I1022" i="1"/>
  <c r="K1022" i="1" s="1"/>
  <c r="I1054" i="1"/>
  <c r="I1086" i="1"/>
  <c r="I1115" i="1"/>
  <c r="K1115" i="1" s="1"/>
  <c r="I1125" i="1"/>
  <c r="K1125" i="1" s="1"/>
  <c r="I1134" i="1"/>
  <c r="K1134" i="1" s="1"/>
  <c r="I1143" i="1"/>
  <c r="I1152" i="1"/>
  <c r="I1160" i="1"/>
  <c r="K1160" i="1" s="1"/>
  <c r="I1168" i="1"/>
  <c r="I1176" i="1"/>
  <c r="I1184" i="1"/>
  <c r="K1184" i="1" s="1"/>
  <c r="I1192" i="1"/>
  <c r="K1192" i="1" s="1"/>
  <c r="I1200" i="1"/>
  <c r="K1200" i="1" s="1"/>
  <c r="I1208" i="1"/>
  <c r="I1216" i="1"/>
  <c r="I1224" i="1"/>
  <c r="K1224" i="1" s="1"/>
  <c r="I1232" i="1"/>
  <c r="I1240" i="1"/>
  <c r="K1240" i="1" s="1"/>
  <c r="I1248" i="1"/>
  <c r="I1256" i="1"/>
  <c r="K1256" i="1" s="1"/>
  <c r="I1264" i="1"/>
  <c r="K1264" i="1" s="1"/>
  <c r="I1272" i="1"/>
  <c r="I1280" i="1"/>
  <c r="I1288" i="1"/>
  <c r="K1288" i="1" s="1"/>
  <c r="I1296" i="1"/>
  <c r="I1304" i="1"/>
  <c r="I1312" i="1"/>
  <c r="K1312" i="1" s="1"/>
  <c r="I1320" i="1"/>
  <c r="K1320" i="1" s="1"/>
  <c r="I1328" i="1"/>
  <c r="K1328" i="1" s="1"/>
  <c r="I1336" i="1"/>
  <c r="I1344" i="1"/>
  <c r="I1352" i="1"/>
  <c r="K1352" i="1" s="1"/>
  <c r="I1360" i="1"/>
  <c r="I1368" i="1"/>
  <c r="K1368" i="1" s="1"/>
  <c r="I1376" i="1"/>
  <c r="K1376" i="1" s="1"/>
  <c r="I1384" i="1"/>
  <c r="K1384" i="1" s="1"/>
  <c r="I1392" i="1"/>
  <c r="K1392" i="1" s="1"/>
  <c r="I1400" i="1"/>
  <c r="I1408" i="1"/>
  <c r="I1416" i="1"/>
  <c r="K1416" i="1" s="1"/>
  <c r="I1424" i="1"/>
  <c r="I1432" i="1"/>
  <c r="K1432" i="1" s="1"/>
  <c r="I1440" i="1"/>
  <c r="K1440" i="1" s="1"/>
  <c r="I1448" i="1"/>
  <c r="K1448" i="1" s="1"/>
  <c r="I1456" i="1"/>
  <c r="K1456" i="1" s="1"/>
  <c r="I1464" i="1"/>
  <c r="I1472" i="1"/>
  <c r="I1480" i="1"/>
  <c r="K1480" i="1" s="1"/>
  <c r="I1488" i="1"/>
  <c r="I1496" i="1"/>
  <c r="I1504" i="1"/>
  <c r="I1512" i="1"/>
  <c r="K1512" i="1" s="1"/>
  <c r="I1520" i="1"/>
  <c r="K1520" i="1" s="1"/>
  <c r="I1528" i="1"/>
  <c r="I1536" i="1"/>
  <c r="I1544" i="1"/>
  <c r="K1544" i="1" s="1"/>
  <c r="I1552" i="1"/>
  <c r="I1560" i="1"/>
  <c r="I1568" i="1"/>
  <c r="K1568" i="1" s="1"/>
  <c r="I1576" i="1"/>
  <c r="K1576" i="1" s="1"/>
  <c r="I1584" i="1"/>
  <c r="K1584" i="1" s="1"/>
  <c r="I1592" i="1"/>
  <c r="I1600" i="1"/>
  <c r="K1600" i="1" s="1"/>
  <c r="I1608" i="1"/>
  <c r="K1608" i="1" s="1"/>
  <c r="I1616" i="1"/>
  <c r="I1624" i="1"/>
  <c r="I187" i="1"/>
  <c r="K187" i="1" s="1"/>
  <c r="I268" i="1"/>
  <c r="K268" i="1" s="1"/>
  <c r="I332" i="1"/>
  <c r="K332" i="1" s="1"/>
  <c r="I396" i="1"/>
  <c r="I460" i="1"/>
  <c r="I524" i="1"/>
  <c r="K524" i="1" s="1"/>
  <c r="I588" i="1"/>
  <c r="I652" i="1"/>
  <c r="I716" i="1"/>
  <c r="K716" i="1" s="1"/>
  <c r="I767" i="1"/>
  <c r="K767" i="1" s="1"/>
  <c r="I800" i="1"/>
  <c r="K800" i="1" s="1"/>
  <c r="I832" i="1"/>
  <c r="I864" i="1"/>
  <c r="I896" i="1"/>
  <c r="K896" i="1" s="1"/>
  <c r="I928" i="1"/>
  <c r="I960" i="1"/>
  <c r="K960" i="1" s="1"/>
  <c r="I992" i="1"/>
  <c r="K992" i="1" s="1"/>
  <c r="I1024" i="1"/>
  <c r="K1024" i="1" s="1"/>
  <c r="I1056" i="1"/>
  <c r="K1056" i="1" s="1"/>
  <c r="I1088" i="1"/>
  <c r="I1116" i="1"/>
  <c r="I1126" i="1"/>
  <c r="I1135" i="1"/>
  <c r="I1144" i="1"/>
  <c r="K1144" i="1" s="1"/>
  <c r="I1153" i="1"/>
  <c r="K1153" i="1" s="1"/>
  <c r="I1161" i="1"/>
  <c r="K1161" i="1" s="1"/>
  <c r="I1169" i="1"/>
  <c r="K1169" i="1" s="1"/>
  <c r="I1177" i="1"/>
  <c r="I1185" i="1"/>
  <c r="I1193" i="1"/>
  <c r="K1193" i="1" s="1"/>
  <c r="I1201" i="1"/>
  <c r="I1209" i="1"/>
  <c r="K1209" i="1" s="1"/>
  <c r="I1217" i="1"/>
  <c r="K1217" i="1" s="1"/>
  <c r="I1225" i="1"/>
  <c r="K1225" i="1" s="1"/>
  <c r="I1233" i="1"/>
  <c r="K1233" i="1" s="1"/>
  <c r="I1241" i="1"/>
  <c r="I1249" i="1"/>
  <c r="I1257" i="1"/>
  <c r="K1257" i="1" s="1"/>
  <c r="I1265" i="1"/>
  <c r="K1265" i="1" s="1"/>
  <c r="I1273" i="1"/>
  <c r="I1281" i="1"/>
  <c r="K1281" i="1" s="1"/>
  <c r="I1289" i="1"/>
  <c r="K1289" i="1" s="1"/>
  <c r="I1297" i="1"/>
  <c r="K1297" i="1" s="1"/>
  <c r="I1305" i="1"/>
  <c r="I1313" i="1"/>
  <c r="I1321" i="1"/>
  <c r="K1321" i="1" s="1"/>
  <c r="I1329" i="1"/>
  <c r="I1337" i="1"/>
  <c r="I1345" i="1"/>
  <c r="K1345" i="1" s="1"/>
  <c r="I1353" i="1"/>
  <c r="K1353" i="1" s="1"/>
  <c r="I1361" i="1"/>
  <c r="K1361" i="1" s="1"/>
  <c r="I1369" i="1"/>
  <c r="I1377" i="1"/>
  <c r="I1385" i="1"/>
  <c r="K1385" i="1" s="1"/>
  <c r="I1393" i="1"/>
  <c r="I1401" i="1"/>
  <c r="K1401" i="1" s="1"/>
  <c r="I1409" i="1"/>
  <c r="K1409" i="1" s="1"/>
  <c r="I1417" i="1"/>
  <c r="K1417" i="1" s="1"/>
  <c r="I1425" i="1"/>
  <c r="K1425" i="1" s="1"/>
  <c r="I1433" i="1"/>
  <c r="I1441" i="1"/>
  <c r="I1449" i="1"/>
  <c r="K1449" i="1" s="1"/>
  <c r="I1457" i="1"/>
  <c r="I1465" i="1"/>
  <c r="I1473" i="1"/>
  <c r="I1481" i="1"/>
  <c r="K1481" i="1" s="1"/>
  <c r="I1489" i="1"/>
  <c r="K1489" i="1" s="1"/>
  <c r="I1497" i="1"/>
  <c r="I1505" i="1"/>
  <c r="I1513" i="1"/>
  <c r="K1513" i="1" s="1"/>
  <c r="I1521" i="1"/>
  <c r="I1529" i="1"/>
  <c r="K1529" i="1" s="1"/>
  <c r="I1537" i="1"/>
  <c r="K1537" i="1" s="1"/>
  <c r="I1545" i="1"/>
  <c r="K1545" i="1" s="1"/>
  <c r="I1553" i="1"/>
  <c r="K1553" i="1" s="1"/>
  <c r="I1561" i="1"/>
  <c r="I1569" i="1"/>
  <c r="K1569" i="1" s="1"/>
  <c r="I1577" i="1"/>
  <c r="I1585" i="1"/>
  <c r="I1593" i="1"/>
  <c r="K1593" i="1" s="1"/>
  <c r="I1601" i="1"/>
  <c r="K1601" i="1" s="1"/>
  <c r="I1609" i="1"/>
  <c r="K1609" i="1" s="1"/>
  <c r="I162" i="1"/>
  <c r="K162" i="1" s="1"/>
  <c r="I442" i="1"/>
  <c r="I698" i="1"/>
  <c r="I854" i="1"/>
  <c r="K854" i="1" s="1"/>
  <c r="I982" i="1"/>
  <c r="K982" i="1" s="1"/>
  <c r="I1110" i="1"/>
  <c r="K1110" i="1" s="1"/>
  <c r="I1150" i="1"/>
  <c r="K1150" i="1" s="1"/>
  <c r="I1182" i="1"/>
  <c r="K1182" i="1" s="1"/>
  <c r="I1214" i="1"/>
  <c r="K1214" i="1" s="1"/>
  <c r="I1246" i="1"/>
  <c r="I1278" i="1"/>
  <c r="K1278" i="1" s="1"/>
  <c r="I1310" i="1"/>
  <c r="K1310" i="1" s="1"/>
  <c r="I1342" i="1"/>
  <c r="I1374" i="1"/>
  <c r="I1406" i="1"/>
  <c r="K1406" i="1" s="1"/>
  <c r="I1438" i="1"/>
  <c r="K1438" i="1" s="1"/>
  <c r="I1470" i="1"/>
  <c r="K1470" i="1" s="1"/>
  <c r="I1502" i="1"/>
  <c r="I1534" i="1"/>
  <c r="I1566" i="1"/>
  <c r="K1566" i="1" s="1"/>
  <c r="I1598" i="1"/>
  <c r="I1617" i="1"/>
  <c r="K1617" i="1" s="1"/>
  <c r="I1632" i="1"/>
  <c r="K1632" i="1" s="1"/>
  <c r="I1641" i="1"/>
  <c r="K1641" i="1" s="1"/>
  <c r="I1650" i="1"/>
  <c r="K1650" i="1" s="1"/>
  <c r="I1660" i="1"/>
  <c r="I1669" i="1"/>
  <c r="I1678" i="1"/>
  <c r="K1678" i="1" s="1"/>
  <c r="I1686" i="1"/>
  <c r="I1694" i="1"/>
  <c r="I1702" i="1"/>
  <c r="K1702" i="1" s="1"/>
  <c r="I1710" i="1"/>
  <c r="K1710" i="1" s="1"/>
  <c r="I1718" i="1"/>
  <c r="K1718" i="1" s="1"/>
  <c r="I1726" i="1"/>
  <c r="I1734" i="1"/>
  <c r="I1742" i="1"/>
  <c r="K1742" i="1" s="1"/>
  <c r="I15" i="1"/>
  <c r="I23" i="1"/>
  <c r="I31" i="1"/>
  <c r="K31" i="1" s="1"/>
  <c r="I39" i="1"/>
  <c r="K39" i="1" s="1"/>
  <c r="I47" i="1"/>
  <c r="K47" i="1" s="1"/>
  <c r="I55" i="1"/>
  <c r="I63" i="1"/>
  <c r="K63" i="1" s="1"/>
  <c r="I71" i="1"/>
  <c r="K71" i="1" s="1"/>
  <c r="I79" i="1"/>
  <c r="K79" i="1" s="1"/>
  <c r="I87" i="1"/>
  <c r="K87" i="1" s="1"/>
  <c r="I95" i="1"/>
  <c r="K95" i="1" s="1"/>
  <c r="I164" i="1"/>
  <c r="K164" i="1" s="1"/>
  <c r="I444" i="1"/>
  <c r="K444" i="1" s="1"/>
  <c r="I700" i="1"/>
  <c r="I856" i="1"/>
  <c r="I984" i="1"/>
  <c r="K984" i="1" s="1"/>
  <c r="I1112" i="1"/>
  <c r="K1112" i="1" s="1"/>
  <c r="I1151" i="1"/>
  <c r="K1151" i="1" s="1"/>
  <c r="I1183" i="1"/>
  <c r="K1183" i="1" s="1"/>
  <c r="I1215" i="1"/>
  <c r="K1215" i="1" s="1"/>
  <c r="I1247" i="1"/>
  <c r="K1247" i="1" s="1"/>
  <c r="I1279" i="1"/>
  <c r="I1311" i="1"/>
  <c r="I1343" i="1"/>
  <c r="K1343" i="1" s="1"/>
  <c r="I1375" i="1"/>
  <c r="I1407" i="1"/>
  <c r="I1439" i="1"/>
  <c r="K1439" i="1" s="1"/>
  <c r="I1471" i="1"/>
  <c r="K1471" i="1" s="1"/>
  <c r="I1503" i="1"/>
  <c r="K1503" i="1" s="1"/>
  <c r="I1535" i="1"/>
  <c r="I1567" i="1"/>
  <c r="I1599" i="1"/>
  <c r="K1599" i="1" s="1"/>
  <c r="I1621" i="1"/>
  <c r="I1633" i="1"/>
  <c r="K1633" i="1" s="1"/>
  <c r="I1642" i="1"/>
  <c r="K1642" i="1" s="1"/>
  <c r="I1652" i="1"/>
  <c r="K1652" i="1" s="1"/>
  <c r="I1661" i="1"/>
  <c r="K1661" i="1" s="1"/>
  <c r="I1670" i="1"/>
  <c r="I1679" i="1"/>
  <c r="K1679" i="1" s="1"/>
  <c r="I1687" i="1"/>
  <c r="K1687" i="1" s="1"/>
  <c r="I1695" i="1"/>
  <c r="I1703" i="1"/>
  <c r="I1711" i="1"/>
  <c r="K1711" i="1" s="1"/>
  <c r="I1719" i="1"/>
  <c r="K1719" i="1" s="1"/>
  <c r="I1727" i="1"/>
  <c r="K1727" i="1" s="1"/>
  <c r="I1735" i="1"/>
  <c r="K1735" i="1" s="1"/>
  <c r="I8" i="1"/>
  <c r="I16" i="1"/>
  <c r="K16" i="1" s="1"/>
  <c r="I24" i="1"/>
  <c r="I32" i="1"/>
  <c r="K32" i="1" s="1"/>
  <c r="I40" i="1"/>
  <c r="K40" i="1" s="1"/>
  <c r="I48" i="1"/>
  <c r="K48" i="1" s="1"/>
  <c r="I56" i="1"/>
  <c r="K56" i="1" s="1"/>
  <c r="I64" i="1"/>
  <c r="I72" i="1"/>
  <c r="I80" i="1"/>
  <c r="K80" i="1" s="1"/>
  <c r="I88" i="1"/>
  <c r="K88" i="1" s="1"/>
  <c r="I96" i="1"/>
  <c r="K96" i="1" s="1"/>
  <c r="I244" i="1"/>
  <c r="K244" i="1" s="1"/>
  <c r="I506" i="1"/>
  <c r="K506" i="1" s="1"/>
  <c r="I755" i="1"/>
  <c r="K755" i="1" s="1"/>
  <c r="I886" i="1"/>
  <c r="I1014" i="1"/>
  <c r="I1123" i="1"/>
  <c r="K1123" i="1" s="1"/>
  <c r="I1158" i="1"/>
  <c r="I1190" i="1"/>
  <c r="I1222" i="1"/>
  <c r="K1222" i="1" s="1"/>
  <c r="I1254" i="1"/>
  <c r="K1254" i="1" s="1"/>
  <c r="I1286" i="1"/>
  <c r="K1286" i="1" s="1"/>
  <c r="I1318" i="1"/>
  <c r="I1350" i="1"/>
  <c r="I1382" i="1"/>
  <c r="K1382" i="1" s="1"/>
  <c r="I1414" i="1"/>
  <c r="I1446" i="1"/>
  <c r="K1446" i="1" s="1"/>
  <c r="I1478" i="1"/>
  <c r="K1478" i="1" s="1"/>
  <c r="I1510" i="1"/>
  <c r="K1510" i="1" s="1"/>
  <c r="I1542" i="1"/>
  <c r="K1542" i="1" s="1"/>
  <c r="I1574" i="1"/>
  <c r="I1605" i="1"/>
  <c r="I1622" i="1"/>
  <c r="K1622" i="1" s="1"/>
  <c r="I1634" i="1"/>
  <c r="I1644" i="1"/>
  <c r="K1644" i="1" s="1"/>
  <c r="I1653" i="1"/>
  <c r="K1653" i="1" s="1"/>
  <c r="I1662" i="1"/>
  <c r="K1662" i="1" s="1"/>
  <c r="I1671" i="1"/>
  <c r="K1671" i="1" s="1"/>
  <c r="I1680" i="1"/>
  <c r="I1688" i="1"/>
  <c r="K1688" i="1" s="1"/>
  <c r="I1696" i="1"/>
  <c r="K1696" i="1" s="1"/>
  <c r="I1704" i="1"/>
  <c r="K1704" i="1" s="1"/>
  <c r="I1712" i="1"/>
  <c r="K1712" i="1" s="1"/>
  <c r="I1720" i="1"/>
  <c r="K1720" i="1" s="1"/>
  <c r="I1728" i="1"/>
  <c r="K1728" i="1" s="1"/>
  <c r="I1736" i="1"/>
  <c r="K1736" i="1" s="1"/>
  <c r="I9" i="1"/>
  <c r="I17" i="1"/>
  <c r="K17" i="1" s="1"/>
  <c r="I25" i="1"/>
  <c r="K25" i="1" s="1"/>
  <c r="I33" i="1"/>
  <c r="I41" i="1"/>
  <c r="I49" i="1"/>
  <c r="K49" i="1" s="1"/>
  <c r="I57" i="1"/>
  <c r="K57" i="1" s="1"/>
  <c r="I65" i="1"/>
  <c r="K65" i="1" s="1"/>
  <c r="I73" i="1"/>
  <c r="I81" i="1"/>
  <c r="K81" i="1" s="1"/>
  <c r="I89" i="1"/>
  <c r="K89" i="1" s="1"/>
  <c r="I97" i="1"/>
  <c r="I251" i="1"/>
  <c r="K251" i="1" s="1"/>
  <c r="I508" i="1"/>
  <c r="K508" i="1" s="1"/>
  <c r="I757" i="1"/>
  <c r="K757" i="1" s="1"/>
  <c r="I888" i="1"/>
  <c r="K888" i="1" s="1"/>
  <c r="I1016" i="1"/>
  <c r="I1124" i="1"/>
  <c r="I1159" i="1"/>
  <c r="K1159" i="1" s="1"/>
  <c r="I1191" i="1"/>
  <c r="I1223" i="1"/>
  <c r="I1255" i="1"/>
  <c r="I1287" i="1"/>
  <c r="K1287" i="1" s="1"/>
  <c r="I1319" i="1"/>
  <c r="K1319" i="1" s="1"/>
  <c r="I1351" i="1"/>
  <c r="I1383" i="1"/>
  <c r="I1415" i="1"/>
  <c r="K1415" i="1" s="1"/>
  <c r="I1447" i="1"/>
  <c r="I1479" i="1"/>
  <c r="K1479" i="1" s="1"/>
  <c r="I1511" i="1"/>
  <c r="K1511" i="1" s="1"/>
  <c r="I1543" i="1"/>
  <c r="K1543" i="1" s="1"/>
  <c r="I1575" i="1"/>
  <c r="K1575" i="1" s="1"/>
  <c r="I1606" i="1"/>
  <c r="I1623" i="1"/>
  <c r="K1623" i="1" s="1"/>
  <c r="I1636" i="1"/>
  <c r="K1636" i="1" s="1"/>
  <c r="I1645" i="1"/>
  <c r="K1645" i="1" s="1"/>
  <c r="I1654" i="1"/>
  <c r="K1654" i="1" s="1"/>
  <c r="I1663" i="1"/>
  <c r="K1663" i="1" s="1"/>
  <c r="I1672" i="1"/>
  <c r="K1672" i="1" s="1"/>
  <c r="I1681" i="1"/>
  <c r="K1681" i="1" s="1"/>
  <c r="I1689" i="1"/>
  <c r="I1697" i="1"/>
  <c r="K1697" i="1" s="1"/>
  <c r="I1705" i="1"/>
  <c r="K1705" i="1" s="1"/>
  <c r="I1713" i="1"/>
  <c r="I1721" i="1"/>
  <c r="I1729" i="1"/>
  <c r="K1729" i="1" s="1"/>
  <c r="I1737" i="1"/>
  <c r="K1737" i="1" s="1"/>
  <c r="I10" i="1"/>
  <c r="K10" i="1" s="1"/>
  <c r="I18" i="1"/>
  <c r="I26" i="1"/>
  <c r="K26" i="1" s="1"/>
  <c r="I34" i="1"/>
  <c r="K34" i="1" s="1"/>
  <c r="I42" i="1"/>
  <c r="I50" i="1"/>
  <c r="K50" i="1" s="1"/>
  <c r="I58" i="1"/>
  <c r="K58" i="1" s="1"/>
  <c r="I66" i="1"/>
  <c r="K66" i="1" s="1"/>
  <c r="I74" i="1"/>
  <c r="K74" i="1" s="1"/>
  <c r="I82" i="1"/>
  <c r="I90" i="1"/>
  <c r="K90" i="1" s="1"/>
  <c r="I98" i="1"/>
  <c r="K98" i="1" s="1"/>
  <c r="I314" i="1"/>
  <c r="K314" i="1" s="1"/>
  <c r="I570" i="1"/>
  <c r="I790" i="1"/>
  <c r="K790" i="1" s="1"/>
  <c r="I918" i="1"/>
  <c r="K918" i="1" s="1"/>
  <c r="I1046" i="1"/>
  <c r="K1046" i="1" s="1"/>
  <c r="I1132" i="1"/>
  <c r="I1166" i="1"/>
  <c r="K1166" i="1" s="1"/>
  <c r="I1198" i="1"/>
  <c r="K1198" i="1" s="1"/>
  <c r="I1230" i="1"/>
  <c r="I1262" i="1"/>
  <c r="K1262" i="1" s="1"/>
  <c r="I1294" i="1"/>
  <c r="K1294" i="1" s="1"/>
  <c r="I1326" i="1"/>
  <c r="K1326" i="1" s="1"/>
  <c r="I1358" i="1"/>
  <c r="K1358" i="1" s="1"/>
  <c r="I1390" i="1"/>
  <c r="I1422" i="1"/>
  <c r="K1422" i="1" s="1"/>
  <c r="I1454" i="1"/>
  <c r="K1454" i="1" s="1"/>
  <c r="I1486" i="1"/>
  <c r="K1486" i="1" s="1"/>
  <c r="I1518" i="1"/>
  <c r="K1518" i="1" s="1"/>
  <c r="I1550" i="1"/>
  <c r="K1550" i="1" s="1"/>
  <c r="I1582" i="1"/>
  <c r="K1582" i="1" s="1"/>
  <c r="I1607" i="1"/>
  <c r="K1607" i="1" s="1"/>
  <c r="I1625" i="1"/>
  <c r="I1637" i="1"/>
  <c r="I1646" i="1"/>
  <c r="K1646" i="1" s="1"/>
  <c r="I1655" i="1"/>
  <c r="K1655" i="1" s="1"/>
  <c r="I1664" i="1"/>
  <c r="K1664" i="1" s="1"/>
  <c r="I1673" i="1"/>
  <c r="K1673" i="1" s="1"/>
  <c r="I1682" i="1"/>
  <c r="K1682" i="1" s="1"/>
  <c r="I1690" i="1"/>
  <c r="K1690" i="1" s="1"/>
  <c r="I1698" i="1"/>
  <c r="I1706" i="1"/>
  <c r="I1714" i="1"/>
  <c r="K1714" i="1" s="1"/>
  <c r="I1722" i="1"/>
  <c r="I1730" i="1"/>
  <c r="K1730" i="1" s="1"/>
  <c r="I1738" i="1"/>
  <c r="K1738" i="1" s="1"/>
  <c r="I11" i="1"/>
  <c r="K11" i="1" s="1"/>
  <c r="I19" i="1"/>
  <c r="K19" i="1" s="1"/>
  <c r="I27" i="1"/>
  <c r="I35" i="1"/>
  <c r="K35" i="1" s="1"/>
  <c r="I43" i="1"/>
  <c r="K43" i="1" s="1"/>
  <c r="I51" i="1"/>
  <c r="I59" i="1"/>
  <c r="K59" i="1" s="1"/>
  <c r="I67" i="1"/>
  <c r="K67" i="1" s="1"/>
  <c r="I75" i="1"/>
  <c r="K75" i="1" s="1"/>
  <c r="I83" i="1"/>
  <c r="K83" i="1" s="1"/>
  <c r="I91" i="1"/>
  <c r="I99" i="1"/>
  <c r="K99" i="1" s="1"/>
  <c r="I378" i="1"/>
  <c r="K378" i="1" s="1"/>
  <c r="I634" i="1"/>
  <c r="K634" i="1" s="1"/>
  <c r="I822" i="1"/>
  <c r="K822" i="1" s="1"/>
  <c r="I950" i="1"/>
  <c r="K950" i="1" s="1"/>
  <c r="I1078" i="1"/>
  <c r="K1078" i="1" s="1"/>
  <c r="I1141" i="1"/>
  <c r="K1141" i="1" s="1"/>
  <c r="I1174" i="1"/>
  <c r="I1206" i="1"/>
  <c r="K1206" i="1" s="1"/>
  <c r="I1238" i="1"/>
  <c r="K1238" i="1" s="1"/>
  <c r="I1270" i="1"/>
  <c r="K1270" i="1" s="1"/>
  <c r="I1302" i="1"/>
  <c r="I1334" i="1"/>
  <c r="K1334" i="1" s="1"/>
  <c r="I1366" i="1"/>
  <c r="K1366" i="1" s="1"/>
  <c r="I1398" i="1"/>
  <c r="K1398" i="1" s="1"/>
  <c r="I1430" i="1"/>
  <c r="K1430" i="1" s="1"/>
  <c r="I1462" i="1"/>
  <c r="K1462" i="1" s="1"/>
  <c r="I1494" i="1"/>
  <c r="K1494" i="1" s="1"/>
  <c r="I1526" i="1"/>
  <c r="I1558" i="1"/>
  <c r="I1590" i="1"/>
  <c r="K1590" i="1" s="1"/>
  <c r="I1614" i="1"/>
  <c r="K1614" i="1" s="1"/>
  <c r="I1630" i="1"/>
  <c r="K1630" i="1" s="1"/>
  <c r="I1639" i="1"/>
  <c r="I1648" i="1"/>
  <c r="K1648" i="1" s="1"/>
  <c r="I1657" i="1"/>
  <c r="K1657" i="1" s="1"/>
  <c r="I1666" i="1"/>
  <c r="K1666" i="1" s="1"/>
  <c r="I1676" i="1"/>
  <c r="K1676" i="1" s="1"/>
  <c r="I1684" i="1"/>
  <c r="K1684" i="1" s="1"/>
  <c r="I1692" i="1"/>
  <c r="K1692" i="1" s="1"/>
  <c r="I1700" i="1"/>
  <c r="K1700" i="1" s="1"/>
  <c r="I1708" i="1"/>
  <c r="I1716" i="1"/>
  <c r="K1716" i="1" s="1"/>
  <c r="I1724" i="1"/>
  <c r="K1724" i="1" s="1"/>
  <c r="I1732" i="1"/>
  <c r="K1732" i="1" s="1"/>
  <c r="I1740" i="1"/>
  <c r="K1740" i="1" s="1"/>
  <c r="I13" i="1"/>
  <c r="K13" i="1" s="1"/>
  <c r="I21" i="1"/>
  <c r="K21" i="1" s="1"/>
  <c r="I29" i="1"/>
  <c r="K29" i="1" s="1"/>
  <c r="I37" i="1"/>
  <c r="I45" i="1"/>
  <c r="K45" i="1" s="1"/>
  <c r="I53" i="1"/>
  <c r="K53" i="1" s="1"/>
  <c r="I61" i="1"/>
  <c r="I69" i="1"/>
  <c r="K69" i="1" s="1"/>
  <c r="I77" i="1"/>
  <c r="K77" i="1" s="1"/>
  <c r="I85" i="1"/>
  <c r="K85" i="1" s="1"/>
  <c r="I93" i="1"/>
  <c r="K93" i="1" s="1"/>
  <c r="I316" i="1"/>
  <c r="K316" i="1" s="1"/>
  <c r="I1048" i="1"/>
  <c r="K1048" i="1" s="1"/>
  <c r="I1231" i="1"/>
  <c r="K1231" i="1" s="1"/>
  <c r="I1359" i="1"/>
  <c r="K1359" i="1" s="1"/>
  <c r="I1487" i="1"/>
  <c r="K1487" i="1" s="1"/>
  <c r="I1613" i="1"/>
  <c r="K1613" i="1" s="1"/>
  <c r="I1656" i="1"/>
  <c r="K1656" i="1" s="1"/>
  <c r="I1691" i="1"/>
  <c r="K1691" i="1" s="1"/>
  <c r="I1723" i="1"/>
  <c r="K1723" i="1" s="1"/>
  <c r="I20" i="1"/>
  <c r="K20" i="1" s="1"/>
  <c r="I52" i="1"/>
  <c r="K52" i="1" s="1"/>
  <c r="I84" i="1"/>
  <c r="I380" i="1"/>
  <c r="K380" i="1" s="1"/>
  <c r="I1080" i="1"/>
  <c r="K1080" i="1" s="1"/>
  <c r="I1239" i="1"/>
  <c r="K1239" i="1" s="1"/>
  <c r="I1367" i="1"/>
  <c r="K1367" i="1" s="1"/>
  <c r="I1495" i="1"/>
  <c r="K1495" i="1" s="1"/>
  <c r="I1615" i="1"/>
  <c r="I1658" i="1"/>
  <c r="K1658" i="1" s="1"/>
  <c r="I1693" i="1"/>
  <c r="I1725" i="1"/>
  <c r="K1725" i="1" s="1"/>
  <c r="I22" i="1"/>
  <c r="K22" i="1" s="1"/>
  <c r="I54" i="1"/>
  <c r="K54" i="1" s="1"/>
  <c r="I86" i="1"/>
  <c r="K86" i="1" s="1"/>
  <c r="I572" i="1"/>
  <c r="I1133" i="1"/>
  <c r="K1133" i="1" s="1"/>
  <c r="I1263" i="1"/>
  <c r="K1263" i="1" s="1"/>
  <c r="I1391" i="1"/>
  <c r="K1391" i="1" s="1"/>
  <c r="I1519" i="1"/>
  <c r="K1519" i="1" s="1"/>
  <c r="I1629" i="1"/>
  <c r="K1629" i="1" s="1"/>
  <c r="I1665" i="1"/>
  <c r="K1665" i="1" s="1"/>
  <c r="I1699" i="1"/>
  <c r="K1699" i="1" s="1"/>
  <c r="I1731" i="1"/>
  <c r="K1731" i="1" s="1"/>
  <c r="I28" i="1"/>
  <c r="I60" i="1"/>
  <c r="K60" i="1" s="1"/>
  <c r="I92" i="1"/>
  <c r="I636" i="1"/>
  <c r="K636" i="1" s="1"/>
  <c r="I1142" i="1"/>
  <c r="K1142" i="1" s="1"/>
  <c r="I1271" i="1"/>
  <c r="K1271" i="1" s="1"/>
  <c r="I1399" i="1"/>
  <c r="I1527" i="1"/>
  <c r="K1527" i="1" s="1"/>
  <c r="I1631" i="1"/>
  <c r="I1668" i="1"/>
  <c r="K1668" i="1" s="1"/>
  <c r="I1701" i="1"/>
  <c r="K1701" i="1" s="1"/>
  <c r="I1733" i="1"/>
  <c r="K1733" i="1" s="1"/>
  <c r="I30" i="1"/>
  <c r="K30" i="1" s="1"/>
  <c r="I62" i="1"/>
  <c r="K62" i="1" s="1"/>
  <c r="I94" i="1"/>
  <c r="K94" i="1" s="1"/>
  <c r="I792" i="1"/>
  <c r="K792" i="1" s="1"/>
  <c r="I1167" i="1"/>
  <c r="K1167" i="1" s="1"/>
  <c r="I1295" i="1"/>
  <c r="I1423" i="1"/>
  <c r="K1423" i="1" s="1"/>
  <c r="I1551" i="1"/>
  <c r="K1551" i="1" s="1"/>
  <c r="I1638" i="1"/>
  <c r="I1674" i="1"/>
  <c r="K1674" i="1" s="1"/>
  <c r="I1707" i="1"/>
  <c r="K1707" i="1" s="1"/>
  <c r="I1739" i="1"/>
  <c r="K1739" i="1" s="1"/>
  <c r="I36" i="1"/>
  <c r="K36" i="1" s="1"/>
  <c r="I68" i="1"/>
  <c r="K68" i="1" s="1"/>
  <c r="I100" i="1"/>
  <c r="K100" i="1" s="1"/>
  <c r="I920" i="1"/>
  <c r="I1199" i="1"/>
  <c r="K1199" i="1" s="1"/>
  <c r="I1327" i="1"/>
  <c r="K1327" i="1" s="1"/>
  <c r="I1455" i="1"/>
  <c r="K1455" i="1" s="1"/>
  <c r="I1583" i="1"/>
  <c r="K1583" i="1" s="1"/>
  <c r="I1647" i="1"/>
  <c r="K1647" i="1" s="1"/>
  <c r="I1683" i="1"/>
  <c r="K1683" i="1" s="1"/>
  <c r="I1715" i="1"/>
  <c r="K1715" i="1" s="1"/>
  <c r="I12" i="1"/>
  <c r="I44" i="1"/>
  <c r="I76" i="1"/>
  <c r="K76" i="1" s="1"/>
  <c r="I824" i="1"/>
  <c r="K824" i="1" s="1"/>
  <c r="I1559" i="1"/>
  <c r="K1559" i="1" s="1"/>
  <c r="I1741" i="1"/>
  <c r="I952" i="1"/>
  <c r="K952" i="1" s="1"/>
  <c r="I1591" i="1"/>
  <c r="K1591" i="1" s="1"/>
  <c r="I14" i="1"/>
  <c r="K14" i="1" s="1"/>
  <c r="I1175" i="1"/>
  <c r="K1175" i="1" s="1"/>
  <c r="I1640" i="1"/>
  <c r="K1640" i="1" s="1"/>
  <c r="I38" i="1"/>
  <c r="K38" i="1" s="1"/>
  <c r="I1207" i="1"/>
  <c r="K1207" i="1" s="1"/>
  <c r="I1649" i="1"/>
  <c r="K1649" i="1" s="1"/>
  <c r="I46" i="1"/>
  <c r="K46" i="1" s="1"/>
  <c r="I1303" i="1"/>
  <c r="K1303" i="1" s="1"/>
  <c r="I1677" i="1"/>
  <c r="K1677" i="1" s="1"/>
  <c r="I70" i="1"/>
  <c r="K70" i="1" s="1"/>
  <c r="I1335" i="1"/>
  <c r="K1335" i="1" s="1"/>
  <c r="I1685" i="1"/>
  <c r="K1685" i="1" s="1"/>
  <c r="I78" i="1"/>
  <c r="K78" i="1" s="1"/>
  <c r="I1431" i="1"/>
  <c r="K1431" i="1" s="1"/>
  <c r="I1463" i="1"/>
  <c r="K1463" i="1" s="1"/>
  <c r="I1709" i="1"/>
  <c r="K1709" i="1" s="1"/>
  <c r="I1717" i="1"/>
  <c r="K1717" i="1" s="1"/>
  <c r="S23" i="2"/>
  <c r="S7" i="2"/>
  <c r="S11" i="2"/>
  <c r="S19" i="2"/>
  <c r="S15" i="2"/>
  <c r="S3" i="2"/>
  <c r="S27" i="2"/>
  <c r="S51" i="2"/>
  <c r="S79" i="2"/>
  <c r="S103" i="2"/>
  <c r="S6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22" i="2"/>
  <c r="S130" i="2"/>
  <c r="S138" i="2"/>
  <c r="S146" i="2"/>
  <c r="S150" i="2"/>
  <c r="S158" i="2"/>
  <c r="S166" i="2"/>
  <c r="S174" i="2"/>
  <c r="S182" i="2"/>
  <c r="S190" i="2"/>
  <c r="S198" i="2"/>
  <c r="S206" i="2"/>
  <c r="S214" i="2"/>
  <c r="S222" i="2"/>
  <c r="S230" i="2"/>
  <c r="S238" i="2"/>
  <c r="S246" i="2"/>
  <c r="S254" i="2"/>
  <c r="S258" i="2"/>
  <c r="S262" i="2"/>
  <c r="S266" i="2"/>
  <c r="S274" i="2"/>
  <c r="S282" i="2"/>
  <c r="S290" i="2"/>
  <c r="S298" i="2"/>
  <c r="S306" i="2"/>
  <c r="S314" i="2"/>
  <c r="S322" i="2"/>
  <c r="S330" i="2"/>
  <c r="S338" i="2"/>
  <c r="S346" i="2"/>
  <c r="S354" i="2"/>
  <c r="S362" i="2"/>
  <c r="S370" i="2"/>
  <c r="S378" i="2"/>
  <c r="S390" i="2"/>
  <c r="S414" i="2"/>
  <c r="S35" i="2"/>
  <c r="S63" i="2"/>
  <c r="S91" i="2"/>
  <c r="S119" i="2"/>
  <c r="S123" i="2"/>
  <c r="S127" i="2"/>
  <c r="S131" i="2"/>
  <c r="S135" i="2"/>
  <c r="S139" i="2"/>
  <c r="S143" i="2"/>
  <c r="S147" i="2"/>
  <c r="S151" i="2"/>
  <c r="S155" i="2"/>
  <c r="S159" i="2"/>
  <c r="S163" i="2"/>
  <c r="S167" i="2"/>
  <c r="S171" i="2"/>
  <c r="S175" i="2"/>
  <c r="S179" i="2"/>
  <c r="S183" i="2"/>
  <c r="S187" i="2"/>
  <c r="S191" i="2"/>
  <c r="S195" i="2"/>
  <c r="S199" i="2"/>
  <c r="S203" i="2"/>
  <c r="S207" i="2"/>
  <c r="S211" i="2"/>
  <c r="S215" i="2"/>
  <c r="S219" i="2"/>
  <c r="S223" i="2"/>
  <c r="S227" i="2"/>
  <c r="S231" i="2"/>
  <c r="S235" i="2"/>
  <c r="S239" i="2"/>
  <c r="S243" i="2"/>
  <c r="S247" i="2"/>
  <c r="S251" i="2"/>
  <c r="S255" i="2"/>
  <c r="S259" i="2"/>
  <c r="S263" i="2"/>
  <c r="S267" i="2"/>
  <c r="S271" i="2"/>
  <c r="S275" i="2"/>
  <c r="S279" i="2"/>
  <c r="S283" i="2"/>
  <c r="S287" i="2"/>
  <c r="S291" i="2"/>
  <c r="S295" i="2"/>
  <c r="S299" i="2"/>
  <c r="S303" i="2"/>
  <c r="S307" i="2"/>
  <c r="S311" i="2"/>
  <c r="S315" i="2"/>
  <c r="S319" i="2"/>
  <c r="S323" i="2"/>
  <c r="S327" i="2"/>
  <c r="S331" i="2"/>
  <c r="S335" i="2"/>
  <c r="S339" i="2"/>
  <c r="S343" i="2"/>
  <c r="S347" i="2"/>
  <c r="S351" i="2"/>
  <c r="S355" i="2"/>
  <c r="S359" i="2"/>
  <c r="S363" i="2"/>
  <c r="S367" i="2"/>
  <c r="S371" i="2"/>
  <c r="S375" i="2"/>
  <c r="S379" i="2"/>
  <c r="S383" i="2"/>
  <c r="S387" i="2"/>
  <c r="S391" i="2"/>
  <c r="S395" i="2"/>
  <c r="S399" i="2"/>
  <c r="S403" i="2"/>
  <c r="S407" i="2"/>
  <c r="S411" i="2"/>
  <c r="S415" i="2"/>
  <c r="S419" i="2"/>
  <c r="S423" i="2"/>
  <c r="S427" i="2"/>
  <c r="S431" i="2"/>
  <c r="S435" i="2"/>
  <c r="S439" i="2"/>
  <c r="S443" i="2"/>
  <c r="S59" i="2"/>
  <c r="S75" i="2"/>
  <c r="S111" i="2"/>
  <c r="S12" i="2"/>
  <c r="S20" i="2"/>
  <c r="S28" i="2"/>
  <c r="S36" i="2"/>
  <c r="S44" i="2"/>
  <c r="S52" i="2"/>
  <c r="S56" i="2"/>
  <c r="S64" i="2"/>
  <c r="S72" i="2"/>
  <c r="S80" i="2"/>
  <c r="S88" i="2"/>
  <c r="S96" i="2"/>
  <c r="S104" i="2"/>
  <c r="S112" i="2"/>
  <c r="S120" i="2"/>
  <c r="S132" i="2"/>
  <c r="S140" i="2"/>
  <c r="S148" i="2"/>
  <c r="S152" i="2"/>
  <c r="S160" i="2"/>
  <c r="S168" i="2"/>
  <c r="S176" i="2"/>
  <c r="S184" i="2"/>
  <c r="S192" i="2"/>
  <c r="S200" i="2"/>
  <c r="S208" i="2"/>
  <c r="S216" i="2"/>
  <c r="S224" i="2"/>
  <c r="S232" i="2"/>
  <c r="S240" i="2"/>
  <c r="S248" i="2"/>
  <c r="S256" i="2"/>
  <c r="S260" i="2"/>
  <c r="S268" i="2"/>
  <c r="S276" i="2"/>
  <c r="S284" i="2"/>
  <c r="S292" i="2"/>
  <c r="S300" i="2"/>
  <c r="S308" i="2"/>
  <c r="S316" i="2"/>
  <c r="S324" i="2"/>
  <c r="S332" i="2"/>
  <c r="S340" i="2"/>
  <c r="S348" i="2"/>
  <c r="S356" i="2"/>
  <c r="S364" i="2"/>
  <c r="S372" i="2"/>
  <c r="S380" i="2"/>
  <c r="S388" i="2"/>
  <c r="S392" i="2"/>
  <c r="S396" i="2"/>
  <c r="S400" i="2"/>
  <c r="S404" i="2"/>
  <c r="S408" i="2"/>
  <c r="S416" i="2"/>
  <c r="S420" i="2"/>
  <c r="S424" i="2"/>
  <c r="S428" i="2"/>
  <c r="S432" i="2"/>
  <c r="S436" i="2"/>
  <c r="S440" i="2"/>
  <c r="S444" i="2"/>
  <c r="S43" i="2"/>
  <c r="S67" i="2"/>
  <c r="S99" i="2"/>
  <c r="S4" i="2"/>
  <c r="S16" i="2"/>
  <c r="S24" i="2"/>
  <c r="S32" i="2"/>
  <c r="S40" i="2"/>
  <c r="S48" i="2"/>
  <c r="S60" i="2"/>
  <c r="S68" i="2"/>
  <c r="S76" i="2"/>
  <c r="S84" i="2"/>
  <c r="S92" i="2"/>
  <c r="S100" i="2"/>
  <c r="S108" i="2"/>
  <c r="S116" i="2"/>
  <c r="S124" i="2"/>
  <c r="S128" i="2"/>
  <c r="S136" i="2"/>
  <c r="S144" i="2"/>
  <c r="S156" i="2"/>
  <c r="S164" i="2"/>
  <c r="S172" i="2"/>
  <c r="S180" i="2"/>
  <c r="S188" i="2"/>
  <c r="S196" i="2"/>
  <c r="S204" i="2"/>
  <c r="S212" i="2"/>
  <c r="S220" i="2"/>
  <c r="S228" i="2"/>
  <c r="S236" i="2"/>
  <c r="S244" i="2"/>
  <c r="S252" i="2"/>
  <c r="S264" i="2"/>
  <c r="S272" i="2"/>
  <c r="S280" i="2"/>
  <c r="S288" i="2"/>
  <c r="S296" i="2"/>
  <c r="S304" i="2"/>
  <c r="S312" i="2"/>
  <c r="S320" i="2"/>
  <c r="S328" i="2"/>
  <c r="S336" i="2"/>
  <c r="S344" i="2"/>
  <c r="S352" i="2"/>
  <c r="S360" i="2"/>
  <c r="S368" i="2"/>
  <c r="S376" i="2"/>
  <c r="S384" i="2"/>
  <c r="S412" i="2"/>
  <c r="S31" i="2"/>
  <c r="S55" i="2"/>
  <c r="S71" i="2"/>
  <c r="S95" i="2"/>
  <c r="S8" i="2"/>
  <c r="S9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53" i="2"/>
  <c r="S161" i="2"/>
  <c r="S169" i="2"/>
  <c r="S173" i="2"/>
  <c r="S181" i="2"/>
  <c r="S189" i="2"/>
  <c r="S197" i="2"/>
  <c r="S205" i="2"/>
  <c r="S213" i="2"/>
  <c r="S221" i="2"/>
  <c r="S229" i="2"/>
  <c r="S237" i="2"/>
  <c r="S245" i="2"/>
  <c r="S253" i="2"/>
  <c r="S269" i="2"/>
  <c r="S277" i="2"/>
  <c r="S285" i="2"/>
  <c r="S293" i="2"/>
  <c r="S301" i="2"/>
  <c r="S309" i="2"/>
  <c r="S317" i="2"/>
  <c r="S325" i="2"/>
  <c r="S333" i="2"/>
  <c r="S341" i="2"/>
  <c r="S349" i="2"/>
  <c r="S357" i="2"/>
  <c r="S365" i="2"/>
  <c r="S373" i="2"/>
  <c r="S381" i="2"/>
  <c r="S385" i="2"/>
  <c r="S393" i="2"/>
  <c r="S397" i="2"/>
  <c r="S401" i="2"/>
  <c r="S405" i="2"/>
  <c r="S409" i="2"/>
  <c r="S413" i="2"/>
  <c r="S421" i="2"/>
  <c r="S425" i="2"/>
  <c r="S429" i="2"/>
  <c r="S433" i="2"/>
  <c r="S437" i="2"/>
  <c r="S441" i="2"/>
  <c r="S445" i="2"/>
  <c r="S39" i="2"/>
  <c r="S83" i="2"/>
  <c r="S107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S157" i="2"/>
  <c r="S165" i="2"/>
  <c r="S177" i="2"/>
  <c r="S185" i="2"/>
  <c r="S193" i="2"/>
  <c r="S201" i="2"/>
  <c r="S209" i="2"/>
  <c r="S217" i="2"/>
  <c r="S225" i="2"/>
  <c r="S233" i="2"/>
  <c r="S241" i="2"/>
  <c r="S249" i="2"/>
  <c r="S257" i="2"/>
  <c r="S261" i="2"/>
  <c r="S265" i="2"/>
  <c r="S273" i="2"/>
  <c r="S281" i="2"/>
  <c r="S289" i="2"/>
  <c r="S297" i="2"/>
  <c r="S305" i="2"/>
  <c r="S313" i="2"/>
  <c r="S321" i="2"/>
  <c r="S329" i="2"/>
  <c r="S337" i="2"/>
  <c r="S345" i="2"/>
  <c r="S353" i="2"/>
  <c r="S361" i="2"/>
  <c r="S369" i="2"/>
  <c r="S377" i="2"/>
  <c r="S389" i="2"/>
  <c r="S417" i="2"/>
  <c r="S47" i="2"/>
  <c r="S87" i="2"/>
  <c r="S115" i="2"/>
  <c r="S2" i="2"/>
  <c r="S10" i="2"/>
  <c r="S18" i="2"/>
  <c r="S26" i="2"/>
  <c r="S34" i="2"/>
  <c r="S42" i="2"/>
  <c r="S50" i="2"/>
  <c r="S58" i="2"/>
  <c r="S66" i="2"/>
  <c r="S74" i="2"/>
  <c r="S82" i="2"/>
  <c r="S90" i="2"/>
  <c r="S98" i="2"/>
  <c r="S106" i="2"/>
  <c r="S114" i="2"/>
  <c r="S118" i="2"/>
  <c r="S126" i="2"/>
  <c r="S134" i="2"/>
  <c r="S142" i="2"/>
  <c r="S154" i="2"/>
  <c r="S162" i="2"/>
  <c r="S170" i="2"/>
  <c r="S178" i="2"/>
  <c r="S186" i="2"/>
  <c r="S194" i="2"/>
  <c r="S202" i="2"/>
  <c r="S210" i="2"/>
  <c r="S218" i="2"/>
  <c r="S226" i="2"/>
  <c r="S234" i="2"/>
  <c r="S242" i="2"/>
  <c r="S250" i="2"/>
  <c r="S270" i="2"/>
  <c r="S278" i="2"/>
  <c r="S286" i="2"/>
  <c r="S294" i="2"/>
  <c r="S302" i="2"/>
  <c r="S310" i="2"/>
  <c r="S318" i="2"/>
  <c r="S326" i="2"/>
  <c r="S334" i="2"/>
  <c r="S342" i="2"/>
  <c r="S350" i="2"/>
  <c r="S358" i="2"/>
  <c r="S366" i="2"/>
  <c r="S374" i="2"/>
  <c r="S382" i="2"/>
  <c r="S386" i="2"/>
  <c r="S394" i="2"/>
  <c r="S398" i="2"/>
  <c r="S402" i="2"/>
  <c r="S406" i="2"/>
  <c r="S410" i="2"/>
  <c r="S418" i="2"/>
  <c r="S422" i="2"/>
  <c r="S426" i="2"/>
  <c r="S430" i="2"/>
  <c r="S434" i="2"/>
  <c r="S438" i="2"/>
  <c r="S442" i="2"/>
  <c r="S446" i="2"/>
  <c r="K1237" i="1"/>
  <c r="K1465" i="1"/>
  <c r="K967" i="1"/>
  <c r="K1703" i="1"/>
  <c r="K580" i="1"/>
  <c r="K1296" i="1"/>
  <c r="K1445" i="1"/>
  <c r="K1509" i="1"/>
  <c r="K969" i="1"/>
  <c r="K1301" i="1"/>
  <c r="K285" i="1"/>
  <c r="K1610" i="1"/>
  <c r="K1466" i="1"/>
  <c r="K1530" i="1"/>
  <c r="K1594" i="1"/>
  <c r="K627" i="1"/>
  <c r="K1403" i="1"/>
  <c r="K1574" i="1"/>
  <c r="K1689" i="1"/>
  <c r="K1383" i="1"/>
  <c r="K1135" i="1"/>
  <c r="K1405" i="1"/>
  <c r="K1533" i="1"/>
  <c r="K629" i="1"/>
  <c r="K1597" i="1"/>
  <c r="K1469" i="1"/>
  <c r="K1315" i="1"/>
  <c r="K1176" i="1"/>
  <c r="K1017" i="1"/>
  <c r="K923" i="1"/>
  <c r="K179" i="1"/>
  <c r="K1637" i="1"/>
  <c r="K1499" i="1"/>
  <c r="K1393" i="1"/>
  <c r="K1314" i="1"/>
  <c r="K1223" i="1"/>
  <c r="K459" i="1"/>
  <c r="I5" i="1"/>
  <c r="K5" i="1" s="1"/>
  <c r="K1565" i="1"/>
  <c r="K474" i="1"/>
  <c r="K1694" i="1"/>
  <c r="K1635" i="1"/>
  <c r="K1621" i="1"/>
  <c r="K1605" i="1"/>
  <c r="K1477" i="1"/>
  <c r="K1413" i="1"/>
  <c r="K1342" i="1"/>
  <c r="K1313" i="1"/>
  <c r="K1283" i="1"/>
  <c r="K1089" i="1"/>
  <c r="I6" i="1"/>
  <c r="K6" i="1" s="1"/>
  <c r="K110" i="1"/>
  <c r="K118" i="1"/>
  <c r="K126" i="1"/>
  <c r="K174" i="1"/>
  <c r="K182" i="1"/>
  <c r="K190" i="1"/>
  <c r="K238" i="1"/>
  <c r="K246" i="1"/>
  <c r="K254" i="1"/>
  <c r="K302" i="1"/>
  <c r="K310" i="1"/>
  <c r="K318" i="1"/>
  <c r="K374" i="1"/>
  <c r="K382" i="1"/>
  <c r="K406" i="1"/>
  <c r="K430" i="1"/>
  <c r="K438" i="1"/>
  <c r="K446" i="1"/>
  <c r="K494" i="1"/>
  <c r="K502" i="1"/>
  <c r="K510" i="1"/>
  <c r="K518" i="1"/>
  <c r="K558" i="1"/>
  <c r="K566" i="1"/>
  <c r="K574" i="1"/>
  <c r="K622" i="1"/>
  <c r="K630" i="1"/>
  <c r="K638" i="1"/>
  <c r="I7" i="1"/>
  <c r="K7" i="1" s="1"/>
  <c r="K15" i="1"/>
  <c r="K23" i="1"/>
  <c r="K55" i="1"/>
  <c r="K135" i="1"/>
  <c r="K143" i="1"/>
  <c r="K151" i="1"/>
  <c r="K199" i="1"/>
  <c r="K207" i="1"/>
  <c r="K215" i="1"/>
  <c r="K271" i="1"/>
  <c r="K279" i="1"/>
  <c r="K287" i="1"/>
  <c r="K327" i="1"/>
  <c r="K343" i="1"/>
  <c r="K375" i="1"/>
  <c r="K399" i="1"/>
  <c r="K407" i="1"/>
  <c r="K431" i="1"/>
  <c r="K455" i="1"/>
  <c r="K471" i="1"/>
  <c r="K503" i="1"/>
  <c r="K519" i="1"/>
  <c r="K527" i="1"/>
  <c r="K535" i="1"/>
  <c r="K583" i="1"/>
  <c r="K599" i="1"/>
  <c r="K631" i="1"/>
  <c r="K647" i="1"/>
  <c r="K655" i="1"/>
  <c r="K663" i="1"/>
  <c r="K9" i="1"/>
  <c r="K24" i="1"/>
  <c r="K172" i="1"/>
  <c r="K184" i="1"/>
  <c r="K194" i="1"/>
  <c r="K236" i="1"/>
  <c r="K322" i="1"/>
  <c r="K364" i="1"/>
  <c r="K428" i="1"/>
  <c r="K440" i="1"/>
  <c r="K450" i="1"/>
  <c r="K578" i="1"/>
  <c r="K684" i="1"/>
  <c r="K700" i="1"/>
  <c r="K708" i="1"/>
  <c r="K732" i="1"/>
  <c r="K796" i="1"/>
  <c r="K820" i="1"/>
  <c r="K828" i="1"/>
  <c r="K860" i="1"/>
  <c r="K884" i="1"/>
  <c r="K892" i="1"/>
  <c r="K924" i="1"/>
  <c r="K948" i="1"/>
  <c r="K956" i="1"/>
  <c r="K964" i="1"/>
  <c r="K972" i="1"/>
  <c r="K988" i="1"/>
  <c r="K1012" i="1"/>
  <c r="K1020" i="1"/>
  <c r="K1028" i="1"/>
  <c r="K1052" i="1"/>
  <c r="K1076" i="1"/>
  <c r="K1084" i="1"/>
  <c r="K1116" i="1"/>
  <c r="K1148" i="1"/>
  <c r="K1156" i="1"/>
  <c r="K121" i="1"/>
  <c r="K131" i="1"/>
  <c r="K163" i="1"/>
  <c r="K185" i="1"/>
  <c r="K195" i="1"/>
  <c r="K205" i="1"/>
  <c r="K217" i="1"/>
  <c r="K227" i="1"/>
  <c r="K249" i="1"/>
  <c r="K269" i="1"/>
  <c r="K281" i="1"/>
  <c r="K291" i="1"/>
  <c r="K333" i="1"/>
  <c r="K377" i="1"/>
  <c r="K409" i="1"/>
  <c r="K419" i="1"/>
  <c r="K441" i="1"/>
  <c r="K451" i="1"/>
  <c r="K461" i="1"/>
  <c r="K473" i="1"/>
  <c r="K505" i="1"/>
  <c r="K525" i="1"/>
  <c r="K537" i="1"/>
  <c r="K547" i="1"/>
  <c r="K569" i="1"/>
  <c r="K579" i="1"/>
  <c r="K589" i="1"/>
  <c r="K633" i="1"/>
  <c r="K653" i="1"/>
  <c r="K675" i="1"/>
  <c r="K693" i="1"/>
  <c r="K701" i="1"/>
  <c r="K709" i="1"/>
  <c r="K717" i="1"/>
  <c r="K733" i="1"/>
  <c r="K749" i="1"/>
  <c r="K773" i="1"/>
  <c r="K797" i="1"/>
  <c r="K805" i="1"/>
  <c r="K813" i="1"/>
  <c r="K821" i="1"/>
  <c r="K837" i="1"/>
  <c r="K861" i="1"/>
  <c r="K869" i="1"/>
  <c r="K885" i="1"/>
  <c r="K901" i="1"/>
  <c r="K925" i="1"/>
  <c r="K933" i="1"/>
  <c r="K941" i="1"/>
  <c r="K949" i="1"/>
  <c r="K957" i="1"/>
  <c r="K965" i="1"/>
  <c r="K989" i="1"/>
  <c r="K997" i="1"/>
  <c r="K27" i="1"/>
  <c r="K37" i="1"/>
  <c r="K91" i="1"/>
  <c r="K113" i="1"/>
  <c r="K123" i="1"/>
  <c r="K133" i="1"/>
  <c r="K177" i="1"/>
  <c r="K197" i="1"/>
  <c r="K241" i="1"/>
  <c r="K261" i="1"/>
  <c r="K283" i="1"/>
  <c r="K305" i="1"/>
  <c r="K347" i="1"/>
  <c r="K369" i="1"/>
  <c r="K389" i="1"/>
  <c r="K411" i="1"/>
  <c r="K433" i="1"/>
  <c r="K453" i="1"/>
  <c r="K517" i="1"/>
  <c r="K539" i="1"/>
  <c r="K561" i="1"/>
  <c r="K571" i="1"/>
  <c r="K603" i="1"/>
  <c r="K625" i="1"/>
  <c r="K645" i="1"/>
  <c r="K667" i="1"/>
  <c r="K687" i="1"/>
  <c r="K703" i="1"/>
  <c r="K711" i="1"/>
  <c r="K727" i="1"/>
  <c r="K743" i="1"/>
  <c r="K751" i="1"/>
  <c r="K775" i="1"/>
  <c r="K783" i="1"/>
  <c r="K791" i="1"/>
  <c r="K799" i="1"/>
  <c r="K815" i="1"/>
  <c r="K839" i="1"/>
  <c r="K847" i="1"/>
  <c r="K855" i="1"/>
  <c r="K42" i="1"/>
  <c r="K64" i="1"/>
  <c r="K84" i="1"/>
  <c r="K106" i="1"/>
  <c r="K116" i="1"/>
  <c r="K128" i="1"/>
  <c r="K148" i="1"/>
  <c r="K170" i="1"/>
  <c r="K180" i="1"/>
  <c r="K192" i="1"/>
  <c r="K202" i="1"/>
  <c r="K212" i="1"/>
  <c r="K234" i="1"/>
  <c r="K256" i="1"/>
  <c r="K276" i="1"/>
  <c r="K298" i="1"/>
  <c r="K320" i="1"/>
  <c r="K330" i="1"/>
  <c r="K372" i="1"/>
  <c r="K384" i="1"/>
  <c r="K404" i="1"/>
  <c r="K490" i="1"/>
  <c r="K500" i="1"/>
  <c r="K512" i="1"/>
  <c r="K532" i="1"/>
  <c r="K554" i="1"/>
  <c r="K576" i="1"/>
  <c r="K628" i="1"/>
  <c r="K640" i="1"/>
  <c r="K660" i="1"/>
  <c r="K682" i="1"/>
  <c r="K690" i="1"/>
  <c r="K698" i="1"/>
  <c r="K706" i="1"/>
  <c r="K714" i="1"/>
  <c r="K122" i="1"/>
  <c r="K144" i="1"/>
  <c r="K186" i="1"/>
  <c r="K208" i="1"/>
  <c r="K228" i="1"/>
  <c r="K272" i="1"/>
  <c r="K292" i="1"/>
  <c r="K400" i="1"/>
  <c r="K420" i="1"/>
  <c r="K442" i="1"/>
  <c r="K528" i="1"/>
  <c r="K548" i="1"/>
  <c r="K570" i="1"/>
  <c r="K592" i="1"/>
  <c r="K656" i="1"/>
  <c r="K694" i="1"/>
  <c r="K710" i="1"/>
  <c r="K726" i="1"/>
  <c r="K738" i="1"/>
  <c r="K752" i="1"/>
  <c r="K777" i="1"/>
  <c r="K802" i="1"/>
  <c r="K816" i="1"/>
  <c r="K841" i="1"/>
  <c r="K875" i="1"/>
  <c r="K897" i="1"/>
  <c r="K907" i="1"/>
  <c r="K919" i="1"/>
  <c r="K961" i="1"/>
  <c r="K983" i="1"/>
  <c r="K1003" i="1"/>
  <c r="K1013" i="1"/>
  <c r="K1031" i="1"/>
  <c r="K1058" i="1"/>
  <c r="K1077" i="1"/>
  <c r="K1086" i="1"/>
  <c r="K1095" i="1"/>
  <c r="K1104" i="1"/>
  <c r="K1113" i="1"/>
  <c r="K1168" i="1"/>
  <c r="K1177" i="1"/>
  <c r="K1186" i="1"/>
  <c r="K1211" i="1"/>
  <c r="K1219" i="1"/>
  <c r="K104" i="1"/>
  <c r="K124" i="1"/>
  <c r="K146" i="1"/>
  <c r="K168" i="1"/>
  <c r="K210" i="1"/>
  <c r="K232" i="1"/>
  <c r="K296" i="1"/>
  <c r="K338" i="1"/>
  <c r="K360" i="1"/>
  <c r="K466" i="1"/>
  <c r="K488" i="1"/>
  <c r="K552" i="1"/>
  <c r="K572" i="1"/>
  <c r="K616" i="1"/>
  <c r="K680" i="1"/>
  <c r="K696" i="1"/>
  <c r="K712" i="1"/>
  <c r="K753" i="1"/>
  <c r="K766" i="1"/>
  <c r="K778" i="1"/>
  <c r="K803" i="1"/>
  <c r="K817" i="1"/>
  <c r="K856" i="1"/>
  <c r="K866" i="1"/>
  <c r="K878" i="1"/>
  <c r="K920" i="1"/>
  <c r="K974" i="1"/>
  <c r="K994" i="1"/>
  <c r="K1005" i="1"/>
  <c r="K1014" i="1"/>
  <c r="K1041" i="1"/>
  <c r="K1050" i="1"/>
  <c r="K1059" i="1"/>
  <c r="K1069" i="1"/>
  <c r="K1096" i="1"/>
  <c r="K1105" i="1"/>
  <c r="K1114" i="1"/>
  <c r="K1187" i="1"/>
  <c r="K1196" i="1"/>
  <c r="K1212" i="1"/>
  <c r="K1220" i="1"/>
  <c r="K1252" i="1"/>
  <c r="K1260" i="1"/>
  <c r="K1276" i="1"/>
  <c r="K1316" i="1"/>
  <c r="K1340" i="1"/>
  <c r="K1348" i="1"/>
  <c r="K41" i="1"/>
  <c r="K61" i="1"/>
  <c r="K105" i="1"/>
  <c r="K147" i="1"/>
  <c r="K169" i="1"/>
  <c r="K189" i="1"/>
  <c r="K233" i="1"/>
  <c r="K253" i="1"/>
  <c r="K317" i="1"/>
  <c r="K339" i="1"/>
  <c r="K361" i="1"/>
  <c r="K381" i="1"/>
  <c r="K425" i="1"/>
  <c r="K445" i="1"/>
  <c r="K489" i="1"/>
  <c r="K509" i="1"/>
  <c r="K553" i="1"/>
  <c r="K573" i="1"/>
  <c r="K595" i="1"/>
  <c r="K617" i="1"/>
  <c r="K637" i="1"/>
  <c r="K681" i="1"/>
  <c r="K697" i="1"/>
  <c r="K729" i="1"/>
  <c r="K754" i="1"/>
  <c r="K768" i="1"/>
  <c r="K779" i="1"/>
  <c r="K793" i="1"/>
  <c r="K818" i="1"/>
  <c r="K832" i="1"/>
  <c r="K843" i="1"/>
  <c r="K857" i="1"/>
  <c r="K879" i="1"/>
  <c r="K889" i="1"/>
  <c r="K911" i="1"/>
  <c r="K921" i="1"/>
  <c r="K931" i="1"/>
  <c r="K943" i="1"/>
  <c r="K129" i="1"/>
  <c r="K149" i="1"/>
  <c r="K171" i="1"/>
  <c r="K193" i="1"/>
  <c r="K213" i="1"/>
  <c r="K235" i="1"/>
  <c r="K257" i="1"/>
  <c r="K277" i="1"/>
  <c r="K299" i="1"/>
  <c r="K321" i="1"/>
  <c r="K341" i="1"/>
  <c r="K363" i="1"/>
  <c r="K385" i="1"/>
  <c r="K405" i="1"/>
  <c r="K427" i="1"/>
  <c r="K449" i="1"/>
  <c r="K469" i="1"/>
  <c r="K491" i="1"/>
  <c r="K513" i="1"/>
  <c r="K555" i="1"/>
  <c r="K577" i="1"/>
  <c r="K597" i="1"/>
  <c r="K619" i="1"/>
  <c r="K641" i="1"/>
  <c r="K661" i="1"/>
  <c r="K683" i="1"/>
  <c r="K699" i="1"/>
  <c r="K715" i="1"/>
  <c r="K744" i="1"/>
  <c r="K782" i="1"/>
  <c r="K794" i="1"/>
  <c r="K808" i="1"/>
  <c r="K819" i="1"/>
  <c r="K833" i="1"/>
  <c r="K858" i="1"/>
  <c r="K870" i="1"/>
  <c r="K922" i="1"/>
  <c r="K934" i="1"/>
  <c r="K28" i="1"/>
  <c r="K72" i="1"/>
  <c r="K92" i="1"/>
  <c r="K114" i="1"/>
  <c r="K178" i="1"/>
  <c r="K200" i="1"/>
  <c r="K220" i="1"/>
  <c r="K242" i="1"/>
  <c r="K264" i="1"/>
  <c r="K306" i="1"/>
  <c r="K328" i="1"/>
  <c r="K348" i="1"/>
  <c r="K370" i="1"/>
  <c r="K392" i="1"/>
  <c r="K412" i="1"/>
  <c r="K434" i="1"/>
  <c r="K456" i="1"/>
  <c r="K476" i="1"/>
  <c r="K498" i="1"/>
  <c r="K562" i="1"/>
  <c r="K584" i="1"/>
  <c r="K626" i="1"/>
  <c r="K648" i="1"/>
  <c r="K668" i="1"/>
  <c r="K688" i="1"/>
  <c r="K704" i="1"/>
  <c r="K720" i="1"/>
  <c r="K746" i="1"/>
  <c r="K771" i="1"/>
  <c r="K785" i="1"/>
  <c r="K798" i="1"/>
  <c r="K872" i="1"/>
  <c r="K882" i="1"/>
  <c r="K914" i="1"/>
  <c r="K946" i="1"/>
  <c r="K958" i="1"/>
  <c r="K968" i="1"/>
  <c r="K978" i="1"/>
  <c r="K990" i="1"/>
  <c r="K1000" i="1"/>
  <c r="K1009" i="1"/>
  <c r="K1055" i="1"/>
  <c r="K1064" i="1"/>
  <c r="K1073" i="1"/>
  <c r="K1119" i="1"/>
  <c r="K1155" i="1"/>
  <c r="K1174" i="1"/>
  <c r="K1208" i="1"/>
  <c r="K1216" i="1"/>
  <c r="K1232" i="1"/>
  <c r="K245" i="1"/>
  <c r="K307" i="1"/>
  <c r="K368" i="1"/>
  <c r="K417" i="1"/>
  <c r="K477" i="1"/>
  <c r="K538" i="1"/>
  <c r="K587" i="1"/>
  <c r="K702" i="1"/>
  <c r="K737" i="1"/>
  <c r="K774" i="1"/>
  <c r="K903" i="1"/>
  <c r="K928" i="1"/>
  <c r="K970" i="1"/>
  <c r="K987" i="1"/>
  <c r="K1034" i="1"/>
  <c r="K1093" i="1"/>
  <c r="K1107" i="1"/>
  <c r="K1152" i="1"/>
  <c r="K1194" i="1"/>
  <c r="K1221" i="1"/>
  <c r="K1243" i="1"/>
  <c r="K1253" i="1"/>
  <c r="K1280" i="1"/>
  <c r="K1344" i="1"/>
  <c r="K1380" i="1"/>
  <c r="K1404" i="1"/>
  <c r="K1412" i="1"/>
  <c r="K1420" i="1"/>
  <c r="K1444" i="1"/>
  <c r="K1452" i="1"/>
  <c r="K1468" i="1"/>
  <c r="K1484" i="1"/>
  <c r="K1508" i="1"/>
  <c r="K1516" i="1"/>
  <c r="K1524" i="1"/>
  <c r="K1532" i="1"/>
  <c r="K1572" i="1"/>
  <c r="K1580" i="1"/>
  <c r="K1596" i="1"/>
  <c r="K1612" i="1"/>
  <c r="K1660" i="1"/>
  <c r="K1708" i="1"/>
  <c r="K139" i="1"/>
  <c r="K260" i="1"/>
  <c r="K309" i="1"/>
  <c r="K371" i="1"/>
  <c r="K432" i="1"/>
  <c r="K481" i="1"/>
  <c r="K541" i="1"/>
  <c r="K705" i="1"/>
  <c r="K811" i="1"/>
  <c r="K874" i="1"/>
  <c r="K905" i="1"/>
  <c r="K935" i="1"/>
  <c r="K975" i="1"/>
  <c r="K991" i="1"/>
  <c r="K1007" i="1"/>
  <c r="K1021" i="1"/>
  <c r="K1035" i="1"/>
  <c r="K1051" i="1"/>
  <c r="K1138" i="1"/>
  <c r="K1245" i="1"/>
  <c r="K1272" i="1"/>
  <c r="K1290" i="1"/>
  <c r="K1299" i="1"/>
  <c r="K1318" i="1"/>
  <c r="K1336" i="1"/>
  <c r="K1354" i="1"/>
  <c r="K33" i="1"/>
  <c r="K154" i="1"/>
  <c r="K203" i="1"/>
  <c r="K324" i="1"/>
  <c r="K373" i="1"/>
  <c r="K435" i="1"/>
  <c r="K496" i="1"/>
  <c r="K545" i="1"/>
  <c r="K605" i="1"/>
  <c r="K666" i="1"/>
  <c r="K707" i="1"/>
  <c r="K747" i="1"/>
  <c r="K850" i="1"/>
  <c r="K881" i="1"/>
  <c r="K906" i="1"/>
  <c r="K976" i="1"/>
  <c r="K1008" i="1"/>
  <c r="K1038" i="1"/>
  <c r="K1053" i="1"/>
  <c r="K1081" i="1"/>
  <c r="K1097" i="1"/>
  <c r="K1111" i="1"/>
  <c r="K1126" i="1"/>
  <c r="K1154" i="1"/>
  <c r="K97" i="1"/>
  <c r="K157" i="1"/>
  <c r="K388" i="1"/>
  <c r="K437" i="1"/>
  <c r="K499" i="1"/>
  <c r="K560" i="1"/>
  <c r="K609" i="1"/>
  <c r="K669" i="1"/>
  <c r="K718" i="1"/>
  <c r="K750" i="1"/>
  <c r="K786" i="1"/>
  <c r="K851" i="1"/>
  <c r="K883" i="1"/>
  <c r="K913" i="1"/>
  <c r="K977" i="1"/>
  <c r="K995" i="1"/>
  <c r="K1010" i="1"/>
  <c r="K1025" i="1"/>
  <c r="K1039" i="1"/>
  <c r="K1054" i="1"/>
  <c r="K1098" i="1"/>
  <c r="K1127" i="1"/>
  <c r="K1143" i="1"/>
  <c r="K1157" i="1"/>
  <c r="K1171" i="1"/>
  <c r="K51" i="1"/>
  <c r="K112" i="1"/>
  <c r="K161" i="1"/>
  <c r="K221" i="1"/>
  <c r="K282" i="1"/>
  <c r="K331" i="1"/>
  <c r="K452" i="1"/>
  <c r="K501" i="1"/>
  <c r="K563" i="1"/>
  <c r="K624" i="1"/>
  <c r="K673" i="1"/>
  <c r="K758" i="1"/>
  <c r="K787" i="1"/>
  <c r="K825" i="1"/>
  <c r="K859" i="1"/>
  <c r="K886" i="1"/>
  <c r="K915" i="1"/>
  <c r="K945" i="1"/>
  <c r="K979" i="1"/>
  <c r="K1011" i="1"/>
  <c r="K1042" i="1"/>
  <c r="K1071" i="1"/>
  <c r="K1085" i="1"/>
  <c r="K1099" i="1"/>
  <c r="K1129" i="1"/>
  <c r="K1158" i="1"/>
  <c r="K1173" i="1"/>
  <c r="K1201" i="1"/>
  <c r="K1226" i="1"/>
  <c r="K1248" i="1"/>
  <c r="K1275" i="1"/>
  <c r="K1285" i="1"/>
  <c r="K1339" i="1"/>
  <c r="K1400" i="1"/>
  <c r="K1408" i="1"/>
  <c r="K1424" i="1"/>
  <c r="K1464" i="1"/>
  <c r="K1472" i="1"/>
  <c r="K1488" i="1"/>
  <c r="K1496" i="1"/>
  <c r="K1504" i="1"/>
  <c r="K1528" i="1"/>
  <c r="K1536" i="1"/>
  <c r="K1552" i="1"/>
  <c r="K1560" i="1"/>
  <c r="K1592" i="1"/>
  <c r="K1616" i="1"/>
  <c r="K181" i="1"/>
  <c r="K349" i="1"/>
  <c r="K516" i="1"/>
  <c r="K644" i="1"/>
  <c r="K762" i="1"/>
  <c r="K863" i="1"/>
  <c r="K927" i="1"/>
  <c r="K985" i="1"/>
  <c r="K1029" i="1"/>
  <c r="K1103" i="1"/>
  <c r="K1145" i="1"/>
  <c r="K1246" i="1"/>
  <c r="K1274" i="1"/>
  <c r="K1304" i="1"/>
  <c r="K1347" i="1"/>
  <c r="K1374" i="1"/>
  <c r="K1427" i="1"/>
  <c r="K1491" i="1"/>
  <c r="K1502" i="1"/>
  <c r="K1534" i="1"/>
  <c r="K1555" i="1"/>
  <c r="K1577" i="1"/>
  <c r="K1587" i="1"/>
  <c r="K1598" i="1"/>
  <c r="K1619" i="1"/>
  <c r="K1638" i="1"/>
  <c r="K1693" i="1"/>
  <c r="K225" i="1"/>
  <c r="K353" i="1"/>
  <c r="K686" i="1"/>
  <c r="K864" i="1"/>
  <c r="K947" i="1"/>
  <c r="K986" i="1"/>
  <c r="K1030" i="1"/>
  <c r="K1072" i="1"/>
  <c r="K1106" i="1"/>
  <c r="K1147" i="1"/>
  <c r="K1185" i="1"/>
  <c r="K1210" i="1"/>
  <c r="K1230" i="1"/>
  <c r="K1277" i="1"/>
  <c r="K1291" i="1"/>
  <c r="K1305" i="1"/>
  <c r="K1350" i="1"/>
  <c r="K1363" i="1"/>
  <c r="K1375" i="1"/>
  <c r="K1386" i="1"/>
  <c r="K1407" i="1"/>
  <c r="K1418" i="1"/>
  <c r="K1429" i="1"/>
  <c r="K1450" i="1"/>
  <c r="K1482" i="1"/>
  <c r="K1493" i="1"/>
  <c r="K1514" i="1"/>
  <c r="K1535" i="1"/>
  <c r="K1546" i="1"/>
  <c r="K1557" i="1"/>
  <c r="K1567" i="1"/>
  <c r="K1578" i="1"/>
  <c r="K73" i="1"/>
  <c r="K240" i="1"/>
  <c r="K689" i="1"/>
  <c r="K795" i="1"/>
  <c r="K871" i="1"/>
  <c r="K1033" i="1"/>
  <c r="K1074" i="1"/>
  <c r="K1117" i="1"/>
  <c r="K1149" i="1"/>
  <c r="K1190" i="1"/>
  <c r="K1213" i="1"/>
  <c r="K1249" i="1"/>
  <c r="K1322" i="1"/>
  <c r="K1337" i="1"/>
  <c r="K1351" i="1"/>
  <c r="K1365" i="1"/>
  <c r="K1377" i="1"/>
  <c r="K1441" i="1"/>
  <c r="K1473" i="1"/>
  <c r="K1505" i="1"/>
  <c r="K1526" i="1"/>
  <c r="K1558" i="1"/>
  <c r="K1611" i="1"/>
  <c r="K1631" i="1"/>
  <c r="K1667" i="1"/>
  <c r="K1686" i="1"/>
  <c r="K1695" i="1"/>
  <c r="K1713" i="1"/>
  <c r="K1722" i="1"/>
  <c r="K1741" i="1"/>
  <c r="K115" i="1"/>
  <c r="K243" i="1"/>
  <c r="K565" i="1"/>
  <c r="K691" i="1"/>
  <c r="K953" i="1"/>
  <c r="K1043" i="1"/>
  <c r="K1075" i="1"/>
  <c r="K1118" i="1"/>
  <c r="K1191" i="1"/>
  <c r="K1235" i="1"/>
  <c r="K1250" i="1"/>
  <c r="K1279" i="1"/>
  <c r="K1295" i="1"/>
  <c r="K1338" i="1"/>
  <c r="K1378" i="1"/>
  <c r="K1399" i="1"/>
  <c r="K1410" i="1"/>
  <c r="K1442" i="1"/>
  <c r="K1506" i="1"/>
  <c r="K1538" i="1"/>
  <c r="K1570" i="1"/>
  <c r="K1659" i="1"/>
  <c r="K1669" i="1"/>
  <c r="K1670" i="1"/>
  <c r="K1437" i="1"/>
  <c r="K1721" i="1"/>
  <c r="K1634" i="1"/>
  <c r="K1603" i="1"/>
  <c r="K1561" i="1"/>
  <c r="K1539" i="1"/>
  <c r="K1497" i="1"/>
  <c r="K1475" i="1"/>
  <c r="K1433" i="1"/>
  <c r="K1411" i="1"/>
  <c r="K1390" i="1"/>
  <c r="K1341" i="1"/>
  <c r="K1311" i="1"/>
  <c r="K1282" i="1"/>
  <c r="K1251" i="1"/>
  <c r="K1162" i="1"/>
  <c r="K1088" i="1"/>
  <c r="K723" i="1"/>
  <c r="K413" i="1"/>
  <c r="K117" i="1"/>
  <c r="K1324" i="1"/>
  <c r="K1164" i="1"/>
  <c r="K1132" i="1"/>
  <c r="K1639" i="1"/>
  <c r="K849" i="1"/>
  <c r="K1228" i="1"/>
  <c r="K1188" i="1"/>
  <c r="K396" i="1"/>
  <c r="K1241" i="1"/>
  <c r="K671" i="1"/>
  <c r="K581" i="1"/>
  <c r="K533" i="1"/>
  <c r="K397" i="1"/>
  <c r="K325" i="1"/>
  <c r="K141" i="1"/>
  <c r="K125" i="1"/>
  <c r="K1124" i="1"/>
  <c r="K1100" i="1"/>
  <c r="K1036" i="1"/>
  <c r="K916" i="1"/>
  <c r="K908" i="1"/>
  <c r="K900" i="1"/>
  <c r="K852" i="1"/>
  <c r="K844" i="1"/>
  <c r="K836" i="1"/>
  <c r="K780" i="1"/>
  <c r="K772" i="1"/>
  <c r="K748" i="1"/>
  <c r="K676" i="1"/>
  <c r="K652" i="1"/>
  <c r="K588" i="1"/>
  <c r="K460" i="1"/>
  <c r="K842" i="1"/>
  <c r="K1615" i="1"/>
  <c r="K155" i="1"/>
  <c r="K336" i="1"/>
  <c r="K1734" i="1"/>
  <c r="K150" i="1"/>
  <c r="K1698" i="1"/>
  <c r="K467" i="1"/>
  <c r="K1675" i="1"/>
  <c r="K1595" i="1"/>
  <c r="K1531" i="1"/>
  <c r="K1507" i="1"/>
  <c r="K1435" i="1"/>
  <c r="K867" i="1"/>
  <c r="K443" i="1"/>
  <c r="K1467" i="1"/>
  <c r="K1443" i="1"/>
  <c r="K1379" i="1"/>
  <c r="K971" i="1"/>
  <c r="K1706" i="1"/>
  <c r="K447" i="1"/>
  <c r="K1360" i="1"/>
  <c r="K44" i="1"/>
  <c r="K632" i="1"/>
  <c r="K722" i="1"/>
  <c r="K1606" i="1"/>
  <c r="K132" i="1"/>
  <c r="K454" i="1"/>
  <c r="K930" i="1"/>
  <c r="K1457" i="1"/>
  <c r="K1057" i="1"/>
  <c r="K1402" i="1"/>
  <c r="K1258" i="1"/>
  <c r="K1585" i="1"/>
  <c r="K1369" i="1"/>
  <c r="K1329" i="1"/>
  <c r="K1049" i="1"/>
  <c r="K1218" i="1"/>
  <c r="K1122" i="1"/>
  <c r="K1625" i="1"/>
  <c r="K1521" i="1"/>
  <c r="K1273" i="1"/>
  <c r="K326" i="1"/>
  <c r="K175" i="1"/>
  <c r="K1061" i="1"/>
  <c r="K759" i="1"/>
  <c r="K594" i="1"/>
  <c r="K546" i="1"/>
  <c r="K323" i="1"/>
  <c r="K214" i="1"/>
  <c r="K120" i="1"/>
  <c r="K359" i="1"/>
  <c r="K159" i="1"/>
  <c r="K366" i="1"/>
  <c r="K448" i="1"/>
  <c r="K902" i="1"/>
  <c r="K910" i="1"/>
  <c r="K966" i="1"/>
  <c r="K167" i="1"/>
  <c r="K198" i="1"/>
  <c r="K303" i="1"/>
  <c r="K376" i="1"/>
  <c r="K470" i="1"/>
  <c r="K511" i="1"/>
  <c r="K543" i="1"/>
  <c r="K231" i="1"/>
  <c r="K367" i="1"/>
  <c r="K575" i="1"/>
  <c r="K1047" i="1"/>
  <c r="K262" i="1"/>
  <c r="K304" i="1"/>
  <c r="K398" i="1"/>
  <c r="K534" i="1"/>
  <c r="K206" i="1"/>
  <c r="K248" i="1"/>
  <c r="K290" i="1"/>
  <c r="K415" i="1"/>
  <c r="K582" i="1"/>
  <c r="K598" i="1"/>
  <c r="K639" i="1"/>
  <c r="K82" i="1"/>
  <c r="K111" i="1"/>
  <c r="K223" i="1"/>
  <c r="K278" i="1"/>
  <c r="K319" i="1"/>
  <c r="K390" i="1"/>
  <c r="K487" i="1"/>
  <c r="K1255" i="1"/>
  <c r="K8" i="1"/>
  <c r="K103" i="1"/>
  <c r="K142" i="1"/>
  <c r="K176" i="1"/>
  <c r="K270" i="1"/>
  <c r="K495" i="1"/>
  <c r="K568" i="1"/>
  <c r="K623" i="1"/>
  <c r="K662" i="1"/>
  <c r="K383" i="1"/>
  <c r="K590" i="1"/>
  <c r="K130" i="1"/>
  <c r="K239" i="1"/>
  <c r="K312" i="1"/>
  <c r="K424" i="1"/>
  <c r="K646" i="1"/>
  <c r="K1447" i="1"/>
  <c r="K1016" i="1"/>
  <c r="K807" i="1"/>
  <c r="K504" i="1"/>
  <c r="K674" i="1"/>
  <c r="K615" i="1"/>
  <c r="K559" i="1"/>
  <c r="K342" i="1"/>
  <c r="K134" i="1"/>
  <c r="K464" i="1"/>
  <c r="K18" i="1"/>
  <c r="K252" i="1"/>
  <c r="K140" i="1"/>
  <c r="K12" i="1"/>
  <c r="K650" i="1"/>
  <c r="K482" i="1"/>
  <c r="K418" i="1"/>
  <c r="K394" i="1"/>
  <c r="K601" i="1"/>
  <c r="K497" i="1"/>
  <c r="K345" i="1"/>
  <c r="K313" i="1"/>
  <c r="K297" i="1"/>
  <c r="K665" i="1"/>
  <c r="K289" i="1"/>
  <c r="K1726" i="1"/>
  <c r="K1680" i="1"/>
  <c r="K1624" i="1"/>
  <c r="K153" i="1"/>
  <c r="K1414" i="1"/>
  <c r="K1302" i="1"/>
  <c r="R55" i="2"/>
  <c r="R12" i="2"/>
  <c r="R100" i="2"/>
  <c r="R140" i="2"/>
  <c r="R148" i="2"/>
  <c r="R164" i="2"/>
  <c r="R220" i="2"/>
  <c r="R23" i="2"/>
  <c r="R63" i="2"/>
  <c r="R79" i="2"/>
  <c r="R127" i="2"/>
  <c r="R76" i="2"/>
  <c r="R124" i="2"/>
  <c r="R132" i="2"/>
  <c r="R156" i="2"/>
  <c r="R212" i="2"/>
  <c r="R228" i="2"/>
  <c r="R252" i="2"/>
  <c r="R39" i="2"/>
  <c r="R87" i="2"/>
  <c r="R95" i="2"/>
  <c r="R111" i="2"/>
  <c r="R28" i="2"/>
  <c r="R44" i="2"/>
  <c r="R204" i="2"/>
  <c r="R103" i="2"/>
  <c r="R119" i="2"/>
  <c r="R167" i="2"/>
  <c r="R183" i="2"/>
  <c r="R4" i="2"/>
  <c r="R20" i="2"/>
  <c r="R31" i="2"/>
  <c r="R47" i="2"/>
  <c r="R151" i="2"/>
  <c r="R159" i="2"/>
  <c r="R175" i="2"/>
  <c r="R36" i="2"/>
  <c r="R84" i="2"/>
  <c r="R92" i="2"/>
  <c r="R108" i="2"/>
  <c r="R196" i="2"/>
  <c r="P443" i="2"/>
  <c r="R443" i="2" s="1"/>
  <c r="R6" i="2"/>
  <c r="R14" i="2"/>
  <c r="R38" i="2"/>
  <c r="R46" i="2"/>
  <c r="R54" i="2"/>
  <c r="R62" i="2"/>
  <c r="R70" i="2"/>
  <c r="R78" i="2"/>
  <c r="R102" i="2"/>
  <c r="R110" i="2"/>
  <c r="R118" i="2"/>
  <c r="R126" i="2"/>
  <c r="R134" i="2"/>
  <c r="R142" i="2"/>
  <c r="R166" i="2"/>
  <c r="R174" i="2"/>
  <c r="R182" i="2"/>
  <c r="R190" i="2"/>
  <c r="R198" i="2"/>
  <c r="R206" i="2"/>
  <c r="R230" i="2"/>
  <c r="R238" i="2"/>
  <c r="R246" i="2"/>
  <c r="R254" i="2"/>
  <c r="R262" i="2"/>
  <c r="R270" i="2"/>
  <c r="P278" i="2"/>
  <c r="R278" i="2" s="1"/>
  <c r="P286" i="2"/>
  <c r="R286" i="2" s="1"/>
  <c r="P294" i="2"/>
  <c r="R294" i="2" s="1"/>
  <c r="P302" i="2"/>
  <c r="R302" i="2" s="1"/>
  <c r="P310" i="2"/>
  <c r="R310" i="2" s="1"/>
  <c r="P318" i="2"/>
  <c r="R318" i="2" s="1"/>
  <c r="P326" i="2"/>
  <c r="R326" i="2" s="1"/>
  <c r="P334" i="2"/>
  <c r="R334" i="2" s="1"/>
  <c r="P342" i="2"/>
  <c r="R342" i="2" s="1"/>
  <c r="P350" i="2"/>
  <c r="R350" i="2" s="1"/>
  <c r="P358" i="2"/>
  <c r="R358" i="2" s="1"/>
  <c r="P366" i="2"/>
  <c r="R366" i="2" s="1"/>
  <c r="P374" i="2"/>
  <c r="R374" i="2" s="1"/>
  <c r="P382" i="2"/>
  <c r="R382" i="2" s="1"/>
  <c r="P390" i="2"/>
  <c r="R390" i="2" s="1"/>
  <c r="P398" i="2"/>
  <c r="R398" i="2" s="1"/>
  <c r="P406" i="2"/>
  <c r="R406" i="2" s="1"/>
  <c r="P414" i="2"/>
  <c r="R414" i="2" s="1"/>
  <c r="P422" i="2"/>
  <c r="R422" i="2" s="1"/>
  <c r="P430" i="2"/>
  <c r="R430" i="2" s="1"/>
  <c r="P438" i="2"/>
  <c r="R438" i="2" s="1"/>
  <c r="P446" i="2"/>
  <c r="R446" i="2" s="1"/>
  <c r="R191" i="2"/>
  <c r="R60" i="2"/>
  <c r="R68" i="2"/>
  <c r="R188" i="2"/>
  <c r="R215" i="2"/>
  <c r="R223" i="2"/>
  <c r="R231" i="2"/>
  <c r="R239" i="2"/>
  <c r="R247" i="2"/>
  <c r="R255" i="2"/>
  <c r="P287" i="2"/>
  <c r="R287" i="2" s="1"/>
  <c r="P295" i="2"/>
  <c r="R295" i="2" s="1"/>
  <c r="P303" i="2"/>
  <c r="R303" i="2" s="1"/>
  <c r="P311" i="2"/>
  <c r="R311" i="2" s="1"/>
  <c r="P319" i="2"/>
  <c r="R319" i="2" s="1"/>
  <c r="P327" i="2"/>
  <c r="R327" i="2" s="1"/>
  <c r="P335" i="2"/>
  <c r="R335" i="2" s="1"/>
  <c r="P343" i="2"/>
  <c r="R343" i="2" s="1"/>
  <c r="P351" i="2"/>
  <c r="R351" i="2" s="1"/>
  <c r="P359" i="2"/>
  <c r="R359" i="2" s="1"/>
  <c r="P367" i="2"/>
  <c r="R367" i="2" s="1"/>
  <c r="P375" i="2"/>
  <c r="R375" i="2" s="1"/>
  <c r="P383" i="2"/>
  <c r="R383" i="2" s="1"/>
  <c r="P391" i="2"/>
  <c r="R391" i="2" s="1"/>
  <c r="P399" i="2"/>
  <c r="R399" i="2" s="1"/>
  <c r="P407" i="2"/>
  <c r="R407" i="2" s="1"/>
  <c r="P415" i="2"/>
  <c r="R415" i="2" s="1"/>
  <c r="P423" i="2"/>
  <c r="R423" i="2" s="1"/>
  <c r="P431" i="2"/>
  <c r="R431" i="2" s="1"/>
  <c r="P439" i="2"/>
  <c r="R439" i="2" s="1"/>
  <c r="R207" i="2"/>
  <c r="P279" i="2"/>
  <c r="R279" i="2" s="1"/>
  <c r="R3" i="2"/>
  <c r="R260" i="2"/>
  <c r="R268" i="2"/>
  <c r="P276" i="2"/>
  <c r="R276" i="2" s="1"/>
  <c r="P284" i="2"/>
  <c r="R284" i="2" s="1"/>
  <c r="P292" i="2"/>
  <c r="R292" i="2" s="1"/>
  <c r="P300" i="2"/>
  <c r="R300" i="2" s="1"/>
  <c r="P308" i="2"/>
  <c r="R308" i="2" s="1"/>
  <c r="P316" i="2"/>
  <c r="R316" i="2" s="1"/>
  <c r="P324" i="2"/>
  <c r="R324" i="2" s="1"/>
  <c r="P332" i="2"/>
  <c r="R332" i="2" s="1"/>
  <c r="P340" i="2"/>
  <c r="R340" i="2" s="1"/>
  <c r="P348" i="2"/>
  <c r="R348" i="2" s="1"/>
  <c r="P356" i="2"/>
  <c r="R356" i="2" s="1"/>
  <c r="P364" i="2"/>
  <c r="R364" i="2" s="1"/>
  <c r="P372" i="2"/>
  <c r="R372" i="2" s="1"/>
  <c r="P380" i="2"/>
  <c r="R380" i="2" s="1"/>
  <c r="P388" i="2"/>
  <c r="R388" i="2" s="1"/>
  <c r="P396" i="2"/>
  <c r="R396" i="2" s="1"/>
  <c r="P404" i="2"/>
  <c r="R404" i="2" s="1"/>
  <c r="P412" i="2"/>
  <c r="R412" i="2" s="1"/>
  <c r="P420" i="2"/>
  <c r="R420" i="2" s="1"/>
  <c r="P428" i="2"/>
  <c r="R428" i="2" s="1"/>
  <c r="P436" i="2"/>
  <c r="R436" i="2" s="1"/>
  <c r="P444" i="2"/>
  <c r="R444" i="2" s="1"/>
  <c r="R25" i="2"/>
  <c r="R41" i="2"/>
  <c r="R73" i="2"/>
  <c r="R89" i="2"/>
  <c r="R105" i="2"/>
  <c r="R129" i="2"/>
  <c r="R145" i="2"/>
  <c r="R161" i="2"/>
  <c r="R169" i="2"/>
  <c r="R209" i="2"/>
  <c r="R217" i="2"/>
  <c r="R265" i="2"/>
  <c r="P281" i="2"/>
  <c r="R281" i="2" s="1"/>
  <c r="P297" i="2"/>
  <c r="R297" i="2" s="1"/>
  <c r="P313" i="2"/>
  <c r="R313" i="2" s="1"/>
  <c r="P329" i="2"/>
  <c r="R329" i="2" s="1"/>
  <c r="P345" i="2"/>
  <c r="R345" i="2" s="1"/>
  <c r="P361" i="2"/>
  <c r="R361" i="2" s="1"/>
  <c r="P377" i="2"/>
  <c r="R377" i="2" s="1"/>
  <c r="P393" i="2"/>
  <c r="R393" i="2" s="1"/>
  <c r="P401" i="2"/>
  <c r="R401" i="2" s="1"/>
  <c r="P417" i="2"/>
  <c r="R417" i="2" s="1"/>
  <c r="P425" i="2"/>
  <c r="R425" i="2" s="1"/>
  <c r="P433" i="2"/>
  <c r="R433" i="2" s="1"/>
  <c r="R9" i="2"/>
  <c r="R81" i="2"/>
  <c r="R153" i="2"/>
  <c r="R193" i="2"/>
  <c r="R201" i="2"/>
  <c r="R225" i="2"/>
  <c r="R233" i="2"/>
  <c r="R257" i="2"/>
  <c r="P273" i="2"/>
  <c r="R273" i="2" s="1"/>
  <c r="P289" i="2"/>
  <c r="R289" i="2" s="1"/>
  <c r="P305" i="2"/>
  <c r="R305" i="2" s="1"/>
  <c r="P321" i="2"/>
  <c r="R321" i="2" s="1"/>
  <c r="P337" i="2"/>
  <c r="R337" i="2" s="1"/>
  <c r="P353" i="2"/>
  <c r="R353" i="2" s="1"/>
  <c r="P369" i="2"/>
  <c r="R369" i="2" s="1"/>
  <c r="P385" i="2"/>
  <c r="R385" i="2" s="1"/>
  <c r="P409" i="2"/>
  <c r="R409" i="2" s="1"/>
  <c r="P441" i="2"/>
  <c r="R441" i="2" s="1"/>
  <c r="R17" i="2"/>
  <c r="R33" i="2"/>
  <c r="R65" i="2"/>
  <c r="R97" i="2"/>
  <c r="R121" i="2"/>
  <c r="R137" i="2"/>
  <c r="R2" i="2"/>
  <c r="R10" i="2"/>
  <c r="R26" i="2"/>
  <c r="R50" i="2"/>
  <c r="R58" i="2"/>
  <c r="R66" i="2"/>
  <c r="R74" i="2"/>
  <c r="R82" i="2"/>
  <c r="R90" i="2"/>
  <c r="R114" i="2"/>
  <c r="R122" i="2"/>
  <c r="R130" i="2"/>
  <c r="R138" i="2"/>
  <c r="R146" i="2"/>
  <c r="R154" i="2"/>
  <c r="R162" i="2"/>
  <c r="R178" i="2"/>
  <c r="R186" i="2"/>
  <c r="R194" i="2"/>
  <c r="R202" i="2"/>
  <c r="R210" i="2"/>
  <c r="R218" i="2"/>
  <c r="R242" i="2"/>
  <c r="R250" i="2"/>
  <c r="R258" i="2"/>
  <c r="R266" i="2"/>
  <c r="P274" i="2"/>
  <c r="R274" i="2" s="1"/>
  <c r="P282" i="2"/>
  <c r="R282" i="2" s="1"/>
  <c r="P290" i="2"/>
  <c r="R290" i="2" s="1"/>
  <c r="P298" i="2"/>
  <c r="R298" i="2" s="1"/>
  <c r="P306" i="2"/>
  <c r="R306" i="2" s="1"/>
  <c r="P314" i="2"/>
  <c r="R314" i="2" s="1"/>
  <c r="P322" i="2"/>
  <c r="R322" i="2" s="1"/>
  <c r="P330" i="2"/>
  <c r="R330" i="2" s="1"/>
  <c r="P338" i="2"/>
  <c r="R338" i="2" s="1"/>
  <c r="P346" i="2"/>
  <c r="R346" i="2" s="1"/>
  <c r="P354" i="2"/>
  <c r="R354" i="2" s="1"/>
  <c r="P362" i="2"/>
  <c r="R362" i="2" s="1"/>
  <c r="P370" i="2"/>
  <c r="R370" i="2" s="1"/>
  <c r="P378" i="2"/>
  <c r="R378" i="2" s="1"/>
  <c r="P386" i="2"/>
  <c r="R386" i="2" s="1"/>
  <c r="P394" i="2"/>
  <c r="R394" i="2" s="1"/>
  <c r="P402" i="2"/>
  <c r="R402" i="2" s="1"/>
  <c r="P410" i="2"/>
  <c r="R410" i="2" s="1"/>
  <c r="P418" i="2"/>
  <c r="R418" i="2" s="1"/>
  <c r="P426" i="2"/>
  <c r="R426" i="2" s="1"/>
  <c r="P434" i="2"/>
  <c r="R434" i="2" s="1"/>
  <c r="P442" i="2"/>
  <c r="R442" i="2" s="1"/>
  <c r="R5" i="2"/>
  <c r="R21" i="2"/>
  <c r="R45" i="2"/>
  <c r="R53" i="2"/>
  <c r="R61" i="2"/>
  <c r="R69" i="2"/>
  <c r="R77" i="2"/>
  <c r="R85" i="2"/>
  <c r="R109" i="2"/>
  <c r="R117" i="2"/>
  <c r="R125" i="2"/>
  <c r="R133" i="2"/>
  <c r="R141" i="2"/>
  <c r="R149" i="2"/>
  <c r="R173" i="2"/>
  <c r="R181" i="2"/>
  <c r="R189" i="2"/>
  <c r="R197" i="2"/>
  <c r="R205" i="2"/>
  <c r="R213" i="2"/>
  <c r="R237" i="2"/>
  <c r="R245" i="2"/>
  <c r="R253" i="2"/>
  <c r="R261" i="2"/>
  <c r="P277" i="2"/>
  <c r="R277" i="2" s="1"/>
  <c r="P285" i="2"/>
  <c r="R285" i="2" s="1"/>
  <c r="P293" i="2"/>
  <c r="R293" i="2" s="1"/>
  <c r="P301" i="2"/>
  <c r="R301" i="2" s="1"/>
  <c r="P309" i="2"/>
  <c r="R309" i="2" s="1"/>
  <c r="P317" i="2"/>
  <c r="R317" i="2" s="1"/>
  <c r="P325" i="2"/>
  <c r="R325" i="2" s="1"/>
  <c r="P333" i="2"/>
  <c r="R333" i="2" s="1"/>
  <c r="P341" i="2"/>
  <c r="R341" i="2" s="1"/>
  <c r="P349" i="2"/>
  <c r="R349" i="2" s="1"/>
  <c r="P357" i="2"/>
  <c r="R357" i="2" s="1"/>
  <c r="P365" i="2"/>
  <c r="R365" i="2" s="1"/>
  <c r="P373" i="2"/>
  <c r="R373" i="2" s="1"/>
  <c r="P381" i="2"/>
  <c r="R381" i="2" s="1"/>
  <c r="P389" i="2"/>
  <c r="R389" i="2" s="1"/>
  <c r="P397" i="2"/>
  <c r="R397" i="2" s="1"/>
  <c r="P405" i="2"/>
  <c r="R405" i="2" s="1"/>
  <c r="P413" i="2"/>
  <c r="R413" i="2" s="1"/>
  <c r="P421" i="2"/>
  <c r="R421" i="2" s="1"/>
  <c r="P429" i="2"/>
  <c r="R429" i="2" s="1"/>
  <c r="P437" i="2"/>
  <c r="R437" i="2" s="1"/>
  <c r="P445" i="2"/>
  <c r="R445" i="2" s="1"/>
  <c r="R8" i="2"/>
  <c r="R16" i="2"/>
  <c r="R24" i="2"/>
  <c r="R32" i="2"/>
  <c r="R40" i="2"/>
  <c r="R48" i="2"/>
  <c r="R56" i="2"/>
  <c r="R80" i="2"/>
  <c r="R88" i="2"/>
  <c r="R96" i="2"/>
  <c r="R104" i="2"/>
  <c r="R112" i="2"/>
  <c r="R120" i="2"/>
  <c r="R144" i="2"/>
  <c r="R152" i="2"/>
  <c r="R160" i="2"/>
  <c r="R168" i="2"/>
  <c r="R184" i="2"/>
  <c r="R208" i="2"/>
  <c r="R216" i="2"/>
  <c r="R224" i="2"/>
  <c r="R232" i="2"/>
  <c r="R240" i="2"/>
  <c r="R248" i="2"/>
  <c r="R256" i="2"/>
  <c r="R272" i="2"/>
  <c r="P280" i="2"/>
  <c r="R280" i="2" s="1"/>
  <c r="P288" i="2"/>
  <c r="R288" i="2" s="1"/>
  <c r="P296" i="2"/>
  <c r="R296" i="2" s="1"/>
  <c r="P304" i="2"/>
  <c r="R304" i="2" s="1"/>
  <c r="P312" i="2"/>
  <c r="R312" i="2" s="1"/>
  <c r="P320" i="2"/>
  <c r="R320" i="2" s="1"/>
  <c r="P328" i="2"/>
  <c r="R328" i="2" s="1"/>
  <c r="P336" i="2"/>
  <c r="R336" i="2" s="1"/>
  <c r="P344" i="2"/>
  <c r="R344" i="2" s="1"/>
  <c r="P352" i="2"/>
  <c r="R352" i="2" s="1"/>
  <c r="P360" i="2"/>
  <c r="R360" i="2" s="1"/>
  <c r="P368" i="2"/>
  <c r="R368" i="2" s="1"/>
  <c r="P376" i="2"/>
  <c r="R376" i="2" s="1"/>
  <c r="P384" i="2"/>
  <c r="R384" i="2" s="1"/>
  <c r="P392" i="2"/>
  <c r="R392" i="2" s="1"/>
  <c r="P400" i="2"/>
  <c r="R400" i="2" s="1"/>
  <c r="P408" i="2"/>
  <c r="R408" i="2" s="1"/>
  <c r="P416" i="2"/>
  <c r="R416" i="2" s="1"/>
  <c r="P424" i="2"/>
  <c r="R424" i="2" s="1"/>
  <c r="P432" i="2"/>
  <c r="R432" i="2" s="1"/>
  <c r="P440" i="2"/>
  <c r="R440" i="2" s="1"/>
  <c r="R11" i="2"/>
  <c r="R43" i="2"/>
  <c r="R59" i="2"/>
  <c r="R67" i="2"/>
  <c r="R99" i="2"/>
  <c r="R115" i="2"/>
  <c r="R131" i="2"/>
  <c r="R139" i="2"/>
  <c r="R163" i="2"/>
  <c r="R171" i="2"/>
  <c r="R179" i="2"/>
  <c r="R187" i="2"/>
  <c r="R195" i="2"/>
  <c r="R203" i="2"/>
  <c r="R227" i="2"/>
  <c r="R235" i="2"/>
  <c r="R243" i="2"/>
  <c r="R251" i="2"/>
  <c r="R259" i="2"/>
  <c r="R267" i="2"/>
  <c r="P275" i="2"/>
  <c r="R275" i="2" s="1"/>
  <c r="P283" i="2"/>
  <c r="R283" i="2" s="1"/>
  <c r="P291" i="2"/>
  <c r="R291" i="2" s="1"/>
  <c r="P299" i="2"/>
  <c r="R299" i="2" s="1"/>
  <c r="P307" i="2"/>
  <c r="R307" i="2" s="1"/>
  <c r="P315" i="2"/>
  <c r="R315" i="2" s="1"/>
  <c r="P323" i="2"/>
  <c r="R323" i="2" s="1"/>
  <c r="P331" i="2"/>
  <c r="R331" i="2" s="1"/>
  <c r="P339" i="2"/>
  <c r="R339" i="2" s="1"/>
  <c r="P347" i="2"/>
  <c r="R347" i="2" s="1"/>
  <c r="P355" i="2"/>
  <c r="R355" i="2" s="1"/>
  <c r="P363" i="2"/>
  <c r="R363" i="2" s="1"/>
  <c r="P371" i="2"/>
  <c r="R371" i="2" s="1"/>
  <c r="P379" i="2"/>
  <c r="R379" i="2" s="1"/>
  <c r="P387" i="2"/>
  <c r="R387" i="2" s="1"/>
  <c r="P395" i="2"/>
  <c r="R395" i="2" s="1"/>
  <c r="P403" i="2"/>
  <c r="R403" i="2" s="1"/>
  <c r="P411" i="2"/>
  <c r="R411" i="2" s="1"/>
  <c r="P419" i="2"/>
  <c r="R419" i="2" s="1"/>
  <c r="P427" i="2"/>
  <c r="R427" i="2" s="1"/>
  <c r="P435" i="2"/>
  <c r="R435" i="2" s="1"/>
  <c r="R35" i="2"/>
  <c r="R51" i="2"/>
  <c r="R75" i="2"/>
  <c r="R107" i="2"/>
  <c r="R123" i="2"/>
  <c r="T94" i="2" l="1"/>
  <c r="T210" i="2"/>
  <c r="T211" i="2"/>
  <c r="T114" i="2"/>
  <c r="T115" i="2"/>
  <c r="T116" i="2"/>
  <c r="T117" i="2"/>
  <c r="T50" i="2"/>
  <c r="T51" i="2"/>
  <c r="T52" i="2"/>
  <c r="T166" i="2"/>
  <c r="T165" i="2"/>
  <c r="T41" i="2"/>
  <c r="T42" i="2"/>
  <c r="T43" i="2"/>
  <c r="T46" i="2"/>
  <c r="T44" i="2"/>
  <c r="T45" i="2"/>
  <c r="T56" i="2"/>
  <c r="T57" i="2"/>
  <c r="T58" i="2"/>
  <c r="T59" i="2"/>
  <c r="T55" i="2"/>
  <c r="T60" i="2"/>
  <c r="T212" i="2"/>
  <c r="T216" i="2"/>
  <c r="T243" i="2"/>
  <c r="T150" i="2"/>
  <c r="T147" i="2"/>
  <c r="T148" i="2"/>
  <c r="T149" i="2"/>
  <c r="T91" i="2"/>
  <c r="T175" i="2"/>
  <c r="T174" i="2"/>
  <c r="T82" i="2"/>
  <c r="T83" i="2"/>
  <c r="H78" i="1" s="1"/>
  <c r="T84" i="2"/>
  <c r="T85" i="2"/>
  <c r="T73" i="2"/>
  <c r="T74" i="2"/>
  <c r="H38" i="1" s="1"/>
  <c r="T75" i="2"/>
  <c r="T76" i="2"/>
  <c r="T182" i="2"/>
  <c r="T180" i="2"/>
  <c r="T181" i="2"/>
  <c r="T183" i="2"/>
  <c r="T170" i="2"/>
  <c r="T171" i="2"/>
  <c r="T172" i="2"/>
  <c r="T93" i="2"/>
  <c r="T161" i="2"/>
  <c r="T97" i="2"/>
  <c r="T98" i="2"/>
  <c r="T99" i="2"/>
  <c r="T33" i="2"/>
  <c r="T34" i="2"/>
  <c r="T35" i="2"/>
  <c r="T204" i="2"/>
  <c r="T205" i="2"/>
  <c r="H51" i="1" s="1"/>
  <c r="T4" i="2"/>
  <c r="T271" i="2"/>
  <c r="T240" i="2"/>
  <c r="H32" i="1" s="1"/>
  <c r="T241" i="2"/>
  <c r="H33" i="1" s="1"/>
  <c r="T239" i="2"/>
  <c r="T242" i="2"/>
  <c r="T230" i="2"/>
  <c r="T231" i="2"/>
  <c r="T104" i="2"/>
  <c r="T103" i="2"/>
  <c r="T105" i="2"/>
  <c r="T106" i="2"/>
  <c r="T107" i="2"/>
  <c r="T102" i="2"/>
  <c r="T40" i="2"/>
  <c r="T38" i="2"/>
  <c r="T39" i="2"/>
  <c r="T27" i="2"/>
  <c r="T28" i="2"/>
  <c r="T29" i="2"/>
  <c r="T162" i="2"/>
  <c r="H12" i="1" s="1"/>
  <c r="T163" i="2"/>
  <c r="T164" i="2"/>
  <c r="T48" i="2"/>
  <c r="T49" i="2"/>
  <c r="T47" i="2"/>
  <c r="T217" i="2"/>
  <c r="T218" i="2"/>
  <c r="H27" i="1" s="1"/>
  <c r="T219" i="2"/>
  <c r="T214" i="2"/>
  <c r="T213" i="2"/>
  <c r="T89" i="2"/>
  <c r="T90" i="2"/>
  <c r="T235" i="2"/>
  <c r="T236" i="2"/>
  <c r="T237" i="2"/>
  <c r="T238" i="2"/>
  <c r="T139" i="2"/>
  <c r="T140" i="2"/>
  <c r="H64" i="1" s="1"/>
  <c r="T141" i="2"/>
  <c r="T160" i="2"/>
  <c r="T159" i="2"/>
  <c r="T158" i="2"/>
  <c r="T32" i="2"/>
  <c r="T30" i="2"/>
  <c r="T31" i="2"/>
  <c r="T154" i="2"/>
  <c r="T155" i="2"/>
  <c r="T265" i="2"/>
  <c r="T266" i="2"/>
  <c r="T267" i="2"/>
  <c r="T270" i="2"/>
  <c r="T268" i="2"/>
  <c r="T269" i="2"/>
  <c r="T209" i="2"/>
  <c r="T78" i="2"/>
  <c r="T77" i="2"/>
  <c r="T145" i="2"/>
  <c r="T146" i="2"/>
  <c r="H58" i="1" s="1"/>
  <c r="T188" i="2"/>
  <c r="T189" i="2"/>
  <c r="T72" i="2"/>
  <c r="T70" i="2"/>
  <c r="T71" i="2"/>
  <c r="T67" i="2"/>
  <c r="T68" i="2"/>
  <c r="T69" i="2"/>
  <c r="T192" i="2"/>
  <c r="T200" i="2"/>
  <c r="T201" i="2"/>
  <c r="T199" i="2"/>
  <c r="H25" i="1" s="1"/>
  <c r="T168" i="2"/>
  <c r="T169" i="2"/>
  <c r="T167" i="2"/>
  <c r="H17" i="1" s="1"/>
  <c r="T136" i="2"/>
  <c r="H66" i="1" s="1"/>
  <c r="T137" i="2"/>
  <c r="T135" i="2"/>
  <c r="H63" i="1" s="1"/>
  <c r="T88" i="2"/>
  <c r="T86" i="2"/>
  <c r="T87" i="2"/>
  <c r="H77" i="1" s="1"/>
  <c r="T144" i="2"/>
  <c r="T143" i="2"/>
  <c r="T142" i="2"/>
  <c r="T5" i="2"/>
  <c r="T7" i="2"/>
  <c r="T6" i="2"/>
  <c r="T197" i="2"/>
  <c r="T198" i="2"/>
  <c r="T120" i="2"/>
  <c r="T121" i="2"/>
  <c r="T122" i="2"/>
  <c r="T195" i="2"/>
  <c r="T196" i="2"/>
  <c r="H21" i="1" s="1"/>
  <c r="T202" i="2"/>
  <c r="T203" i="2"/>
  <c r="T257" i="2"/>
  <c r="T258" i="2"/>
  <c r="T193" i="2"/>
  <c r="H50" i="1" s="1"/>
  <c r="T194" i="2"/>
  <c r="T64" i="2"/>
  <c r="T65" i="2"/>
  <c r="T66" i="2"/>
  <c r="T63" i="2"/>
  <c r="T61" i="2"/>
  <c r="H90" i="1" s="1"/>
  <c r="T62" i="2"/>
  <c r="H82" i="1" s="1"/>
  <c r="T8" i="2"/>
  <c r="T9" i="2"/>
  <c r="T10" i="2"/>
  <c r="T112" i="2"/>
  <c r="T113" i="2"/>
  <c r="T110" i="2"/>
  <c r="T108" i="2"/>
  <c r="T111" i="2"/>
  <c r="T109" i="2"/>
  <c r="T176" i="2"/>
  <c r="H29" i="1" s="1"/>
  <c r="T177" i="2"/>
  <c r="H19" i="1" s="1"/>
  <c r="T178" i="2"/>
  <c r="T179" i="2"/>
  <c r="T256" i="2"/>
  <c r="T255" i="2"/>
  <c r="T138" i="2"/>
  <c r="T11" i="2"/>
  <c r="T12" i="2"/>
  <c r="T13" i="2"/>
  <c r="T15" i="2"/>
  <c r="H40" i="1" s="1"/>
  <c r="T14" i="2"/>
  <c r="T259" i="2"/>
  <c r="T260" i="2"/>
  <c r="T261" i="2"/>
  <c r="H72" i="1" s="1"/>
  <c r="T264" i="2"/>
  <c r="H7" i="1" s="1"/>
  <c r="T262" i="2"/>
  <c r="T263" i="2"/>
  <c r="H6" i="1" s="1"/>
  <c r="T128" i="2"/>
  <c r="T129" i="2"/>
  <c r="H62" i="1" s="1"/>
  <c r="T127" i="2"/>
  <c r="H74" i="1" s="1"/>
  <c r="T126" i="2"/>
  <c r="T272" i="2"/>
  <c r="T280" i="2"/>
  <c r="T288" i="2"/>
  <c r="T296" i="2"/>
  <c r="T304" i="2"/>
  <c r="T312" i="2"/>
  <c r="T320" i="2"/>
  <c r="T328" i="2"/>
  <c r="T336" i="2"/>
  <c r="T344" i="2"/>
  <c r="T352" i="2"/>
  <c r="T360" i="2"/>
  <c r="T368" i="2"/>
  <c r="T376" i="2"/>
  <c r="T384" i="2"/>
  <c r="T392" i="2"/>
  <c r="T400" i="2"/>
  <c r="T408" i="2"/>
  <c r="T416" i="2"/>
  <c r="T424" i="2"/>
  <c r="T432" i="2"/>
  <c r="T440" i="2"/>
  <c r="T3" i="2"/>
  <c r="H81" i="1" s="1"/>
  <c r="T302" i="2"/>
  <c r="T358" i="2"/>
  <c r="T398" i="2"/>
  <c r="T438" i="2"/>
  <c r="T273" i="2"/>
  <c r="T281" i="2"/>
  <c r="T289" i="2"/>
  <c r="T297" i="2"/>
  <c r="T305" i="2"/>
  <c r="T313" i="2"/>
  <c r="T321" i="2"/>
  <c r="T329" i="2"/>
  <c r="T337" i="2"/>
  <c r="T345" i="2"/>
  <c r="T353" i="2"/>
  <c r="T361" i="2"/>
  <c r="T369" i="2"/>
  <c r="T377" i="2"/>
  <c r="T385" i="2"/>
  <c r="T393" i="2"/>
  <c r="T401" i="2"/>
  <c r="T409" i="2"/>
  <c r="T417" i="2"/>
  <c r="T425" i="2"/>
  <c r="T433" i="2"/>
  <c r="T441" i="2"/>
  <c r="T418" i="2"/>
  <c r="T434" i="2"/>
  <c r="T395" i="2"/>
  <c r="T419" i="2"/>
  <c r="T443" i="2"/>
  <c r="T428" i="2"/>
  <c r="T413" i="2"/>
  <c r="T310" i="2"/>
  <c r="T334" i="2"/>
  <c r="T366" i="2"/>
  <c r="T414" i="2"/>
  <c r="T446" i="2"/>
  <c r="T279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26" i="2"/>
  <c r="T442" i="2"/>
  <c r="T411" i="2"/>
  <c r="T435" i="2"/>
  <c r="T420" i="2"/>
  <c r="T421" i="2"/>
  <c r="T286" i="2"/>
  <c r="T326" i="2"/>
  <c r="T382" i="2"/>
  <c r="T430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403" i="2"/>
  <c r="T427" i="2"/>
  <c r="T436" i="2"/>
  <c r="T437" i="2"/>
  <c r="T350" i="2"/>
  <c r="T406" i="2"/>
  <c r="T295" i="2"/>
  <c r="T276" i="2"/>
  <c r="T284" i="2"/>
  <c r="T292" i="2"/>
  <c r="T300" i="2"/>
  <c r="T308" i="2"/>
  <c r="T316" i="2"/>
  <c r="T324" i="2"/>
  <c r="T332" i="2"/>
  <c r="T340" i="2"/>
  <c r="T348" i="2"/>
  <c r="T356" i="2"/>
  <c r="T364" i="2"/>
  <c r="T372" i="2"/>
  <c r="T380" i="2"/>
  <c r="T388" i="2"/>
  <c r="T396" i="2"/>
  <c r="T404" i="2"/>
  <c r="T412" i="2"/>
  <c r="T444" i="2"/>
  <c r="T445" i="2"/>
  <c r="T278" i="2"/>
  <c r="T318" i="2"/>
  <c r="T374" i="2"/>
  <c r="T422" i="2"/>
  <c r="T277" i="2"/>
  <c r="T285" i="2"/>
  <c r="T293" i="2"/>
  <c r="T301" i="2"/>
  <c r="T309" i="2"/>
  <c r="T317" i="2"/>
  <c r="T325" i="2"/>
  <c r="T333" i="2"/>
  <c r="T341" i="2"/>
  <c r="T349" i="2"/>
  <c r="T357" i="2"/>
  <c r="T365" i="2"/>
  <c r="T373" i="2"/>
  <c r="T381" i="2"/>
  <c r="T389" i="2"/>
  <c r="T397" i="2"/>
  <c r="T405" i="2"/>
  <c r="T429" i="2"/>
  <c r="T294" i="2"/>
  <c r="T342" i="2"/>
  <c r="T390" i="2"/>
  <c r="T287" i="2"/>
  <c r="T303" i="2"/>
  <c r="T367" i="2"/>
  <c r="T431" i="2"/>
  <c r="T399" i="2"/>
  <c r="T351" i="2"/>
  <c r="T423" i="2"/>
  <c r="T311" i="2"/>
  <c r="T375" i="2"/>
  <c r="T439" i="2"/>
  <c r="T407" i="2"/>
  <c r="T319" i="2"/>
  <c r="T383" i="2"/>
  <c r="T2" i="2"/>
  <c r="T335" i="2"/>
  <c r="T415" i="2"/>
  <c r="T327" i="2"/>
  <c r="T391" i="2"/>
  <c r="T343" i="2"/>
  <c r="T359" i="2"/>
  <c r="T54" i="2"/>
  <c r="T53" i="2"/>
  <c r="H96" i="1" s="1"/>
  <c r="T95" i="2"/>
  <c r="T100" i="2"/>
  <c r="H22" i="1" s="1"/>
  <c r="T101" i="2"/>
  <c r="H23" i="1" s="1"/>
  <c r="T232" i="2"/>
  <c r="T233" i="2"/>
  <c r="T234" i="2"/>
  <c r="T254" i="2"/>
  <c r="T251" i="2"/>
  <c r="T252" i="2"/>
  <c r="T253" i="2"/>
  <c r="T123" i="2"/>
  <c r="T124" i="2"/>
  <c r="T125" i="2"/>
  <c r="T190" i="2"/>
  <c r="H15" i="1" s="1"/>
  <c r="T191" i="2"/>
  <c r="H16" i="1" s="1"/>
  <c r="T130" i="2"/>
  <c r="T131" i="2"/>
  <c r="T132" i="2"/>
  <c r="T134" i="2"/>
  <c r="T133" i="2"/>
  <c r="T246" i="2"/>
  <c r="H8" i="1" s="1"/>
  <c r="T244" i="2"/>
  <c r="H36" i="1" s="1"/>
  <c r="T245" i="2"/>
  <c r="T184" i="2"/>
  <c r="H20" i="1" s="1"/>
  <c r="T185" i="2"/>
  <c r="H49" i="1" s="1"/>
  <c r="T186" i="2"/>
  <c r="T187" i="2"/>
  <c r="H18" i="1" s="1"/>
  <c r="T227" i="2"/>
  <c r="H69" i="1" s="1"/>
  <c r="T228" i="2"/>
  <c r="T229" i="2"/>
  <c r="H70" i="1" s="1"/>
  <c r="T208" i="2"/>
  <c r="T207" i="2"/>
  <c r="T206" i="2"/>
  <c r="T118" i="2"/>
  <c r="T119" i="2"/>
  <c r="T173" i="2"/>
  <c r="T222" i="2"/>
  <c r="H28" i="1" s="1"/>
  <c r="T220" i="2"/>
  <c r="T223" i="2"/>
  <c r="T221" i="2"/>
  <c r="T156" i="2"/>
  <c r="T157" i="2"/>
  <c r="H56" i="1" s="1"/>
  <c r="T92" i="2"/>
  <c r="H79" i="1" s="1"/>
  <c r="T24" i="2"/>
  <c r="T25" i="2"/>
  <c r="H87" i="1" s="1"/>
  <c r="T26" i="2"/>
  <c r="H93" i="1" s="1"/>
  <c r="T224" i="2"/>
  <c r="T225" i="2"/>
  <c r="T226" i="2"/>
  <c r="H68" i="1" s="1"/>
  <c r="T96" i="2"/>
  <c r="T36" i="2"/>
  <c r="T37" i="2"/>
  <c r="H89" i="1" s="1"/>
  <c r="T248" i="2"/>
  <c r="T249" i="2"/>
  <c r="T250" i="2"/>
  <c r="T247" i="2"/>
  <c r="T215" i="2"/>
  <c r="H53" i="1" s="1"/>
  <c r="T152" i="2"/>
  <c r="H55" i="1" s="1"/>
  <c r="T151" i="2"/>
  <c r="T153" i="2"/>
  <c r="T80" i="2"/>
  <c r="T81" i="2"/>
  <c r="T79" i="2"/>
  <c r="T23" i="2"/>
  <c r="H88" i="1" s="1"/>
  <c r="T22" i="2"/>
  <c r="T19" i="2"/>
  <c r="H39" i="1" s="1"/>
  <c r="T21" i="2"/>
  <c r="T20" i="2"/>
  <c r="H45" i="1" s="1"/>
  <c r="T17" i="2"/>
  <c r="T18" i="2"/>
  <c r="T16" i="2"/>
  <c r="L5" i="1"/>
  <c r="L6" i="1"/>
  <c r="L7" i="1"/>
  <c r="L239" i="1"/>
  <c r="L495" i="1"/>
  <c r="L591" i="1"/>
  <c r="L751" i="1"/>
  <c r="L1007" i="1"/>
  <c r="L1263" i="1"/>
  <c r="L176" i="1"/>
  <c r="L432" i="1"/>
  <c r="L528" i="1"/>
  <c r="L688" i="1"/>
  <c r="L944" i="1"/>
  <c r="L1056" i="1"/>
  <c r="L1072" i="1"/>
  <c r="L1088" i="1"/>
  <c r="L1200" i="1"/>
  <c r="L1344" i="1"/>
  <c r="L98" i="1"/>
  <c r="L210" i="1"/>
  <c r="L354" i="1"/>
  <c r="L610" i="1"/>
  <c r="L706" i="1"/>
  <c r="L738" i="1"/>
  <c r="L866" i="1"/>
  <c r="L1122" i="1"/>
  <c r="L1218" i="1"/>
  <c r="L37" i="1"/>
  <c r="L69" i="1"/>
  <c r="L661" i="1"/>
  <c r="L693" i="1"/>
  <c r="L805" i="1"/>
  <c r="L949" i="1"/>
  <c r="L1061" i="1"/>
  <c r="L1157" i="1"/>
  <c r="L1205" i="1"/>
  <c r="L1317" i="1"/>
  <c r="L1349" i="1"/>
  <c r="L262" i="1"/>
  <c r="L410" i="1"/>
  <c r="L454" i="1"/>
  <c r="L602" i="1"/>
  <c r="L646" i="1"/>
  <c r="L730" i="1"/>
  <c r="L750" i="1"/>
  <c r="L794" i="1"/>
  <c r="L1094" i="1"/>
  <c r="L1134" i="1"/>
  <c r="L1326" i="1"/>
  <c r="L1416" i="1"/>
  <c r="L1432" i="1"/>
  <c r="L1448" i="1"/>
  <c r="L1560" i="1"/>
  <c r="L1656" i="1"/>
  <c r="L1672" i="1"/>
  <c r="L157" i="1"/>
  <c r="L201" i="1"/>
  <c r="L285" i="1"/>
  <c r="L308" i="1"/>
  <c r="L329" i="1"/>
  <c r="L500" i="1"/>
  <c r="L628" i="1"/>
  <c r="L649" i="1"/>
  <c r="L841" i="1"/>
  <c r="L989" i="1"/>
  <c r="L1033" i="1"/>
  <c r="L1181" i="1"/>
  <c r="L1353" i="1"/>
  <c r="L1483" i="1"/>
  <c r="L1579" i="1"/>
  <c r="L1595" i="1"/>
  <c r="L1627" i="1"/>
  <c r="L187" i="1"/>
  <c r="L209" i="1"/>
  <c r="L231" i="1"/>
  <c r="L251" i="1"/>
  <c r="L401" i="1"/>
  <c r="L763" i="1"/>
  <c r="L785" i="1"/>
  <c r="L871" i="1"/>
  <c r="L1083" i="1"/>
  <c r="L1105" i="1"/>
  <c r="L1255" i="1"/>
  <c r="L1275" i="1"/>
  <c r="L1409" i="1"/>
  <c r="L1425" i="1"/>
  <c r="L1505" i="1"/>
  <c r="L1521" i="1"/>
  <c r="L1537" i="1"/>
  <c r="L1553" i="1"/>
  <c r="L1665" i="1"/>
  <c r="L1697" i="1"/>
  <c r="L104" i="1"/>
  <c r="L339" i="1"/>
  <c r="L424" i="1"/>
  <c r="L444" i="1"/>
  <c r="L764" i="1"/>
  <c r="L787" i="1"/>
  <c r="L979" i="1"/>
  <c r="L1020" i="1"/>
  <c r="L1107" i="1"/>
  <c r="L1128" i="1"/>
  <c r="L1148" i="1"/>
  <c r="L1276" i="1"/>
  <c r="L1320" i="1"/>
  <c r="L1361" i="1"/>
  <c r="L1426" i="1"/>
  <c r="L1442" i="1"/>
  <c r="L1458" i="1"/>
  <c r="L22" i="1"/>
  <c r="L150" i="1"/>
  <c r="L190" i="1"/>
  <c r="L362" i="1"/>
  <c r="L510" i="1"/>
  <c r="L534" i="1"/>
  <c r="L554" i="1"/>
  <c r="L702" i="1"/>
  <c r="L746" i="1"/>
  <c r="L854" i="1"/>
  <c r="L1022" i="1"/>
  <c r="L1046" i="1"/>
  <c r="L1066" i="1"/>
  <c r="L1174" i="1"/>
  <c r="L1214" i="1"/>
  <c r="L1238" i="1"/>
  <c r="L1380" i="1"/>
  <c r="L1412" i="1"/>
  <c r="L1428" i="1"/>
  <c r="L1476" i="1"/>
  <c r="L1492" i="1"/>
  <c r="L1524" i="1"/>
  <c r="L1620" i="1"/>
  <c r="L1636" i="1"/>
  <c r="L1652" i="1"/>
  <c r="L1668" i="1"/>
  <c r="L45" i="1"/>
  <c r="L68" i="1"/>
  <c r="L89" i="1"/>
  <c r="L260" i="1"/>
  <c r="L388" i="1"/>
  <c r="L409" i="1"/>
  <c r="L452" i="1"/>
  <c r="L601" i="1"/>
  <c r="L644" i="1"/>
  <c r="L729" i="1"/>
  <c r="L793" i="1"/>
  <c r="L941" i="1"/>
  <c r="L985" i="1"/>
  <c r="L1069" i="1"/>
  <c r="L1113" i="1"/>
  <c r="L1133" i="1"/>
  <c r="L1348" i="1"/>
  <c r="L1399" i="1"/>
  <c r="L1415" i="1"/>
  <c r="L1447" i="1"/>
  <c r="L1527" i="1"/>
  <c r="L1543" i="1"/>
  <c r="L1559" i="1"/>
  <c r="L1575" i="1"/>
  <c r="L1591" i="1"/>
  <c r="L1655" i="1"/>
  <c r="L1671" i="1"/>
  <c r="L1687" i="1"/>
  <c r="L1703" i="1"/>
  <c r="L246" i="1"/>
  <c r="L279" i="1"/>
  <c r="L414" i="1"/>
  <c r="L483" i="1"/>
  <c r="L519" i="1"/>
  <c r="L758" i="1"/>
  <c r="L824" i="1"/>
  <c r="L961" i="1"/>
  <c r="L1031" i="1"/>
  <c r="L1062" i="1"/>
  <c r="L1303" i="1"/>
  <c r="L1336" i="1"/>
  <c r="L1369" i="1"/>
  <c r="L1470" i="1"/>
  <c r="L1497" i="1"/>
  <c r="L1520" i="1"/>
  <c r="L1548" i="1"/>
  <c r="L1666" i="1"/>
  <c r="L1710" i="1"/>
  <c r="L1726" i="1"/>
  <c r="L1742" i="1"/>
  <c r="L1449" i="1"/>
  <c r="L1525" i="1"/>
  <c r="L1599" i="1"/>
  <c r="L1669" i="1"/>
  <c r="L1603" i="1"/>
  <c r="L394" i="1"/>
  <c r="L44" i="1"/>
  <c r="L77" i="1"/>
  <c r="L589" i="1"/>
  <c r="L627" i="1"/>
  <c r="L660" i="1"/>
  <c r="L695" i="1"/>
  <c r="L932" i="1"/>
  <c r="L1139" i="1"/>
  <c r="L1172" i="1"/>
  <c r="L1240" i="1"/>
  <c r="L1373" i="1"/>
  <c r="L1423" i="1"/>
  <c r="L1450" i="1"/>
  <c r="L1501" i="1"/>
  <c r="L1526" i="1"/>
  <c r="L1600" i="1"/>
  <c r="L1670" i="1"/>
  <c r="L118" i="1"/>
  <c r="L184" i="1"/>
  <c r="L321" i="1"/>
  <c r="L355" i="1"/>
  <c r="L422" i="1"/>
  <c r="L663" i="1"/>
  <c r="L731" i="1"/>
  <c r="L867" i="1"/>
  <c r="L903" i="1"/>
  <c r="L934" i="1"/>
  <c r="L1175" i="1"/>
  <c r="L1401" i="1"/>
  <c r="L1424" i="1"/>
  <c r="L1477" i="1"/>
  <c r="L1580" i="1"/>
  <c r="L1602" i="1"/>
  <c r="L1648" i="1"/>
  <c r="L1673" i="1"/>
  <c r="L1695" i="1"/>
  <c r="L220" i="1"/>
  <c r="L253" i="1"/>
  <c r="L289" i="1"/>
  <c r="L323" i="1"/>
  <c r="L563" i="1"/>
  <c r="L937" i="1"/>
  <c r="L1004" i="1"/>
  <c r="L1075" i="1"/>
  <c r="L1503" i="1"/>
  <c r="L1555" i="1"/>
  <c r="L1674" i="1"/>
  <c r="L1731" i="1"/>
  <c r="L54" i="1"/>
  <c r="L526" i="1"/>
  <c r="L667" i="1"/>
  <c r="L803" i="1"/>
  <c r="L939" i="1"/>
  <c r="L1504" i="1"/>
  <c r="L1605" i="1"/>
  <c r="L24" i="1"/>
  <c r="L228" i="1"/>
  <c r="L264" i="1"/>
  <c r="L331" i="1"/>
  <c r="L569" i="1"/>
  <c r="L776" i="1"/>
  <c r="L809" i="1"/>
  <c r="L843" i="1"/>
  <c r="L876" i="1"/>
  <c r="L1116" i="1"/>
  <c r="L1185" i="1"/>
  <c r="L1321" i="1"/>
  <c r="L1355" i="1"/>
  <c r="L1407" i="1"/>
  <c r="L1535" i="1"/>
  <c r="L1610" i="1"/>
  <c r="L1719" i="1"/>
  <c r="L1735" i="1"/>
  <c r="L28" i="1"/>
  <c r="L643" i="1"/>
  <c r="L712" i="1"/>
  <c r="L845" i="1"/>
  <c r="L1257" i="1"/>
  <c r="L1411" i="1"/>
  <c r="L1539" i="1"/>
  <c r="L1682" i="1"/>
  <c r="L1663" i="1"/>
  <c r="L185" i="1"/>
  <c r="L1244" i="1"/>
  <c r="L1478" i="1"/>
  <c r="L599" i="1"/>
  <c r="L870" i="1"/>
  <c r="L1481" i="1"/>
  <c r="L1582" i="1"/>
  <c r="L27" i="1"/>
  <c r="L266" i="1"/>
  <c r="L471" i="1"/>
  <c r="L504" i="1"/>
  <c r="L539" i="1"/>
  <c r="L570" i="1"/>
  <c r="L811" i="1"/>
  <c r="L881" i="1"/>
  <c r="L1016" i="1"/>
  <c r="L1051" i="1"/>
  <c r="L1082" i="1"/>
  <c r="L1118" i="1"/>
  <c r="L1254" i="1"/>
  <c r="L1356" i="1"/>
  <c r="L1385" i="1"/>
  <c r="L1408" i="1"/>
  <c r="L1513" i="1"/>
  <c r="L1536" i="1"/>
  <c r="L1564" i="1"/>
  <c r="L1587" i="1"/>
  <c r="L1704" i="1"/>
  <c r="L1736" i="1"/>
  <c r="L61" i="1"/>
  <c r="L300" i="1"/>
  <c r="L333" i="1"/>
  <c r="L472" i="1"/>
  <c r="L951" i="1"/>
  <c r="L984" i="1"/>
  <c r="L1052" i="1"/>
  <c r="L1224" i="1"/>
  <c r="L1291" i="1"/>
  <c r="L1357" i="1"/>
  <c r="L1487" i="1"/>
  <c r="L1565" i="1"/>
  <c r="L1589" i="1"/>
  <c r="L1613" i="1"/>
  <c r="L1737" i="1"/>
  <c r="L855" i="1"/>
  <c r="L1195" i="1"/>
  <c r="L1334" i="1"/>
  <c r="L1375" i="1"/>
  <c r="L1650" i="1"/>
  <c r="L327" i="1"/>
  <c r="L1111" i="1"/>
  <c r="L1454" i="1"/>
  <c r="L65" i="1"/>
  <c r="L202" i="1"/>
  <c r="L305" i="1"/>
  <c r="L334" i="1"/>
  <c r="L374" i="1"/>
  <c r="L506" i="1"/>
  <c r="L542" i="1"/>
  <c r="L611" i="1"/>
  <c r="L780" i="1"/>
  <c r="L919" i="1"/>
  <c r="L1054" i="1"/>
  <c r="L1089" i="1"/>
  <c r="L1123" i="1"/>
  <c r="L1159" i="1"/>
  <c r="L1413" i="1"/>
  <c r="L1438" i="1"/>
  <c r="L1465" i="1"/>
  <c r="L1541" i="1"/>
  <c r="L1566" i="1"/>
  <c r="L1590" i="1"/>
  <c r="L1614" i="1"/>
  <c r="L1706" i="1"/>
  <c r="L1722" i="1"/>
  <c r="L67" i="1"/>
  <c r="L100" i="1"/>
  <c r="L236" i="1"/>
  <c r="L269" i="1"/>
  <c r="L307" i="1"/>
  <c r="L579" i="1"/>
  <c r="L612" i="1"/>
  <c r="L781" i="1"/>
  <c r="L819" i="1"/>
  <c r="L852" i="1"/>
  <c r="L887" i="1"/>
  <c r="L1057" i="1"/>
  <c r="L1124" i="1"/>
  <c r="L1362" i="1"/>
  <c r="L1389" i="1"/>
  <c r="L1414" i="1"/>
  <c r="L1517" i="1"/>
  <c r="L1542" i="1"/>
  <c r="L1567" i="1"/>
  <c r="L1593" i="1"/>
  <c r="L1615" i="1"/>
  <c r="L1638" i="1"/>
  <c r="L1662" i="1"/>
  <c r="L1723" i="1"/>
  <c r="L1739" i="1"/>
  <c r="L71" i="1"/>
  <c r="L310" i="1"/>
  <c r="L513" i="1"/>
  <c r="L547" i="1"/>
  <c r="L583" i="1"/>
  <c r="L614" i="1"/>
  <c r="L888" i="1"/>
  <c r="L923" i="1"/>
  <c r="L954" i="1"/>
  <c r="L1162" i="1"/>
  <c r="L1228" i="1"/>
  <c r="L1265" i="1"/>
  <c r="L1641" i="1"/>
  <c r="L1724" i="1"/>
  <c r="L155" i="1"/>
  <c r="L497" i="1"/>
  <c r="L1009" i="1"/>
  <c r="L72" i="1"/>
  <c r="L139" i="1"/>
  <c r="L344" i="1"/>
  <c r="L412" i="1"/>
  <c r="L445" i="1"/>
  <c r="L684" i="1"/>
  <c r="L717" i="1"/>
  <c r="L889" i="1"/>
  <c r="L957" i="1"/>
  <c r="L993" i="1"/>
  <c r="L1229" i="1"/>
  <c r="L1267" i="1"/>
  <c r="L1366" i="1"/>
  <c r="L1418" i="1"/>
  <c r="L1443" i="1"/>
  <c r="L1469" i="1"/>
  <c r="L1494" i="1"/>
  <c r="L1596" i="1"/>
  <c r="L1618" i="1"/>
  <c r="L1664" i="1"/>
  <c r="L1725" i="1"/>
  <c r="L1741" i="1"/>
  <c r="L75" i="1"/>
  <c r="L108" i="1"/>
  <c r="L141" i="1"/>
  <c r="L179" i="1"/>
  <c r="L417" i="1"/>
  <c r="L620" i="1"/>
  <c r="L653" i="1"/>
  <c r="L691" i="1"/>
  <c r="L724" i="1"/>
  <c r="L893" i="1"/>
  <c r="L929" i="1"/>
  <c r="L963" i="1"/>
  <c r="L996" i="1"/>
  <c r="L1165" i="1"/>
  <c r="L1203" i="1"/>
  <c r="L1236" i="1"/>
  <c r="L1271" i="1"/>
  <c r="L1421" i="1"/>
  <c r="L1471" i="1"/>
  <c r="L1523" i="1"/>
  <c r="L1621" i="1"/>
  <c r="L1645" i="1"/>
  <c r="L1692" i="1"/>
  <c r="L142" i="1"/>
  <c r="L182" i="1"/>
  <c r="L350" i="1"/>
  <c r="L385" i="1"/>
  <c r="L419" i="1"/>
  <c r="L455" i="1"/>
  <c r="L727" i="1"/>
  <c r="L760" i="1"/>
  <c r="L795" i="1"/>
  <c r="L931" i="1"/>
  <c r="L967" i="1"/>
  <c r="L998" i="1"/>
  <c r="L1034" i="1"/>
  <c r="L1239" i="1"/>
  <c r="L1307" i="1"/>
  <c r="L1338" i="1"/>
  <c r="L1372" i="1"/>
  <c r="L1500" i="1"/>
  <c r="L1550" i="1"/>
  <c r="L1577" i="1"/>
  <c r="L1622" i="1"/>
  <c r="L1715" i="1"/>
  <c r="L186" i="1"/>
  <c r="L460" i="1"/>
  <c r="L20" i="1"/>
  <c r="L292" i="1"/>
  <c r="L567" i="1"/>
  <c r="L294" i="1"/>
  <c r="L568" i="1"/>
  <c r="L842" i="1"/>
  <c r="L1732" i="1"/>
  <c r="L1606" i="1"/>
  <c r="L1733" i="1"/>
  <c r="L56" i="1"/>
  <c r="L1406" i="1"/>
  <c r="L361" i="1"/>
  <c r="L907" i="1"/>
  <c r="L1430" i="1"/>
  <c r="L1433" i="1"/>
  <c r="L1631" i="1"/>
  <c r="L121" i="1"/>
  <c r="L940" i="1"/>
  <c r="L328" i="1"/>
  <c r="L600" i="1"/>
  <c r="L873" i="1"/>
  <c r="L1145" i="1"/>
  <c r="L88" i="1"/>
  <c r="L633" i="1"/>
  <c r="L1180" i="1"/>
  <c r="L1630" i="1"/>
  <c r="L1213" i="1"/>
  <c r="L1651" i="1"/>
  <c r="L396" i="1"/>
  <c r="L1217" i="1"/>
  <c r="L433" i="1"/>
  <c r="L705" i="1"/>
  <c r="L1251" i="1"/>
  <c r="L1558" i="1"/>
  <c r="L263" i="1"/>
  <c r="L1354" i="1"/>
  <c r="L1011" i="1"/>
  <c r="L1507" i="1"/>
  <c r="L1509" i="1"/>
  <c r="L502" i="1"/>
  <c r="L1318" i="1"/>
  <c r="L1561" i="1"/>
  <c r="L1653" i="1"/>
  <c r="L428" i="1"/>
  <c r="L1654" i="1"/>
  <c r="L1316" i="1"/>
  <c r="L1533" i="1"/>
  <c r="L1699" i="1"/>
  <c r="L227" i="1"/>
  <c r="L535" i="1"/>
  <c r="L1080" i="1"/>
  <c r="L1717" i="1"/>
  <c r="L156" i="1"/>
  <c r="L1364" i="1"/>
  <c r="L1538" i="1"/>
  <c r="L1522" i="1"/>
  <c r="L1490" i="1"/>
  <c r="L1586" i="1"/>
  <c r="L1474" i="1"/>
  <c r="L1410" i="1"/>
  <c r="L766" i="1"/>
  <c r="L1730" i="1"/>
  <c r="L1718" i="1"/>
  <c r="L1728" i="1"/>
  <c r="L1712" i="1"/>
  <c r="L1696" i="1"/>
  <c r="L1612" i="1"/>
  <c r="L997" i="1"/>
  <c r="L1104" i="1"/>
  <c r="L1484" i="1"/>
  <c r="L1463" i="1"/>
  <c r="L1441" i="1"/>
  <c r="L1420" i="1"/>
  <c r="L1358" i="1"/>
  <c r="L1727" i="1"/>
  <c r="L1711" i="1"/>
  <c r="L1675" i="1"/>
  <c r="L200" i="1"/>
  <c r="L1611" i="1"/>
  <c r="L1547" i="1"/>
  <c r="L1103" i="1"/>
  <c r="L1461" i="1"/>
  <c r="L1440" i="1"/>
  <c r="L1419" i="1"/>
  <c r="L982" i="1"/>
  <c r="L1499" i="1"/>
  <c r="L1382" i="1"/>
  <c r="L1647" i="1"/>
  <c r="L1625" i="1"/>
  <c r="L1604" i="1"/>
  <c r="L1583" i="1"/>
  <c r="L1540" i="1"/>
  <c r="L1519" i="1"/>
  <c r="L1096" i="1"/>
  <c r="L1455" i="1"/>
  <c r="L1705" i="1"/>
  <c r="L1381" i="1"/>
  <c r="L1667" i="1"/>
  <c r="L1624" i="1"/>
  <c r="L1019" i="1"/>
  <c r="L1095" i="1"/>
  <c r="L1475" i="1"/>
  <c r="L1453" i="1"/>
  <c r="L1563" i="1"/>
  <c r="L1365" i="1"/>
  <c r="L1379" i="1"/>
  <c r="L1119" i="1"/>
  <c r="L987" i="1"/>
  <c r="L1510" i="1"/>
  <c r="L1025" i="1"/>
  <c r="L1462" i="1"/>
  <c r="L1446" i="1"/>
  <c r="L983" i="1"/>
  <c r="L1368" i="1"/>
  <c r="L761" i="1"/>
  <c r="L1729" i="1"/>
  <c r="L1708" i="1"/>
  <c r="L1649" i="1"/>
  <c r="L1628" i="1"/>
  <c r="L1607" i="1"/>
  <c r="L1585" i="1"/>
  <c r="L992" i="1"/>
  <c r="L1099" i="1"/>
  <c r="L1479" i="1"/>
  <c r="L1457" i="1"/>
  <c r="L1436" i="1"/>
  <c r="L1707" i="1"/>
  <c r="L1384" i="1"/>
  <c r="L1584" i="1"/>
  <c r="L991" i="1"/>
  <c r="L1098" i="1"/>
  <c r="L1456" i="1"/>
  <c r="L1435" i="1"/>
  <c r="L1371" i="1"/>
  <c r="L1702" i="1"/>
  <c r="L1377" i="1"/>
  <c r="L1556" i="1"/>
  <c r="L1701" i="1"/>
  <c r="L1376" i="1"/>
  <c r="L1661" i="1"/>
  <c r="L1640" i="1"/>
  <c r="L1619" i="1"/>
  <c r="L1597" i="1"/>
  <c r="L1121" i="1"/>
  <c r="L1512" i="1"/>
  <c r="L1491" i="1"/>
  <c r="L1427" i="1"/>
  <c r="L1405" i="1"/>
  <c r="L1359" i="1"/>
  <c r="L1115" i="1"/>
  <c r="L1554" i="1"/>
  <c r="L1568" i="1"/>
  <c r="L767" i="1"/>
  <c r="L759" i="1"/>
  <c r="L1714" i="1"/>
  <c r="L1721" i="1"/>
  <c r="L1720" i="1"/>
  <c r="L1644" i="1"/>
  <c r="L1623" i="1"/>
  <c r="L1601" i="1"/>
  <c r="L988" i="1"/>
  <c r="L1516" i="1"/>
  <c r="L1473" i="1"/>
  <c r="L1452" i="1"/>
  <c r="L1431" i="1"/>
  <c r="L1562" i="1"/>
  <c r="L1378" i="1"/>
  <c r="L1643" i="1"/>
  <c r="L1557" i="1"/>
  <c r="L1515" i="1"/>
  <c r="L1024" i="1"/>
  <c r="L1472" i="1"/>
  <c r="L1451" i="1"/>
  <c r="L1429" i="1"/>
  <c r="L1367" i="1"/>
  <c r="L1698" i="1"/>
  <c r="L1351" i="1"/>
  <c r="L1657" i="1"/>
  <c r="L1117" i="1"/>
  <c r="L1551" i="1"/>
  <c r="L1529" i="1"/>
  <c r="L1508" i="1"/>
  <c r="L1444" i="1"/>
  <c r="L986" i="1"/>
  <c r="L1635" i="1"/>
  <c r="L1592" i="1"/>
  <c r="L1549" i="1"/>
  <c r="L1528" i="1"/>
  <c r="L1106" i="1"/>
  <c r="L1485" i="1"/>
  <c r="L1464" i="1"/>
  <c r="L1502" i="1"/>
  <c r="L768" i="1"/>
  <c r="L1350" i="1"/>
  <c r="L1646" i="1"/>
  <c r="L1598" i="1"/>
  <c r="L994" i="1"/>
  <c r="L1534" i="1"/>
  <c r="L1518" i="1"/>
  <c r="L1101" i="1"/>
  <c r="L1486" i="1"/>
  <c r="L1422" i="1"/>
  <c r="L1374" i="1"/>
  <c r="L1360" i="1"/>
  <c r="L765" i="1"/>
  <c r="L762" i="1"/>
  <c r="L1734" i="1"/>
  <c r="L1738" i="1"/>
  <c r="L1713" i="1"/>
  <c r="L1716" i="1"/>
  <c r="L1700" i="1"/>
  <c r="L1660" i="1"/>
  <c r="L1639" i="1"/>
  <c r="L1617" i="1"/>
  <c r="L1120" i="1"/>
  <c r="L1532" i="1"/>
  <c r="L1511" i="1"/>
  <c r="L1023" i="1"/>
  <c r="L1468" i="1"/>
  <c r="L1404" i="1"/>
  <c r="L1506" i="1"/>
  <c r="L1363" i="1"/>
  <c r="L1352" i="1"/>
  <c r="L1659" i="1"/>
  <c r="L1637" i="1"/>
  <c r="L1616" i="1"/>
  <c r="L1552" i="1"/>
  <c r="L1531" i="1"/>
  <c r="L1467" i="1"/>
  <c r="L1445" i="1"/>
  <c r="L1403" i="1"/>
  <c r="L1694" i="1"/>
  <c r="L1609" i="1"/>
  <c r="L1588" i="1"/>
  <c r="L995" i="1"/>
  <c r="L1545" i="1"/>
  <c r="L1102" i="1"/>
  <c r="L1460" i="1"/>
  <c r="L1439" i="1"/>
  <c r="L1417" i="1"/>
  <c r="L981" i="1"/>
  <c r="L1709" i="1"/>
  <c r="L1693" i="1"/>
  <c r="L1629" i="1"/>
  <c r="L1608" i="1"/>
  <c r="L1544" i="1"/>
  <c r="L1100" i="1"/>
  <c r="L1480" i="1"/>
  <c r="L1459" i="1"/>
  <c r="L1437" i="1"/>
  <c r="L980" i="1"/>
  <c r="L1383" i="1"/>
  <c r="L1658" i="1"/>
  <c r="L1642" i="1"/>
  <c r="L1626" i="1"/>
  <c r="L1594" i="1"/>
  <c r="L990" i="1"/>
  <c r="L1546" i="1"/>
  <c r="L1530" i="1"/>
  <c r="L1514" i="1"/>
  <c r="L1097" i="1"/>
  <c r="L1482" i="1"/>
  <c r="L1466" i="1"/>
  <c r="L1434" i="1"/>
  <c r="L1402" i="1"/>
  <c r="L1370" i="1"/>
  <c r="L752" i="1"/>
  <c r="L1140" i="1"/>
  <c r="L1055" i="1"/>
  <c r="L1196" i="1"/>
  <c r="L1151" i="1"/>
  <c r="L1078" i="1"/>
  <c r="L219" i="1"/>
  <c r="L714" i="1"/>
  <c r="L1156" i="1"/>
  <c r="L748" i="1"/>
  <c r="L1264" i="1"/>
  <c r="L1341" i="1"/>
  <c r="L677" i="1"/>
  <c r="L1176" i="1"/>
  <c r="L1074" i="1"/>
  <c r="L744" i="1"/>
  <c r="L1256" i="1"/>
  <c r="L256" i="1"/>
  <c r="L244" i="1"/>
  <c r="L1222" i="1"/>
  <c r="L1274" i="1"/>
  <c r="L1272" i="1"/>
  <c r="L1152" i="1"/>
  <c r="L1310" i="1"/>
  <c r="L1063" i="1"/>
  <c r="L834" i="1"/>
  <c r="L609" i="1"/>
  <c r="L745" i="1"/>
  <c r="L1498" i="1"/>
  <c r="L1017" i="1"/>
  <c r="L1247" i="1"/>
  <c r="L1237" i="1"/>
  <c r="L1199" i="1"/>
  <c r="L1184" i="1"/>
  <c r="L238" i="1"/>
  <c r="L1171" i="1"/>
  <c r="L1155" i="1"/>
  <c r="L1313" i="1"/>
  <c r="L1091" i="1"/>
  <c r="L1050" i="1"/>
  <c r="L316" i="1"/>
  <c r="L814" i="1"/>
  <c r="L673" i="1"/>
  <c r="L1168" i="1"/>
  <c r="L1333" i="1"/>
  <c r="L736" i="1"/>
  <c r="L1294" i="1"/>
  <c r="L258" i="1"/>
  <c r="L1220" i="1"/>
  <c r="L1400" i="1"/>
  <c r="L1191" i="1"/>
  <c r="L1146" i="1"/>
  <c r="L1343" i="1"/>
  <c r="L1327" i="1"/>
  <c r="L615" i="1"/>
  <c r="L222" i="1"/>
  <c r="L1073" i="1"/>
  <c r="L189" i="1"/>
  <c r="L782" i="1"/>
  <c r="L733" i="1"/>
  <c r="L699" i="1"/>
  <c r="L58" i="1"/>
  <c r="L1293" i="1"/>
  <c r="L1059" i="1"/>
  <c r="L575" i="1"/>
  <c r="L735" i="1"/>
  <c r="L1319" i="1"/>
  <c r="L1306" i="1"/>
  <c r="L1393" i="1"/>
  <c r="L1253" i="1"/>
  <c r="L1241" i="1"/>
  <c r="L1227" i="1"/>
  <c r="L257" i="1"/>
  <c r="L1219" i="1"/>
  <c r="L1190" i="1"/>
  <c r="L245" i="1"/>
  <c r="L1161" i="1"/>
  <c r="L1342" i="1"/>
  <c r="L338" i="1"/>
  <c r="L953" i="1"/>
  <c r="L891" i="1"/>
  <c r="L838" i="1"/>
  <c r="L158" i="1"/>
  <c r="L140" i="1"/>
  <c r="L205" i="1"/>
  <c r="L1037" i="1"/>
  <c r="L1684" i="1"/>
  <c r="L1578" i="1"/>
  <c r="L326" i="1"/>
  <c r="L319" i="1"/>
  <c r="L1008" i="1"/>
  <c r="L948" i="1"/>
  <c r="L916" i="1"/>
  <c r="L901" i="1"/>
  <c r="L857" i="1"/>
  <c r="L833" i="1"/>
  <c r="L817" i="1"/>
  <c r="L574" i="1"/>
  <c r="L778" i="1"/>
  <c r="L173" i="1"/>
  <c r="L1569" i="1"/>
  <c r="L146" i="1"/>
  <c r="L754" i="1"/>
  <c r="L690" i="1"/>
  <c r="L676" i="1"/>
  <c r="L607" i="1"/>
  <c r="L80" i="1"/>
  <c r="L216" i="1"/>
  <c r="L1028" i="1"/>
  <c r="L1634" i="1"/>
  <c r="L38" i="1"/>
  <c r="L11" i="1"/>
  <c r="L965" i="1"/>
  <c r="L955" i="1"/>
  <c r="L878" i="1"/>
  <c r="L864" i="1"/>
  <c r="L848" i="1"/>
  <c r="L199" i="1"/>
  <c r="L164" i="1"/>
  <c r="L757" i="1"/>
  <c r="L517" i="1"/>
  <c r="L298" i="1"/>
  <c r="L723" i="1"/>
  <c r="L697" i="1"/>
  <c r="L683" i="1"/>
  <c r="L652" i="1"/>
  <c r="L46" i="1"/>
  <c r="L207" i="1"/>
  <c r="L203" i="1"/>
  <c r="L1035" i="1"/>
  <c r="L324" i="1"/>
  <c r="L317" i="1"/>
  <c r="L1006" i="1"/>
  <c r="L1001" i="1"/>
  <c r="L946" i="1"/>
  <c r="L930" i="1"/>
  <c r="L914" i="1"/>
  <c r="L899" i="1"/>
  <c r="L885" i="1"/>
  <c r="L831" i="1"/>
  <c r="L815" i="1"/>
  <c r="L801" i="1"/>
  <c r="L771" i="1"/>
  <c r="L777" i="1"/>
  <c r="L171" i="1"/>
  <c r="L715" i="1"/>
  <c r="L704" i="1"/>
  <c r="L674" i="1"/>
  <c r="L659" i="1"/>
  <c r="L606" i="1"/>
  <c r="L143" i="1"/>
  <c r="L130" i="1"/>
  <c r="L124" i="1"/>
  <c r="L605" i="1"/>
  <c r="L595" i="1"/>
  <c r="L586" i="1"/>
  <c r="L99" i="1"/>
  <c r="L95" i="1"/>
  <c r="L136" i="1"/>
  <c r="L63" i="1"/>
  <c r="L197" i="1"/>
  <c r="L593" i="1"/>
  <c r="L577" i="1"/>
  <c r="L106" i="1"/>
  <c r="L565" i="1"/>
  <c r="L478" i="1"/>
  <c r="L129" i="1"/>
  <c r="L122" i="1"/>
  <c r="L626" i="1"/>
  <c r="L603" i="1"/>
  <c r="L594" i="1"/>
  <c r="L584" i="1"/>
  <c r="L1690" i="1"/>
  <c r="L93" i="1"/>
  <c r="L447" i="1"/>
  <c r="L267" i="1"/>
  <c r="L564" i="1"/>
  <c r="L558" i="1"/>
  <c r="L523" i="1"/>
  <c r="L509" i="1"/>
  <c r="L493" i="1"/>
  <c r="L477" i="1"/>
  <c r="L53" i="1"/>
  <c r="L31" i="1"/>
  <c r="L640" i="1"/>
  <c r="L348" i="1"/>
  <c r="L1284" i="1"/>
  <c r="L561" i="1"/>
  <c r="L537" i="1"/>
  <c r="L74" i="1"/>
  <c r="L496" i="1"/>
  <c r="L480" i="1"/>
  <c r="L1108" i="1"/>
  <c r="L34" i="1"/>
  <c r="L358" i="1"/>
  <c r="L86" i="1"/>
  <c r="L552" i="1"/>
  <c r="L544" i="1"/>
  <c r="L290" i="1"/>
  <c r="L1489" i="1"/>
  <c r="L487" i="1"/>
  <c r="L47" i="1"/>
  <c r="L435" i="1"/>
  <c r="L470" i="1"/>
  <c r="L438" i="1"/>
  <c r="L418" i="1"/>
  <c r="L404" i="1"/>
  <c r="L372" i="1"/>
  <c r="L357" i="1"/>
  <c r="L343" i="1"/>
  <c r="L634" i="1"/>
  <c r="L309" i="1"/>
  <c r="L1279" i="1"/>
  <c r="L273" i="1"/>
  <c r="L8" i="1"/>
  <c r="L473" i="1"/>
  <c r="L457" i="1"/>
  <c r="L441" i="1"/>
  <c r="L426" i="1"/>
  <c r="L420" i="1"/>
  <c r="L407" i="1"/>
  <c r="L391" i="1"/>
  <c r="L375" i="1"/>
  <c r="L360" i="1"/>
  <c r="L346" i="1"/>
  <c r="L637" i="1"/>
  <c r="L312" i="1"/>
  <c r="L1282" i="1"/>
  <c r="L336" i="1"/>
  <c r="L378" i="1"/>
  <c r="L458" i="1"/>
  <c r="L974" i="1"/>
  <c r="L970" i="1"/>
  <c r="L299" i="1"/>
  <c r="L1285" i="1"/>
  <c r="L261" i="1"/>
  <c r="L1193" i="1"/>
  <c r="L1230" i="1"/>
  <c r="L1223" i="1"/>
  <c r="L788" i="1"/>
  <c r="L1273" i="1"/>
  <c r="L1259" i="1"/>
  <c r="L1309" i="1"/>
  <c r="L1005" i="1"/>
  <c r="L503" i="1"/>
  <c r="L1314" i="1"/>
  <c r="L1067" i="1"/>
  <c r="L804" i="1"/>
  <c r="L707" i="1"/>
  <c r="L13" i="1"/>
  <c r="L1390" i="1"/>
  <c r="L732" i="1"/>
  <c r="L1250" i="1"/>
  <c r="L254" i="1"/>
  <c r="L1216" i="1"/>
  <c r="L1187" i="1"/>
  <c r="L242" i="1"/>
  <c r="L1173" i="1"/>
  <c r="L1158" i="1"/>
  <c r="L1142" i="1"/>
  <c r="L1339" i="1"/>
  <c r="L576" i="1"/>
  <c r="L1085" i="1"/>
  <c r="L1053" i="1"/>
  <c r="L1044" i="1"/>
  <c r="L320" i="1"/>
  <c r="L880" i="1"/>
  <c r="L826" i="1"/>
  <c r="L725" i="1"/>
  <c r="L1136" i="1"/>
  <c r="L1570" i="1"/>
  <c r="L647" i="1"/>
  <c r="L747" i="1"/>
  <c r="L1277" i="1"/>
  <c r="L1302" i="1"/>
  <c r="L645" i="1"/>
  <c r="L1249" i="1"/>
  <c r="L1215" i="1"/>
  <c r="L1201" i="1"/>
  <c r="L1186" i="1"/>
  <c r="L240" i="1"/>
  <c r="L1141" i="1"/>
  <c r="L1315" i="1"/>
  <c r="L1093" i="1"/>
  <c r="L1084" i="1"/>
  <c r="L1068" i="1"/>
  <c r="L1042" i="1"/>
  <c r="L1571" i="1"/>
  <c r="L822" i="1"/>
  <c r="L681" i="1"/>
  <c r="L625" i="1"/>
  <c r="L431" i="1"/>
  <c r="L1047" i="1"/>
  <c r="L1680" i="1"/>
  <c r="L332" i="1"/>
  <c r="L241" i="1"/>
  <c r="L960" i="1"/>
  <c r="L928" i="1"/>
  <c r="L912" i="1"/>
  <c r="L897" i="1"/>
  <c r="L883" i="1"/>
  <c r="L869" i="1"/>
  <c r="L853" i="1"/>
  <c r="L839" i="1"/>
  <c r="L829" i="1"/>
  <c r="L813" i="1"/>
  <c r="L799" i="1"/>
  <c r="L784" i="1"/>
  <c r="L169" i="1"/>
  <c r="L153" i="1"/>
  <c r="L728" i="1"/>
  <c r="L721" i="1"/>
  <c r="L713" i="1"/>
  <c r="L686" i="1"/>
  <c r="L672" i="1"/>
  <c r="L657" i="1"/>
  <c r="L59" i="1"/>
  <c r="L486" i="1"/>
  <c r="L212" i="1"/>
  <c r="L1040" i="1"/>
  <c r="L1573" i="1"/>
  <c r="L194" i="1"/>
  <c r="L935" i="1"/>
  <c r="L874" i="1"/>
  <c r="L860" i="1"/>
  <c r="L836" i="1"/>
  <c r="L820" i="1"/>
  <c r="L806" i="1"/>
  <c r="L790" i="1"/>
  <c r="L964" i="1"/>
  <c r="L160" i="1"/>
  <c r="L679" i="1"/>
  <c r="L134" i="1"/>
  <c r="L774" i="1"/>
  <c r="L113" i="1"/>
  <c r="L85" i="1"/>
  <c r="L1021" i="1"/>
  <c r="L1045" i="1"/>
  <c r="L1678" i="1"/>
  <c r="L330" i="1"/>
  <c r="L1495" i="1"/>
  <c r="L958" i="1"/>
  <c r="L942" i="1"/>
  <c r="L926" i="1"/>
  <c r="L910" i="1"/>
  <c r="L895" i="1"/>
  <c r="L851" i="1"/>
  <c r="L827" i="1"/>
  <c r="L797" i="1"/>
  <c r="L167" i="1"/>
  <c r="L151" i="1"/>
  <c r="L315" i="1"/>
  <c r="L726" i="1"/>
  <c r="L719" i="1"/>
  <c r="L711" i="1"/>
  <c r="L700" i="1"/>
  <c r="L670" i="1"/>
  <c r="L655" i="1"/>
  <c r="L60" i="1"/>
  <c r="L66" i="1"/>
  <c r="L96" i="1"/>
  <c r="L120" i="1"/>
  <c r="L624" i="1"/>
  <c r="L1740" i="1"/>
  <c r="L91" i="1"/>
  <c r="L498" i="1"/>
  <c r="L21" i="1"/>
  <c r="L36" i="1"/>
  <c r="L132" i="1"/>
  <c r="L126" i="1"/>
  <c r="L116" i="1"/>
  <c r="L631" i="1"/>
  <c r="L770" i="1"/>
  <c r="L597" i="1"/>
  <c r="L111" i="1"/>
  <c r="L102" i="1"/>
  <c r="L559" i="1"/>
  <c r="L524" i="1"/>
  <c r="L32" i="1"/>
  <c r="L1287" i="1"/>
  <c r="L775" i="1"/>
  <c r="L608" i="1"/>
  <c r="L531" i="1"/>
  <c r="L490" i="1"/>
  <c r="L1131" i="1"/>
  <c r="L397" i="1"/>
  <c r="L546" i="1"/>
  <c r="L530" i="1"/>
  <c r="L489" i="1"/>
  <c r="L1130" i="1"/>
  <c r="L49" i="1"/>
  <c r="L443" i="1"/>
  <c r="L393" i="1"/>
  <c r="L973" i="1"/>
  <c r="L557" i="1"/>
  <c r="L549" i="1"/>
  <c r="L533" i="1"/>
  <c r="L522" i="1"/>
  <c r="L508" i="1"/>
  <c r="L492" i="1"/>
  <c r="L476" i="1"/>
  <c r="L52" i="1"/>
  <c r="L30" i="1"/>
  <c r="L405" i="1"/>
  <c r="L1280" i="1"/>
  <c r="L274" i="1"/>
  <c r="L82" i="1"/>
  <c r="L540" i="1"/>
  <c r="L286" i="1"/>
  <c r="L499" i="1"/>
  <c r="L42" i="1"/>
  <c r="L369" i="1"/>
  <c r="L306" i="1"/>
  <c r="L16" i="1"/>
  <c r="L466" i="1"/>
  <c r="L450" i="1"/>
  <c r="L434" i="1"/>
  <c r="L400" i="1"/>
  <c r="L384" i="1"/>
  <c r="L368" i="1"/>
  <c r="L353" i="1"/>
  <c r="L619" i="1"/>
  <c r="L15" i="1"/>
  <c r="L469" i="1"/>
  <c r="L453" i="1"/>
  <c r="L437" i="1"/>
  <c r="L25" i="1"/>
  <c r="L403" i="1"/>
  <c r="L387" i="1"/>
  <c r="L371" i="1"/>
  <c r="L356" i="1"/>
  <c r="L342" i="1"/>
  <c r="L622" i="1"/>
  <c r="L284" i="1"/>
  <c r="L272" i="1"/>
  <c r="L456" i="1"/>
  <c r="L440" i="1"/>
  <c r="L425" i="1"/>
  <c r="L406" i="1"/>
  <c r="L390" i="1"/>
  <c r="L359" i="1"/>
  <c r="L345" i="1"/>
  <c r="L636" i="1"/>
  <c r="L311" i="1"/>
  <c r="L1281" i="1"/>
  <c r="L275" i="1"/>
  <c r="L252" i="1"/>
  <c r="L1298" i="1"/>
  <c r="L235" i="1"/>
  <c r="L741" i="1"/>
  <c r="L1397" i="1"/>
  <c r="L1209" i="1"/>
  <c r="L234" i="1"/>
  <c r="L1135" i="1"/>
  <c r="L1681" i="1"/>
  <c r="L800" i="1"/>
  <c r="L658" i="1"/>
  <c r="L1392" i="1"/>
  <c r="L1262" i="1"/>
  <c r="L1248" i="1"/>
  <c r="L933" i="1"/>
  <c r="L1018" i="1"/>
  <c r="L1268" i="1"/>
  <c r="L1221" i="1"/>
  <c r="L1574" i="1"/>
  <c r="L1147" i="1"/>
  <c r="L616" i="1"/>
  <c r="L223" i="1"/>
  <c r="L898" i="1"/>
  <c r="L154" i="1"/>
  <c r="L703" i="1"/>
  <c r="L1144" i="1"/>
  <c r="L662" i="1"/>
  <c r="L1323" i="1"/>
  <c r="L1300" i="1"/>
  <c r="L1292" i="1"/>
  <c r="L642" i="1"/>
  <c r="L1246" i="1"/>
  <c r="L1212" i="1"/>
  <c r="L1198" i="1"/>
  <c r="L1183" i="1"/>
  <c r="L237" i="1"/>
  <c r="L1170" i="1"/>
  <c r="L1154" i="1"/>
  <c r="L1138" i="1"/>
  <c r="L1335" i="1"/>
  <c r="L1312" i="1"/>
  <c r="L1090" i="1"/>
  <c r="L1081" i="1"/>
  <c r="L1065" i="1"/>
  <c r="L1049" i="1"/>
  <c r="L1030" i="1"/>
  <c r="L925" i="1"/>
  <c r="L810" i="1"/>
  <c r="L181" i="1"/>
  <c r="L669" i="1"/>
  <c r="L230" i="1"/>
  <c r="L1337" i="1"/>
  <c r="L1685" i="1"/>
  <c r="L858" i="1"/>
  <c r="L511" i="1"/>
  <c r="L543" i="1"/>
  <c r="L743" i="1"/>
  <c r="L1322" i="1"/>
  <c r="L1299" i="1"/>
  <c r="L1204" i="1"/>
  <c r="L18" i="1"/>
  <c r="L641" i="1"/>
  <c r="L1245" i="1"/>
  <c r="L1235" i="1"/>
  <c r="L198" i="1"/>
  <c r="L1211" i="1"/>
  <c r="L1182" i="1"/>
  <c r="L1169" i="1"/>
  <c r="L1153" i="1"/>
  <c r="L1137" i="1"/>
  <c r="L1311" i="1"/>
  <c r="L1064" i="1"/>
  <c r="L221" i="1"/>
  <c r="L1026" i="1"/>
  <c r="L9" i="1"/>
  <c r="L921" i="1"/>
  <c r="L862" i="1"/>
  <c r="L808" i="1"/>
  <c r="L178" i="1"/>
  <c r="L515" i="1"/>
  <c r="L665" i="1"/>
  <c r="L217" i="1"/>
  <c r="L1029" i="1"/>
  <c r="L1676" i="1"/>
  <c r="L1576" i="1"/>
  <c r="L12" i="1"/>
  <c r="L956" i="1"/>
  <c r="L924" i="1"/>
  <c r="L908" i="1"/>
  <c r="L894" i="1"/>
  <c r="L879" i="1"/>
  <c r="L865" i="1"/>
  <c r="L849" i="1"/>
  <c r="L188" i="1"/>
  <c r="L825" i="1"/>
  <c r="L1114" i="1"/>
  <c r="L779" i="1"/>
  <c r="L180" i="1"/>
  <c r="L165" i="1"/>
  <c r="L518" i="1"/>
  <c r="L313" i="1"/>
  <c r="L709" i="1"/>
  <c r="L698" i="1"/>
  <c r="L668" i="1"/>
  <c r="L1127" i="1"/>
  <c r="L208" i="1"/>
  <c r="L204" i="1"/>
  <c r="L1036" i="1"/>
  <c r="L1683" i="1"/>
  <c r="L335" i="1"/>
  <c r="L325" i="1"/>
  <c r="L318" i="1"/>
  <c r="L947" i="1"/>
  <c r="L915" i="1"/>
  <c r="L900" i="1"/>
  <c r="L886" i="1"/>
  <c r="L872" i="1"/>
  <c r="L856" i="1"/>
  <c r="L832" i="1"/>
  <c r="L816" i="1"/>
  <c r="L802" i="1"/>
  <c r="L786" i="1"/>
  <c r="L772" i="1"/>
  <c r="L172" i="1"/>
  <c r="L1386" i="1"/>
  <c r="L505" i="1"/>
  <c r="L716" i="1"/>
  <c r="L689" i="1"/>
  <c r="L675" i="1"/>
  <c r="L128" i="1"/>
  <c r="L215" i="1"/>
  <c r="L1043" i="1"/>
  <c r="L1027" i="1"/>
  <c r="L1572" i="1"/>
  <c r="L10" i="1"/>
  <c r="L938" i="1"/>
  <c r="L922" i="1"/>
  <c r="L906" i="1"/>
  <c r="L892" i="1"/>
  <c r="L877" i="1"/>
  <c r="L863" i="1"/>
  <c r="L847" i="1"/>
  <c r="L823" i="1"/>
  <c r="L195" i="1"/>
  <c r="L573" i="1"/>
  <c r="L1202" i="1"/>
  <c r="L163" i="1"/>
  <c r="L756" i="1"/>
  <c r="L516" i="1"/>
  <c r="L297" i="1"/>
  <c r="L722" i="1"/>
  <c r="L696" i="1"/>
  <c r="L682" i="1"/>
  <c r="L666" i="1"/>
  <c r="L651" i="1"/>
  <c r="L144" i="1"/>
  <c r="L629" i="1"/>
  <c r="L587" i="1"/>
  <c r="L137" i="1"/>
  <c r="L64" i="1"/>
  <c r="L57" i="1"/>
  <c r="L578" i="1"/>
  <c r="L107" i="1"/>
  <c r="L76" i="1"/>
  <c r="L482" i="1"/>
  <c r="L1110" i="1"/>
  <c r="L365" i="1"/>
  <c r="L123" i="1"/>
  <c r="L604" i="1"/>
  <c r="L585" i="1"/>
  <c r="L1691" i="1"/>
  <c r="L94" i="1"/>
  <c r="L463" i="1"/>
  <c r="L135" i="1"/>
  <c r="L62" i="1"/>
  <c r="L196" i="1"/>
  <c r="L592" i="1"/>
  <c r="L114" i="1"/>
  <c r="L105" i="1"/>
  <c r="L527" i="1"/>
  <c r="L50" i="1"/>
  <c r="L999" i="1"/>
  <c r="L84" i="1"/>
  <c r="L550" i="1"/>
  <c r="L79" i="1"/>
  <c r="L288" i="1"/>
  <c r="L485" i="1"/>
  <c r="L1126" i="1"/>
  <c r="L377" i="1"/>
  <c r="L969" i="1"/>
  <c r="L87" i="1"/>
  <c r="L553" i="1"/>
  <c r="L545" i="1"/>
  <c r="L529" i="1"/>
  <c r="L525" i="1"/>
  <c r="L291" i="1"/>
  <c r="L1493" i="1"/>
  <c r="L488" i="1"/>
  <c r="L1129" i="1"/>
  <c r="L48" i="1"/>
  <c r="L439" i="1"/>
  <c r="L389" i="1"/>
  <c r="L635" i="1"/>
  <c r="L566" i="1"/>
  <c r="L560" i="1"/>
  <c r="L39" i="1"/>
  <c r="L536" i="1"/>
  <c r="L73" i="1"/>
  <c r="L479" i="1"/>
  <c r="L33" i="1"/>
  <c r="L467" i="1"/>
  <c r="L415" i="1"/>
  <c r="L1290" i="1"/>
  <c r="L462" i="1"/>
  <c r="L446" i="1"/>
  <c r="L430" i="1"/>
  <c r="L380" i="1"/>
  <c r="L364" i="1"/>
  <c r="L349" i="1"/>
  <c r="L976" i="1"/>
  <c r="L972" i="1"/>
  <c r="L301" i="1"/>
  <c r="L293" i="1"/>
  <c r="L278" i="1"/>
  <c r="L465" i="1"/>
  <c r="L449" i="1"/>
  <c r="L23" i="1"/>
  <c r="L399" i="1"/>
  <c r="L383" i="1"/>
  <c r="L367" i="1"/>
  <c r="L352" i="1"/>
  <c r="L978" i="1"/>
  <c r="L618" i="1"/>
  <c r="L304" i="1"/>
  <c r="L1289" i="1"/>
  <c r="L14" i="1"/>
  <c r="L468" i="1"/>
  <c r="L436" i="1"/>
  <c r="L423" i="1"/>
  <c r="L416" i="1"/>
  <c r="L402" i="1"/>
  <c r="L386" i="1"/>
  <c r="L370" i="1"/>
  <c r="L341" i="1"/>
  <c r="L621" i="1"/>
  <c r="L283" i="1"/>
  <c r="L19" i="1"/>
  <c r="L271" i="1"/>
  <c r="L1252" i="1"/>
  <c r="L1301" i="1"/>
  <c r="L1260" i="1"/>
  <c r="L1092" i="1"/>
  <c r="L1014" i="1"/>
  <c r="L1233" i="1"/>
  <c r="L249" i="1"/>
  <c r="L1167" i="1"/>
  <c r="L1332" i="1"/>
  <c r="L913" i="1"/>
  <c r="L170" i="1"/>
  <c r="L1278" i="1"/>
  <c r="L1206" i="1"/>
  <c r="L1398" i="1"/>
  <c r="L742" i="1"/>
  <c r="L1210" i="1"/>
  <c r="L1087" i="1"/>
  <c r="L174" i="1"/>
  <c r="L737" i="1"/>
  <c r="L1261" i="1"/>
  <c r="L1242" i="1"/>
  <c r="L1192" i="1"/>
  <c r="L1163" i="1"/>
  <c r="L1328" i="1"/>
  <c r="L1058" i="1"/>
  <c r="L1000" i="1"/>
  <c r="L840" i="1"/>
  <c r="L582" i="1"/>
  <c r="L917" i="1"/>
  <c r="L1394" i="1"/>
  <c r="L1177" i="1"/>
  <c r="L1226" i="1"/>
  <c r="L1189" i="1"/>
  <c r="L1305" i="1"/>
  <c r="L1388" i="1"/>
  <c r="L1296" i="1"/>
  <c r="L734" i="1"/>
  <c r="L1015" i="1"/>
  <c r="L1234" i="1"/>
  <c r="L1197" i="1"/>
  <c r="L1160" i="1"/>
  <c r="L1329" i="1"/>
  <c r="L1079" i="1"/>
  <c r="L1038" i="1"/>
  <c r="L755" i="1"/>
  <c r="L749" i="1"/>
  <c r="L1304" i="1"/>
  <c r="L1391" i="1"/>
  <c r="L1225" i="1"/>
  <c r="L255" i="1"/>
  <c r="L1188" i="1"/>
  <c r="L243" i="1"/>
  <c r="L229" i="1"/>
  <c r="L1143" i="1"/>
  <c r="L1340" i="1"/>
  <c r="L1324" i="1"/>
  <c r="L580" i="1"/>
  <c r="L1086" i="1"/>
  <c r="L1070" i="1"/>
  <c r="L1048" i="1"/>
  <c r="L945" i="1"/>
  <c r="L884" i="1"/>
  <c r="L830" i="1"/>
  <c r="L687" i="1"/>
  <c r="L1488" i="1"/>
  <c r="L1345" i="1"/>
  <c r="L224" i="1"/>
  <c r="L206" i="1"/>
  <c r="L147" i="1"/>
  <c r="L1689" i="1"/>
  <c r="L740" i="1"/>
  <c r="L1266" i="1"/>
  <c r="L1396" i="1"/>
  <c r="L1013" i="1"/>
  <c r="L1270" i="1"/>
  <c r="L1258" i="1"/>
  <c r="L1232" i="1"/>
  <c r="L248" i="1"/>
  <c r="L1208" i="1"/>
  <c r="L1179" i="1"/>
  <c r="L233" i="1"/>
  <c r="L1166" i="1"/>
  <c r="L1150" i="1"/>
  <c r="L1347" i="1"/>
  <c r="L1331" i="1"/>
  <c r="L1308" i="1"/>
  <c r="L226" i="1"/>
  <c r="L1077" i="1"/>
  <c r="L218" i="1"/>
  <c r="L1677" i="1"/>
  <c r="L909" i="1"/>
  <c r="L850" i="1"/>
  <c r="L796" i="1"/>
  <c r="L166" i="1"/>
  <c r="L314" i="1"/>
  <c r="L710" i="1"/>
  <c r="L654" i="1"/>
  <c r="L92" i="1"/>
  <c r="L1164" i="1"/>
  <c r="L1325" i="1"/>
  <c r="L1071" i="1"/>
  <c r="L192" i="1"/>
  <c r="L818" i="1"/>
  <c r="L753" i="1"/>
  <c r="L739" i="1"/>
  <c r="L1297" i="1"/>
  <c r="L1395" i="1"/>
  <c r="L1269" i="1"/>
  <c r="L1243" i="1"/>
  <c r="L1231" i="1"/>
  <c r="L247" i="1"/>
  <c r="L1207" i="1"/>
  <c r="L1194" i="1"/>
  <c r="L1178" i="1"/>
  <c r="L232" i="1"/>
  <c r="L1149" i="1"/>
  <c r="L1346" i="1"/>
  <c r="L1330" i="1"/>
  <c r="L1295" i="1"/>
  <c r="L225" i="1"/>
  <c r="L1076" i="1"/>
  <c r="L1060" i="1"/>
  <c r="L214" i="1"/>
  <c r="L1633" i="1"/>
  <c r="L1003" i="1"/>
  <c r="L905" i="1"/>
  <c r="L792" i="1"/>
  <c r="L162" i="1"/>
  <c r="L296" i="1"/>
  <c r="L650" i="1"/>
  <c r="L213" i="1"/>
  <c r="L1041" i="1"/>
  <c r="L1688" i="1"/>
  <c r="L1632" i="1"/>
  <c r="L337" i="1"/>
  <c r="L1387" i="1"/>
  <c r="L1012" i="1"/>
  <c r="L1002" i="1"/>
  <c r="L952" i="1"/>
  <c r="L936" i="1"/>
  <c r="L920" i="1"/>
  <c r="L904" i="1"/>
  <c r="L890" i="1"/>
  <c r="L875" i="1"/>
  <c r="L861" i="1"/>
  <c r="L846" i="1"/>
  <c r="L837" i="1"/>
  <c r="L821" i="1"/>
  <c r="L807" i="1"/>
  <c r="L791" i="1"/>
  <c r="L966" i="1"/>
  <c r="L520" i="1"/>
  <c r="L177" i="1"/>
  <c r="L161" i="1"/>
  <c r="L149" i="1"/>
  <c r="L514" i="1"/>
  <c r="L295" i="1"/>
  <c r="L718" i="1"/>
  <c r="L694" i="1"/>
  <c r="L680" i="1"/>
  <c r="L664" i="1"/>
  <c r="L17" i="1"/>
  <c r="L138" i="1"/>
  <c r="L1112" i="1"/>
  <c r="L381" i="1"/>
  <c r="L1032" i="1"/>
  <c r="L1679" i="1"/>
  <c r="L322" i="1"/>
  <c r="L55" i="1"/>
  <c r="L1496" i="1"/>
  <c r="L959" i="1"/>
  <c r="L943" i="1"/>
  <c r="L927" i="1"/>
  <c r="L911" i="1"/>
  <c r="L896" i="1"/>
  <c r="L882" i="1"/>
  <c r="L868" i="1"/>
  <c r="L191" i="1"/>
  <c r="L828" i="1"/>
  <c r="L812" i="1"/>
  <c r="L798" i="1"/>
  <c r="L783" i="1"/>
  <c r="L962" i="1"/>
  <c r="L183" i="1"/>
  <c r="L168" i="1"/>
  <c r="L152" i="1"/>
  <c r="L501" i="1"/>
  <c r="L720" i="1"/>
  <c r="L701" i="1"/>
  <c r="L685" i="1"/>
  <c r="L671" i="1"/>
  <c r="L656" i="1"/>
  <c r="L211" i="1"/>
  <c r="L1039" i="1"/>
  <c r="L1686" i="1"/>
  <c r="L1581" i="1"/>
  <c r="L193" i="1"/>
  <c r="L1010" i="1"/>
  <c r="L950" i="1"/>
  <c r="L918" i="1"/>
  <c r="L902" i="1"/>
  <c r="L859" i="1"/>
  <c r="L844" i="1"/>
  <c r="L835" i="1"/>
  <c r="L789" i="1"/>
  <c r="L175" i="1"/>
  <c r="L159" i="1"/>
  <c r="L148" i="1"/>
  <c r="L512" i="1"/>
  <c r="L708" i="1"/>
  <c r="L692" i="1"/>
  <c r="L678" i="1"/>
  <c r="L648" i="1"/>
  <c r="L613" i="1"/>
  <c r="L109" i="1"/>
  <c r="L551" i="1"/>
  <c r="L133" i="1"/>
  <c r="L127" i="1"/>
  <c r="L117" i="1"/>
  <c r="L632" i="1"/>
  <c r="L773" i="1"/>
  <c r="L598" i="1"/>
  <c r="L590" i="1"/>
  <c r="L112" i="1"/>
  <c r="L103" i="1"/>
  <c r="L81" i="1"/>
  <c r="L41" i="1"/>
  <c r="L302" i="1"/>
  <c r="L119" i="1"/>
  <c r="L623" i="1"/>
  <c r="L581" i="1"/>
  <c r="L494" i="1"/>
  <c r="L70" i="1"/>
  <c r="L413" i="1"/>
  <c r="L145" i="1"/>
  <c r="L131" i="1"/>
  <c r="L125" i="1"/>
  <c r="L115" i="1"/>
  <c r="L630" i="1"/>
  <c r="L769" i="1"/>
  <c r="L596" i="1"/>
  <c r="L588" i="1"/>
  <c r="L110" i="1"/>
  <c r="L101" i="1"/>
  <c r="L97" i="1"/>
  <c r="L555" i="1"/>
  <c r="L280" i="1"/>
  <c r="L562" i="1"/>
  <c r="L40" i="1"/>
  <c r="L538" i="1"/>
  <c r="L250" i="1"/>
  <c r="L481" i="1"/>
  <c r="L1109" i="1"/>
  <c r="L35" i="1"/>
  <c r="L83" i="1"/>
  <c r="L541" i="1"/>
  <c r="L78" i="1"/>
  <c r="L287" i="1"/>
  <c r="L484" i="1"/>
  <c r="L1125" i="1"/>
  <c r="L43" i="1"/>
  <c r="L26" i="1"/>
  <c r="L373" i="1"/>
  <c r="L572" i="1"/>
  <c r="L259" i="1"/>
  <c r="L571" i="1"/>
  <c r="L90" i="1"/>
  <c r="L556" i="1"/>
  <c r="L548" i="1"/>
  <c r="L532" i="1"/>
  <c r="L521" i="1"/>
  <c r="L507" i="1"/>
  <c r="L491" i="1"/>
  <c r="L475" i="1"/>
  <c r="L1132" i="1"/>
  <c r="L51" i="1"/>
  <c r="L29" i="1"/>
  <c r="L451" i="1"/>
  <c r="L340" i="1"/>
  <c r="L282" i="1"/>
  <c r="L270" i="1"/>
  <c r="L474" i="1"/>
  <c r="L639" i="1"/>
  <c r="L442" i="1"/>
  <c r="L427" i="1"/>
  <c r="L421" i="1"/>
  <c r="L408" i="1"/>
  <c r="L392" i="1"/>
  <c r="L376" i="1"/>
  <c r="L347" i="1"/>
  <c r="L638" i="1"/>
  <c r="L968" i="1"/>
  <c r="L1283" i="1"/>
  <c r="L276" i="1"/>
  <c r="L461" i="1"/>
  <c r="L429" i="1"/>
  <c r="L411" i="1"/>
  <c r="L395" i="1"/>
  <c r="L379" i="1"/>
  <c r="L363" i="1"/>
  <c r="L459" i="1"/>
  <c r="L975" i="1"/>
  <c r="L971" i="1"/>
  <c r="L1286" i="1"/>
  <c r="L277" i="1"/>
  <c r="L265" i="1"/>
  <c r="L464" i="1"/>
  <c r="L448" i="1"/>
  <c r="L398" i="1"/>
  <c r="L382" i="1"/>
  <c r="L366" i="1"/>
  <c r="L351" i="1"/>
  <c r="L977" i="1"/>
  <c r="L617" i="1"/>
  <c r="L303" i="1"/>
  <c r="L1288" i="1"/>
  <c r="L281" i="1"/>
  <c r="L268" i="1"/>
  <c r="H52" i="1" l="1"/>
  <c r="H31" i="1"/>
  <c r="H95" i="1"/>
  <c r="H44" i="1"/>
  <c r="H43" i="1"/>
  <c r="H94" i="1"/>
  <c r="H46" i="1"/>
  <c r="H54" i="1"/>
  <c r="H85" i="1"/>
  <c r="H86" i="1"/>
  <c r="H80" i="1"/>
  <c r="H48" i="1"/>
  <c r="H10" i="1"/>
  <c r="H99" i="1"/>
  <c r="H83" i="1"/>
  <c r="H41" i="1"/>
  <c r="H73" i="1"/>
  <c r="H98" i="1"/>
  <c r="H34" i="1"/>
  <c r="H9" i="1"/>
  <c r="H30" i="1"/>
  <c r="H24" i="1"/>
  <c r="H67" i="1"/>
  <c r="H35" i="1"/>
  <c r="H65" i="1"/>
  <c r="H76" i="1"/>
  <c r="H42" i="1"/>
  <c r="H60" i="1"/>
  <c r="H84" i="1"/>
  <c r="H11" i="1"/>
  <c r="H37" i="1"/>
  <c r="H59" i="1"/>
  <c r="H57" i="1"/>
  <c r="H71" i="1"/>
  <c r="H5" i="1"/>
  <c r="H75" i="1"/>
  <c r="H14" i="1"/>
  <c r="H61" i="1"/>
  <c r="H92" i="1"/>
  <c r="H47" i="1"/>
  <c r="H97" i="1"/>
  <c r="H13" i="1"/>
  <c r="H26" i="1"/>
  <c r="H91" i="1"/>
  <c r="H136" i="1"/>
  <c r="H200" i="1"/>
  <c r="H264" i="1"/>
  <c r="H105" i="1"/>
  <c r="H169" i="1"/>
  <c r="H233" i="1"/>
  <c r="H146" i="1"/>
  <c r="H210" i="1"/>
  <c r="H274" i="1"/>
  <c r="H123" i="1"/>
  <c r="H187" i="1"/>
  <c r="H148" i="1"/>
  <c r="H212" i="1"/>
  <c r="H276" i="1"/>
  <c r="H134" i="1"/>
  <c r="H198" i="1"/>
  <c r="H262" i="1"/>
  <c r="H181" i="1"/>
  <c r="H326" i="1"/>
  <c r="H390" i="1"/>
  <c r="H454" i="1"/>
  <c r="H518" i="1"/>
  <c r="H582" i="1"/>
  <c r="H646" i="1"/>
  <c r="H710" i="1"/>
  <c r="H774" i="1"/>
  <c r="H838" i="1"/>
  <c r="H902" i="1"/>
  <c r="H119" i="1"/>
  <c r="H311" i="1"/>
  <c r="H375" i="1"/>
  <c r="H439" i="1"/>
  <c r="H503" i="1"/>
  <c r="H567" i="1"/>
  <c r="H631" i="1"/>
  <c r="H695" i="1"/>
  <c r="H759" i="1"/>
  <c r="H823" i="1"/>
  <c r="H887" i="1"/>
  <c r="H951" i="1"/>
  <c r="H251" i="1"/>
  <c r="H344" i="1"/>
  <c r="H408" i="1"/>
  <c r="H472" i="1"/>
  <c r="H536" i="1"/>
  <c r="H600" i="1"/>
  <c r="H664" i="1"/>
  <c r="H728" i="1"/>
  <c r="H792" i="1"/>
  <c r="H856" i="1"/>
  <c r="H275" i="1"/>
  <c r="H353" i="1"/>
  <c r="H417" i="1"/>
  <c r="H481" i="1"/>
  <c r="H545" i="1"/>
  <c r="H609" i="1"/>
  <c r="H673" i="1"/>
  <c r="H737" i="1"/>
  <c r="H801" i="1"/>
  <c r="H133" i="1"/>
  <c r="H314" i="1"/>
  <c r="H378" i="1"/>
  <c r="H442" i="1"/>
  <c r="H506" i="1"/>
  <c r="H570" i="1"/>
  <c r="H634" i="1"/>
  <c r="H698" i="1"/>
  <c r="H283" i="1"/>
  <c r="H356" i="1"/>
  <c r="H420" i="1"/>
  <c r="H484" i="1"/>
  <c r="H548" i="1"/>
  <c r="H612" i="1"/>
  <c r="H676" i="1"/>
  <c r="H740" i="1"/>
  <c r="H804" i="1"/>
  <c r="H868" i="1"/>
  <c r="H932" i="1"/>
  <c r="H387" i="1"/>
  <c r="H643" i="1"/>
  <c r="H144" i="1"/>
  <c r="H208" i="1"/>
  <c r="H272" i="1"/>
  <c r="H113" i="1"/>
  <c r="H177" i="1"/>
  <c r="H241" i="1"/>
  <c r="H154" i="1"/>
  <c r="H218" i="1"/>
  <c r="H282" i="1"/>
  <c r="H131" i="1"/>
  <c r="H195" i="1"/>
  <c r="H156" i="1"/>
  <c r="H220" i="1"/>
  <c r="H284" i="1"/>
  <c r="H142" i="1"/>
  <c r="H206" i="1"/>
  <c r="H270" i="1"/>
  <c r="H213" i="1"/>
  <c r="H334" i="1"/>
  <c r="H398" i="1"/>
  <c r="H462" i="1"/>
  <c r="H526" i="1"/>
  <c r="H590" i="1"/>
  <c r="H654" i="1"/>
  <c r="H718" i="1"/>
  <c r="H782" i="1"/>
  <c r="H846" i="1"/>
  <c r="H151" i="1"/>
  <c r="H319" i="1"/>
  <c r="H383" i="1"/>
  <c r="H447" i="1"/>
  <c r="H511" i="1"/>
  <c r="H575" i="1"/>
  <c r="H639" i="1"/>
  <c r="H703" i="1"/>
  <c r="H767" i="1"/>
  <c r="H831" i="1"/>
  <c r="H895" i="1"/>
  <c r="H959" i="1"/>
  <c r="H271" i="1"/>
  <c r="H352" i="1"/>
  <c r="H416" i="1"/>
  <c r="H480" i="1"/>
  <c r="H544" i="1"/>
  <c r="H608" i="1"/>
  <c r="H672" i="1"/>
  <c r="H736" i="1"/>
  <c r="H800" i="1"/>
  <c r="H864" i="1"/>
  <c r="H293" i="1"/>
  <c r="H361" i="1"/>
  <c r="H425" i="1"/>
  <c r="H489" i="1"/>
  <c r="H553" i="1"/>
  <c r="H617" i="1"/>
  <c r="H681" i="1"/>
  <c r="H745" i="1"/>
  <c r="H165" i="1"/>
  <c r="H322" i="1"/>
  <c r="H386" i="1"/>
  <c r="H450" i="1"/>
  <c r="H514" i="1"/>
  <c r="H578" i="1"/>
  <c r="H642" i="1"/>
  <c r="H706" i="1"/>
  <c r="H298" i="1"/>
  <c r="H364" i="1"/>
  <c r="H428" i="1"/>
  <c r="H492" i="1"/>
  <c r="H556" i="1"/>
  <c r="H620" i="1"/>
  <c r="H684" i="1"/>
  <c r="H748" i="1"/>
  <c r="H812" i="1"/>
  <c r="H876" i="1"/>
  <c r="H940" i="1"/>
  <c r="H419" i="1"/>
  <c r="H675" i="1"/>
  <c r="H849" i="1"/>
  <c r="H949" i="1"/>
  <c r="H1023" i="1"/>
  <c r="H1087" i="1"/>
  <c r="H1151" i="1"/>
  <c r="H1215" i="1"/>
  <c r="H1279" i="1"/>
  <c r="H1343" i="1"/>
  <c r="H325" i="1"/>
  <c r="H581" i="1"/>
  <c r="H802" i="1"/>
  <c r="H918" i="1"/>
  <c r="H1000" i="1"/>
  <c r="H1064" i="1"/>
  <c r="H1128" i="1"/>
  <c r="H427" i="1"/>
  <c r="H683" i="1"/>
  <c r="H851" i="1"/>
  <c r="H952" i="1"/>
  <c r="H1025" i="1"/>
  <c r="H1089" i="1"/>
  <c r="H1153" i="1"/>
  <c r="H1217" i="1"/>
  <c r="H1281" i="1"/>
  <c r="H1345" i="1"/>
  <c r="H1409" i="1"/>
  <c r="H299" i="1"/>
  <c r="H557" i="1"/>
  <c r="H786" i="1"/>
  <c r="H910" i="1"/>
  <c r="H994" i="1"/>
  <c r="H1058" i="1"/>
  <c r="H1122" i="1"/>
  <c r="H1186" i="1"/>
  <c r="H1250" i="1"/>
  <c r="H1314" i="1"/>
  <c r="H1378" i="1"/>
  <c r="H231" i="1"/>
  <c r="H531" i="1"/>
  <c r="H765" i="1"/>
  <c r="H899" i="1"/>
  <c r="H986" i="1"/>
  <c r="H1051" i="1"/>
  <c r="H1115" i="1"/>
  <c r="H1179" i="1"/>
  <c r="H1243" i="1"/>
  <c r="H1307" i="1"/>
  <c r="H1371" i="1"/>
  <c r="H373" i="1"/>
  <c r="H629" i="1"/>
  <c r="H826" i="1"/>
  <c r="H934" i="1"/>
  <c r="H1012" i="1"/>
  <c r="H1076" i="1"/>
  <c r="H1140" i="1"/>
  <c r="H1204" i="1"/>
  <c r="H1268" i="1"/>
  <c r="H1332" i="1"/>
  <c r="H904" i="1"/>
  <c r="H1181" i="1"/>
  <c r="H1348" i="1"/>
  <c r="H1433" i="1"/>
  <c r="H1497" i="1"/>
  <c r="H1561" i="1"/>
  <c r="H1625" i="1"/>
  <c r="H1689" i="1"/>
  <c r="H1698" i="1"/>
  <c r="H1141" i="1"/>
  <c r="H1631" i="1"/>
  <c r="H1304" i="1"/>
  <c r="H1704" i="1"/>
  <c r="H905" i="1"/>
  <c r="H1182" i="1"/>
  <c r="H152" i="1"/>
  <c r="H216" i="1"/>
  <c r="H280" i="1"/>
  <c r="H121" i="1"/>
  <c r="H185" i="1"/>
  <c r="H249" i="1"/>
  <c r="H162" i="1"/>
  <c r="H226" i="1"/>
  <c r="H290" i="1"/>
  <c r="H139" i="1"/>
  <c r="H203" i="1"/>
  <c r="H164" i="1"/>
  <c r="H228" i="1"/>
  <c r="H150" i="1"/>
  <c r="H214" i="1"/>
  <c r="H278" i="1"/>
  <c r="H245" i="1"/>
  <c r="H342" i="1"/>
  <c r="H406" i="1"/>
  <c r="H470" i="1"/>
  <c r="H534" i="1"/>
  <c r="H598" i="1"/>
  <c r="H662" i="1"/>
  <c r="H726" i="1"/>
  <c r="H790" i="1"/>
  <c r="H854" i="1"/>
  <c r="H183" i="1"/>
  <c r="H327" i="1"/>
  <c r="H391" i="1"/>
  <c r="H455" i="1"/>
  <c r="H519" i="1"/>
  <c r="H583" i="1"/>
  <c r="H647" i="1"/>
  <c r="H711" i="1"/>
  <c r="H775" i="1"/>
  <c r="H839" i="1"/>
  <c r="H903" i="1"/>
  <c r="H967" i="1"/>
  <c r="H292" i="1"/>
  <c r="H360" i="1"/>
  <c r="H424" i="1"/>
  <c r="H488" i="1"/>
  <c r="H552" i="1"/>
  <c r="H616" i="1"/>
  <c r="H680" i="1"/>
  <c r="H744" i="1"/>
  <c r="H808" i="1"/>
  <c r="H872" i="1"/>
  <c r="H160" i="1"/>
  <c r="H224" i="1"/>
  <c r="H288" i="1"/>
  <c r="H129" i="1"/>
  <c r="H193" i="1"/>
  <c r="H257" i="1"/>
  <c r="H106" i="1"/>
  <c r="H170" i="1"/>
  <c r="H234" i="1"/>
  <c r="H147" i="1"/>
  <c r="H211" i="1"/>
  <c r="H108" i="1"/>
  <c r="H172" i="1"/>
  <c r="H236" i="1"/>
  <c r="H158" i="1"/>
  <c r="H222" i="1"/>
  <c r="H286" i="1"/>
  <c r="H267" i="1"/>
  <c r="H350" i="1"/>
  <c r="H414" i="1"/>
  <c r="H478" i="1"/>
  <c r="H542" i="1"/>
  <c r="H606" i="1"/>
  <c r="H670" i="1"/>
  <c r="H734" i="1"/>
  <c r="H798" i="1"/>
  <c r="H862" i="1"/>
  <c r="H215" i="1"/>
  <c r="H335" i="1"/>
  <c r="H399" i="1"/>
  <c r="H463" i="1"/>
  <c r="H527" i="1"/>
  <c r="H591" i="1"/>
  <c r="H655" i="1"/>
  <c r="H719" i="1"/>
  <c r="H783" i="1"/>
  <c r="H847" i="1"/>
  <c r="H911" i="1"/>
  <c r="H975" i="1"/>
  <c r="H303" i="1"/>
  <c r="H368" i="1"/>
  <c r="H432" i="1"/>
  <c r="H496" i="1"/>
  <c r="H560" i="1"/>
  <c r="H624" i="1"/>
  <c r="H688" i="1"/>
  <c r="H752" i="1"/>
  <c r="H816" i="1"/>
  <c r="H880" i="1"/>
  <c r="H127" i="1"/>
  <c r="H313" i="1"/>
  <c r="H377" i="1"/>
  <c r="H441" i="1"/>
  <c r="H505" i="1"/>
  <c r="H569" i="1"/>
  <c r="H633" i="1"/>
  <c r="H697" i="1"/>
  <c r="H761" i="1"/>
  <c r="H229" i="1"/>
  <c r="H338" i="1"/>
  <c r="H402" i="1"/>
  <c r="H466" i="1"/>
  <c r="H530" i="1"/>
  <c r="H104" i="1"/>
  <c r="H168" i="1"/>
  <c r="H232" i="1"/>
  <c r="H296" i="1"/>
  <c r="H137" i="1"/>
  <c r="H201" i="1"/>
  <c r="H265" i="1"/>
  <c r="H114" i="1"/>
  <c r="H178" i="1"/>
  <c r="H242" i="1"/>
  <c r="H155" i="1"/>
  <c r="H219" i="1"/>
  <c r="H116" i="1"/>
  <c r="H180" i="1"/>
  <c r="H244" i="1"/>
  <c r="H102" i="1"/>
  <c r="H166" i="1"/>
  <c r="H230" i="1"/>
  <c r="H294" i="1"/>
  <c r="H287" i="1"/>
  <c r="H358" i="1"/>
  <c r="H422" i="1"/>
  <c r="H486" i="1"/>
  <c r="H550" i="1"/>
  <c r="H614" i="1"/>
  <c r="H678" i="1"/>
  <c r="H742" i="1"/>
  <c r="H806" i="1"/>
  <c r="H870" i="1"/>
  <c r="H247" i="1"/>
  <c r="H343" i="1"/>
  <c r="H407" i="1"/>
  <c r="H471" i="1"/>
  <c r="H535" i="1"/>
  <c r="H599" i="1"/>
  <c r="H663" i="1"/>
  <c r="H727" i="1"/>
  <c r="H791" i="1"/>
  <c r="H855" i="1"/>
  <c r="H919" i="1"/>
  <c r="H983" i="1"/>
  <c r="H125" i="1"/>
  <c r="H312" i="1"/>
  <c r="H376" i="1"/>
  <c r="H440" i="1"/>
  <c r="H504" i="1"/>
  <c r="H568" i="1"/>
  <c r="H632" i="1"/>
  <c r="H696" i="1"/>
  <c r="H760" i="1"/>
  <c r="H824" i="1"/>
  <c r="H159" i="1"/>
  <c r="H321" i="1"/>
  <c r="H385" i="1"/>
  <c r="H449" i="1"/>
  <c r="H513" i="1"/>
  <c r="H577" i="1"/>
  <c r="H641" i="1"/>
  <c r="H705" i="1"/>
  <c r="H769" i="1"/>
  <c r="H255" i="1"/>
  <c r="H346" i="1"/>
  <c r="H410" i="1"/>
  <c r="H474" i="1"/>
  <c r="H538" i="1"/>
  <c r="H602" i="1"/>
  <c r="H666" i="1"/>
  <c r="H173" i="1"/>
  <c r="H324" i="1"/>
  <c r="H388" i="1"/>
  <c r="H452" i="1"/>
  <c r="H516" i="1"/>
  <c r="H580" i="1"/>
  <c r="H644" i="1"/>
  <c r="H708" i="1"/>
  <c r="H772" i="1"/>
  <c r="H836" i="1"/>
  <c r="H900" i="1"/>
  <c r="H964" i="1"/>
  <c r="H167" i="1"/>
  <c r="H515" i="1"/>
  <c r="H755" i="1"/>
  <c r="H120" i="1"/>
  <c r="H184" i="1"/>
  <c r="H248" i="1"/>
  <c r="H153" i="1"/>
  <c r="H217" i="1"/>
  <c r="H281" i="1"/>
  <c r="H130" i="1"/>
  <c r="H194" i="1"/>
  <c r="H258" i="1"/>
  <c r="H107" i="1"/>
  <c r="H171" i="1"/>
  <c r="H235" i="1"/>
  <c r="H132" i="1"/>
  <c r="H196" i="1"/>
  <c r="H260" i="1"/>
  <c r="H118" i="1"/>
  <c r="H182" i="1"/>
  <c r="H246" i="1"/>
  <c r="H310" i="1"/>
  <c r="H117" i="1"/>
  <c r="H309" i="1"/>
  <c r="H374" i="1"/>
  <c r="H438" i="1"/>
  <c r="H502" i="1"/>
  <c r="H566" i="1"/>
  <c r="H630" i="1"/>
  <c r="H694" i="1"/>
  <c r="H758" i="1"/>
  <c r="H822" i="1"/>
  <c r="H886" i="1"/>
  <c r="H291" i="1"/>
  <c r="H359" i="1"/>
  <c r="H423" i="1"/>
  <c r="H487" i="1"/>
  <c r="H551" i="1"/>
  <c r="H615" i="1"/>
  <c r="H679" i="1"/>
  <c r="H743" i="1"/>
  <c r="H807" i="1"/>
  <c r="H871" i="1"/>
  <c r="H935" i="1"/>
  <c r="H189" i="1"/>
  <c r="H328" i="1"/>
  <c r="H392" i="1"/>
  <c r="H456" i="1"/>
  <c r="H520" i="1"/>
  <c r="H584" i="1"/>
  <c r="H648" i="1"/>
  <c r="H712" i="1"/>
  <c r="H776" i="1"/>
  <c r="H840" i="1"/>
  <c r="H223" i="1"/>
  <c r="H337" i="1"/>
  <c r="H401" i="1"/>
  <c r="H465" i="1"/>
  <c r="H529" i="1"/>
  <c r="H593" i="1"/>
  <c r="H657" i="1"/>
  <c r="H721" i="1"/>
  <c r="H785" i="1"/>
  <c r="H295" i="1"/>
  <c r="H362" i="1"/>
  <c r="H426" i="1"/>
  <c r="H490" i="1"/>
  <c r="H554" i="1"/>
  <c r="H618" i="1"/>
  <c r="H682" i="1"/>
  <c r="H237" i="1"/>
  <c r="H340" i="1"/>
  <c r="H404" i="1"/>
  <c r="H468" i="1"/>
  <c r="H532" i="1"/>
  <c r="H596" i="1"/>
  <c r="H660" i="1"/>
  <c r="H724" i="1"/>
  <c r="H788" i="1"/>
  <c r="H852" i="1"/>
  <c r="H916" i="1"/>
  <c r="H980" i="1"/>
  <c r="H128" i="1"/>
  <c r="H192" i="1"/>
  <c r="H256" i="1"/>
  <c r="H161" i="1"/>
  <c r="H225" i="1"/>
  <c r="H289" i="1"/>
  <c r="H138" i="1"/>
  <c r="H202" i="1"/>
  <c r="H266" i="1"/>
  <c r="H115" i="1"/>
  <c r="H179" i="1"/>
  <c r="H243" i="1"/>
  <c r="H140" i="1"/>
  <c r="H204" i="1"/>
  <c r="H268" i="1"/>
  <c r="H126" i="1"/>
  <c r="H190" i="1"/>
  <c r="H254" i="1"/>
  <c r="H149" i="1"/>
  <c r="H318" i="1"/>
  <c r="H382" i="1"/>
  <c r="H446" i="1"/>
  <c r="H510" i="1"/>
  <c r="H574" i="1"/>
  <c r="H638" i="1"/>
  <c r="H702" i="1"/>
  <c r="H766" i="1"/>
  <c r="H830" i="1"/>
  <c r="H894" i="1"/>
  <c r="H301" i="1"/>
  <c r="H367" i="1"/>
  <c r="H431" i="1"/>
  <c r="H495" i="1"/>
  <c r="H559" i="1"/>
  <c r="H623" i="1"/>
  <c r="H687" i="1"/>
  <c r="H751" i="1"/>
  <c r="H815" i="1"/>
  <c r="H879" i="1"/>
  <c r="H943" i="1"/>
  <c r="H221" i="1"/>
  <c r="H336" i="1"/>
  <c r="H400" i="1"/>
  <c r="H464" i="1"/>
  <c r="H528" i="1"/>
  <c r="H592" i="1"/>
  <c r="H656" i="1"/>
  <c r="H720" i="1"/>
  <c r="H784" i="1"/>
  <c r="H848" i="1"/>
  <c r="H253" i="1"/>
  <c r="H345" i="1"/>
  <c r="H409" i="1"/>
  <c r="H473" i="1"/>
  <c r="H537" i="1"/>
  <c r="H601" i="1"/>
  <c r="H665" i="1"/>
  <c r="H729" i="1"/>
  <c r="H793" i="1"/>
  <c r="H101" i="1"/>
  <c r="H305" i="1"/>
  <c r="H370" i="1"/>
  <c r="H434" i="1"/>
  <c r="H498" i="1"/>
  <c r="H562" i="1"/>
  <c r="H626" i="1"/>
  <c r="H690" i="1"/>
  <c r="H261" i="1"/>
  <c r="H348" i="1"/>
  <c r="H412" i="1"/>
  <c r="H476" i="1"/>
  <c r="H540" i="1"/>
  <c r="H604" i="1"/>
  <c r="H668" i="1"/>
  <c r="H122" i="1"/>
  <c r="H252" i="1"/>
  <c r="H110" i="1"/>
  <c r="H750" i="1"/>
  <c r="H269" i="1"/>
  <c r="H799" i="1"/>
  <c r="H320" i="1"/>
  <c r="H832" i="1"/>
  <c r="H329" i="1"/>
  <c r="H585" i="1"/>
  <c r="H394" i="1"/>
  <c r="H610" i="1"/>
  <c r="H380" i="1"/>
  <c r="H564" i="1"/>
  <c r="H716" i="1"/>
  <c r="H844" i="1"/>
  <c r="H972" i="1"/>
  <c r="H355" i="1"/>
  <c r="H778" i="1"/>
  <c r="H917" i="1"/>
  <c r="H1007" i="1"/>
  <c r="H1079" i="1"/>
  <c r="H1159" i="1"/>
  <c r="H1231" i="1"/>
  <c r="H1303" i="1"/>
  <c r="H485" i="1"/>
  <c r="H757" i="1"/>
  <c r="H907" i="1"/>
  <c r="H1008" i="1"/>
  <c r="H1080" i="1"/>
  <c r="H1152" i="1"/>
  <c r="H199" i="1"/>
  <c r="H555" i="1"/>
  <c r="H803" i="1"/>
  <c r="H930" i="1"/>
  <c r="H1017" i="1"/>
  <c r="H1097" i="1"/>
  <c r="H1169" i="1"/>
  <c r="H1241" i="1"/>
  <c r="H1313" i="1"/>
  <c r="H1385" i="1"/>
  <c r="H525" i="1"/>
  <c r="H805" i="1"/>
  <c r="H931" i="1"/>
  <c r="H1018" i="1"/>
  <c r="H1090" i="1"/>
  <c r="H1162" i="1"/>
  <c r="H1234" i="1"/>
  <c r="H1306" i="1"/>
  <c r="H1386" i="1"/>
  <c r="H339" i="1"/>
  <c r="H627" i="1"/>
  <c r="H841" i="1"/>
  <c r="H954" i="1"/>
  <c r="H1035" i="1"/>
  <c r="H1107" i="1"/>
  <c r="H1187" i="1"/>
  <c r="H1259" i="1"/>
  <c r="H1331" i="1"/>
  <c r="H111" i="1"/>
  <c r="H533" i="1"/>
  <c r="H789" i="1"/>
  <c r="H923" i="1"/>
  <c r="H1020" i="1"/>
  <c r="H1092" i="1"/>
  <c r="H1164" i="1"/>
  <c r="H1236" i="1"/>
  <c r="H1308" i="1"/>
  <c r="H771" i="1"/>
  <c r="H1149" i="1"/>
  <c r="H1360" i="1"/>
  <c r="H1449" i="1"/>
  <c r="H1521" i="1"/>
  <c r="H1593" i="1"/>
  <c r="H1665" i="1"/>
  <c r="H1737" i="1"/>
  <c r="H978" i="1"/>
  <c r="H1671" i="1"/>
  <c r="H1472" i="1"/>
  <c r="H413" i="1"/>
  <c r="H1054" i="1"/>
  <c r="H1288" i="1"/>
  <c r="H1407" i="1"/>
  <c r="H1474" i="1"/>
  <c r="H1538" i="1"/>
  <c r="H1602" i="1"/>
  <c r="H1666" i="1"/>
  <c r="H1694" i="1"/>
  <c r="H1463" i="1"/>
  <c r="H1440" i="1"/>
  <c r="H1720" i="1"/>
  <c r="H914" i="1"/>
  <c r="H1184" i="1"/>
  <c r="H1350" i="1"/>
  <c r="H1435" i="1"/>
  <c r="H1499" i="1"/>
  <c r="H1563" i="1"/>
  <c r="H1627" i="1"/>
  <c r="H1691" i="1"/>
  <c r="H1676" i="1"/>
  <c r="H1358" i="1"/>
  <c r="H1647" i="1"/>
  <c r="H1432" i="1"/>
  <c r="H445" i="1"/>
  <c r="H1030" i="1"/>
  <c r="H1253" i="1"/>
  <c r="H1389" i="1"/>
  <c r="H1460" i="1"/>
  <c r="H1524" i="1"/>
  <c r="H1588" i="1"/>
  <c r="H1652" i="1"/>
  <c r="H1173" i="1"/>
  <c r="H1639" i="1"/>
  <c r="H1488" i="1"/>
  <c r="H730" i="1"/>
  <c r="H1101" i="1"/>
  <c r="H1296" i="1"/>
  <c r="H1411" i="1"/>
  <c r="H1477" i="1"/>
  <c r="H1541" i="1"/>
  <c r="H1605" i="1"/>
  <c r="H1669" i="1"/>
  <c r="H1733" i="1"/>
  <c r="H749" i="1"/>
  <c r="H1719" i="1"/>
  <c r="H1528" i="1"/>
  <c r="H349" i="1"/>
  <c r="H1006" i="1"/>
  <c r="H1237" i="1"/>
  <c r="H1381" i="1"/>
  <c r="H1454" i="1"/>
  <c r="H1518" i="1"/>
  <c r="H1582" i="1"/>
  <c r="H890" i="1"/>
  <c r="H1687" i="1"/>
  <c r="H1632" i="1"/>
  <c r="H112" i="1"/>
  <c r="H186" i="1"/>
  <c r="H174" i="1"/>
  <c r="H300" i="1"/>
  <c r="H814" i="1"/>
  <c r="H351" i="1"/>
  <c r="H863" i="1"/>
  <c r="H384" i="1"/>
  <c r="H369" i="1"/>
  <c r="H625" i="1"/>
  <c r="H418" i="1"/>
  <c r="H650" i="1"/>
  <c r="H109" i="1"/>
  <c r="H396" i="1"/>
  <c r="H572" i="1"/>
  <c r="H732" i="1"/>
  <c r="H860" i="1"/>
  <c r="H988" i="1"/>
  <c r="H451" i="1"/>
  <c r="H797" i="1"/>
  <c r="H928" i="1"/>
  <c r="H1015" i="1"/>
  <c r="H1095" i="1"/>
  <c r="H1167" i="1"/>
  <c r="H1239" i="1"/>
  <c r="H1311" i="1"/>
  <c r="H517" i="1"/>
  <c r="H779" i="1"/>
  <c r="H929" i="1"/>
  <c r="H1016" i="1"/>
  <c r="H1088" i="1"/>
  <c r="H1160" i="1"/>
  <c r="H297" i="1"/>
  <c r="H587" i="1"/>
  <c r="H819" i="1"/>
  <c r="H941" i="1"/>
  <c r="H1033" i="1"/>
  <c r="H1105" i="1"/>
  <c r="H1177" i="1"/>
  <c r="H1249" i="1"/>
  <c r="H1321" i="1"/>
  <c r="H1393" i="1"/>
  <c r="H207" i="1"/>
  <c r="H589" i="1"/>
  <c r="H821" i="1"/>
  <c r="H942" i="1"/>
  <c r="H1026" i="1"/>
  <c r="H1098" i="1"/>
  <c r="H1170" i="1"/>
  <c r="H1242" i="1"/>
  <c r="H1322" i="1"/>
  <c r="H1394" i="1"/>
  <c r="H371" i="1"/>
  <c r="H659" i="1"/>
  <c r="H857" i="1"/>
  <c r="H965" i="1"/>
  <c r="H1043" i="1"/>
  <c r="H1123" i="1"/>
  <c r="H1195" i="1"/>
  <c r="H1267" i="1"/>
  <c r="H1339" i="1"/>
  <c r="H239" i="1"/>
  <c r="H565" i="1"/>
  <c r="H810" i="1"/>
  <c r="H945" i="1"/>
  <c r="H1028" i="1"/>
  <c r="H1100" i="1"/>
  <c r="H1172" i="1"/>
  <c r="H1244" i="1"/>
  <c r="H1316" i="1"/>
  <c r="H843" i="1"/>
  <c r="H1200" i="1"/>
  <c r="H1374" i="1"/>
  <c r="H1457" i="1"/>
  <c r="H1529" i="1"/>
  <c r="H1601" i="1"/>
  <c r="H1673" i="1"/>
  <c r="H1690" i="1"/>
  <c r="H1216" i="1"/>
  <c r="H1703" i="1"/>
  <c r="H1496" i="1"/>
  <c r="H541" i="1"/>
  <c r="H1086" i="1"/>
  <c r="H1310" i="1"/>
  <c r="H1416" i="1"/>
  <c r="H1482" i="1"/>
  <c r="H1546" i="1"/>
  <c r="H1610" i="1"/>
  <c r="H1674" i="1"/>
  <c r="H1742" i="1"/>
  <c r="H1487" i="1"/>
  <c r="H1480" i="1"/>
  <c r="H957" i="1"/>
  <c r="H1206" i="1"/>
  <c r="H1365" i="1"/>
  <c r="H1443" i="1"/>
  <c r="H1507" i="1"/>
  <c r="H1571" i="1"/>
  <c r="H1635" i="1"/>
  <c r="H1699" i="1"/>
  <c r="H1716" i="1"/>
  <c r="H1413" i="1"/>
  <c r="H1679" i="1"/>
  <c r="H1504" i="1"/>
  <c r="H573" i="1"/>
  <c r="H1062" i="1"/>
  <c r="H1272" i="1"/>
  <c r="H1399" i="1"/>
  <c r="H1468" i="1"/>
  <c r="H1532" i="1"/>
  <c r="H1596" i="1"/>
  <c r="H1660" i="1"/>
  <c r="H1261" i="1"/>
  <c r="H1663" i="1"/>
  <c r="H1520" i="1"/>
  <c r="H811" i="1"/>
  <c r="H1133" i="1"/>
  <c r="H1318" i="1"/>
  <c r="H1420" i="1"/>
  <c r="H1485" i="1"/>
  <c r="H1549" i="1"/>
  <c r="H1613" i="1"/>
  <c r="H1677" i="1"/>
  <c r="H1741" i="1"/>
  <c r="H1013" i="1"/>
  <c r="H143" i="1"/>
  <c r="H1568" i="1"/>
  <c r="H477" i="1"/>
  <c r="H1038" i="1"/>
  <c r="H1256" i="1"/>
  <c r="H1391" i="1"/>
  <c r="H176" i="1"/>
  <c r="H250" i="1"/>
  <c r="H238" i="1"/>
  <c r="H366" i="1"/>
  <c r="H878" i="1"/>
  <c r="H415" i="1"/>
  <c r="H927" i="1"/>
  <c r="H448" i="1"/>
  <c r="H393" i="1"/>
  <c r="H649" i="1"/>
  <c r="H458" i="1"/>
  <c r="H658" i="1"/>
  <c r="H141" i="1"/>
  <c r="H436" i="1"/>
  <c r="H588" i="1"/>
  <c r="H756" i="1"/>
  <c r="H884" i="1"/>
  <c r="H483" i="1"/>
  <c r="H817" i="1"/>
  <c r="H938" i="1"/>
  <c r="H1031" i="1"/>
  <c r="H1103" i="1"/>
  <c r="H1175" i="1"/>
  <c r="H1247" i="1"/>
  <c r="H1319" i="1"/>
  <c r="H175" i="1"/>
  <c r="H549" i="1"/>
  <c r="H818" i="1"/>
  <c r="H939" i="1"/>
  <c r="H1024" i="1"/>
  <c r="H1096" i="1"/>
  <c r="H1168" i="1"/>
  <c r="H331" i="1"/>
  <c r="H619" i="1"/>
  <c r="H835" i="1"/>
  <c r="H962" i="1"/>
  <c r="H1041" i="1"/>
  <c r="H1113" i="1"/>
  <c r="H1185" i="1"/>
  <c r="H1257" i="1"/>
  <c r="H1329" i="1"/>
  <c r="H1401" i="1"/>
  <c r="H333" i="1"/>
  <c r="H621" i="1"/>
  <c r="H837" i="1"/>
  <c r="H953" i="1"/>
  <c r="H1034" i="1"/>
  <c r="H1106" i="1"/>
  <c r="H1178" i="1"/>
  <c r="H1258" i="1"/>
  <c r="H1330" i="1"/>
  <c r="H1402" i="1"/>
  <c r="H403" i="1"/>
  <c r="H691" i="1"/>
  <c r="H873" i="1"/>
  <c r="H976" i="1"/>
  <c r="H1059" i="1"/>
  <c r="H1131" i="1"/>
  <c r="H1203" i="1"/>
  <c r="H1275" i="1"/>
  <c r="H1347" i="1"/>
  <c r="H308" i="1"/>
  <c r="H597" i="1"/>
  <c r="H842" i="1"/>
  <c r="H955" i="1"/>
  <c r="H1036" i="1"/>
  <c r="H1108" i="1"/>
  <c r="H1180" i="1"/>
  <c r="H1252" i="1"/>
  <c r="H1324" i="1"/>
  <c r="H946" i="1"/>
  <c r="H1222" i="1"/>
  <c r="H1384" i="1"/>
  <c r="H1465" i="1"/>
  <c r="H1537" i="1"/>
  <c r="H1609" i="1"/>
  <c r="H1681" i="1"/>
  <c r="H1714" i="1"/>
  <c r="H1342" i="1"/>
  <c r="H1727" i="1"/>
  <c r="H1552" i="1"/>
  <c r="H669" i="1"/>
  <c r="H1118" i="1"/>
  <c r="H1333" i="1"/>
  <c r="H1426" i="1"/>
  <c r="H1490" i="1"/>
  <c r="H1554" i="1"/>
  <c r="H1618" i="1"/>
  <c r="H1682" i="1"/>
  <c r="H635" i="1"/>
  <c r="H1543" i="1"/>
  <c r="H1512" i="1"/>
  <c r="H315" i="1"/>
  <c r="H997" i="1"/>
  <c r="H1229" i="1"/>
  <c r="H1376" i="1"/>
  <c r="H1451" i="1"/>
  <c r="H1515" i="1"/>
  <c r="H1579" i="1"/>
  <c r="H1643" i="1"/>
  <c r="H1707" i="1"/>
  <c r="H1732" i="1"/>
  <c r="H1447" i="1"/>
  <c r="H1711" i="1"/>
  <c r="H1536" i="1"/>
  <c r="H701" i="1"/>
  <c r="H1094" i="1"/>
  <c r="H1294" i="1"/>
  <c r="H1410" i="1"/>
  <c r="H1476" i="1"/>
  <c r="H1540" i="1"/>
  <c r="H1604" i="1"/>
  <c r="H1684" i="1"/>
  <c r="H1325" i="1"/>
  <c r="H1695" i="1"/>
  <c r="H1560" i="1"/>
  <c r="H875" i="1"/>
  <c r="H1165" i="1"/>
  <c r="H1340" i="1"/>
  <c r="H1429" i="1"/>
  <c r="H1493" i="1"/>
  <c r="H1557" i="1"/>
  <c r="H1621" i="1"/>
  <c r="H1685" i="1"/>
  <c r="H1598" i="1"/>
  <c r="H1302" i="1"/>
  <c r="H979" i="1"/>
  <c r="H1608" i="1"/>
  <c r="H605" i="1"/>
  <c r="H1070" i="1"/>
  <c r="H1278" i="1"/>
  <c r="H1403" i="1"/>
  <c r="H1470" i="1"/>
  <c r="H1534" i="1"/>
  <c r="H1606" i="1"/>
  <c r="H1238" i="1"/>
  <c r="H754" i="1"/>
  <c r="H1728" i="1"/>
  <c r="H240" i="1"/>
  <c r="H302" i="1"/>
  <c r="H430" i="1"/>
  <c r="H479" i="1"/>
  <c r="H512" i="1"/>
  <c r="H433" i="1"/>
  <c r="H689" i="1"/>
  <c r="H482" i="1"/>
  <c r="H674" i="1"/>
  <c r="H205" i="1"/>
  <c r="H444" i="1"/>
  <c r="H628" i="1"/>
  <c r="H764" i="1"/>
  <c r="H892" i="1"/>
  <c r="H547" i="1"/>
  <c r="H833" i="1"/>
  <c r="H960" i="1"/>
  <c r="H1039" i="1"/>
  <c r="H1111" i="1"/>
  <c r="H1183" i="1"/>
  <c r="H1255" i="1"/>
  <c r="H1327" i="1"/>
  <c r="H285" i="1"/>
  <c r="H613" i="1"/>
  <c r="H834" i="1"/>
  <c r="H950" i="1"/>
  <c r="H1032" i="1"/>
  <c r="H1104" i="1"/>
  <c r="H1176" i="1"/>
  <c r="H363" i="1"/>
  <c r="H651" i="1"/>
  <c r="H867" i="1"/>
  <c r="H973" i="1"/>
  <c r="H1049" i="1"/>
  <c r="H1121" i="1"/>
  <c r="H1193" i="1"/>
  <c r="H1265" i="1"/>
  <c r="H1337" i="1"/>
  <c r="H1417" i="1"/>
  <c r="H365" i="1"/>
  <c r="H653" i="1"/>
  <c r="H853" i="1"/>
  <c r="H963" i="1"/>
  <c r="H1042" i="1"/>
  <c r="H1114" i="1"/>
  <c r="H1194" i="1"/>
  <c r="H1266" i="1"/>
  <c r="H1338" i="1"/>
  <c r="H435" i="1"/>
  <c r="H723" i="1"/>
  <c r="H888" i="1"/>
  <c r="H995" i="1"/>
  <c r="H1067" i="1"/>
  <c r="H1139" i="1"/>
  <c r="H1211" i="1"/>
  <c r="H1283" i="1"/>
  <c r="H1355" i="1"/>
  <c r="H341" i="1"/>
  <c r="H661" i="1"/>
  <c r="H858" i="1"/>
  <c r="H966" i="1"/>
  <c r="H1044" i="1"/>
  <c r="H1116" i="1"/>
  <c r="H1188" i="1"/>
  <c r="H1260" i="1"/>
  <c r="H989" i="1"/>
  <c r="H1245" i="1"/>
  <c r="H1396" i="1"/>
  <c r="H1473" i="1"/>
  <c r="H1545" i="1"/>
  <c r="H1617" i="1"/>
  <c r="H1697" i="1"/>
  <c r="H1722" i="1"/>
  <c r="H1404" i="1"/>
  <c r="H381" i="1"/>
  <c r="H1584" i="1"/>
  <c r="H773" i="1"/>
  <c r="H1150" i="1"/>
  <c r="H1349" i="1"/>
  <c r="H1434" i="1"/>
  <c r="H1498" i="1"/>
  <c r="H1562" i="1"/>
  <c r="H1626" i="1"/>
  <c r="H1706" i="1"/>
  <c r="H936" i="1"/>
  <c r="H637" i="1"/>
  <c r="H1544" i="1"/>
  <c r="H443" i="1"/>
  <c r="H1029" i="1"/>
  <c r="H1248" i="1"/>
  <c r="H1388" i="1"/>
  <c r="H1459" i="1"/>
  <c r="H1523" i="1"/>
  <c r="H1587" i="1"/>
  <c r="H1651" i="1"/>
  <c r="H1715" i="1"/>
  <c r="H1678" i="1"/>
  <c r="H1479" i="1"/>
  <c r="H1735" i="1"/>
  <c r="H1592" i="1"/>
  <c r="H795" i="1"/>
  <c r="H1126" i="1"/>
  <c r="H1317" i="1"/>
  <c r="H1419" i="1"/>
  <c r="H1484" i="1"/>
  <c r="H1548" i="1"/>
  <c r="H1612" i="1"/>
  <c r="H1692" i="1"/>
  <c r="H1422" i="1"/>
  <c r="H509" i="1"/>
  <c r="H1600" i="1"/>
  <c r="H925" i="1"/>
  <c r="H1190" i="1"/>
  <c r="H1356" i="1"/>
  <c r="H1437" i="1"/>
  <c r="H1501" i="1"/>
  <c r="H1565" i="1"/>
  <c r="H1629" i="1"/>
  <c r="H1693" i="1"/>
  <c r="H1622" i="1"/>
  <c r="H1382" i="1"/>
  <c r="H1240" i="1"/>
  <c r="H163" i="1"/>
  <c r="H494" i="1"/>
  <c r="H543" i="1"/>
  <c r="H576" i="1"/>
  <c r="H457" i="1"/>
  <c r="H713" i="1"/>
  <c r="H197" i="1"/>
  <c r="H522" i="1"/>
  <c r="H714" i="1"/>
  <c r="H307" i="1"/>
  <c r="H460" i="1"/>
  <c r="H636" i="1"/>
  <c r="H780" i="1"/>
  <c r="H908" i="1"/>
  <c r="H579" i="1"/>
  <c r="H865" i="1"/>
  <c r="H970" i="1"/>
  <c r="H1047" i="1"/>
  <c r="H1119" i="1"/>
  <c r="H1191" i="1"/>
  <c r="H1263" i="1"/>
  <c r="H1335" i="1"/>
  <c r="H357" i="1"/>
  <c r="H645" i="1"/>
  <c r="H850" i="1"/>
  <c r="H961" i="1"/>
  <c r="H1040" i="1"/>
  <c r="H1112" i="1"/>
  <c r="H395" i="1"/>
  <c r="H715" i="1"/>
  <c r="H883" i="1"/>
  <c r="H984" i="1"/>
  <c r="H1057" i="1"/>
  <c r="H1129" i="1"/>
  <c r="H1201" i="1"/>
  <c r="H1273" i="1"/>
  <c r="H1353" i="1"/>
  <c r="H1425" i="1"/>
  <c r="H397" i="1"/>
  <c r="H685" i="1"/>
  <c r="H869" i="1"/>
  <c r="H974" i="1"/>
  <c r="H1050" i="1"/>
  <c r="H1130" i="1"/>
  <c r="H1202" i="1"/>
  <c r="H1274" i="1"/>
  <c r="H1346" i="1"/>
  <c r="H467" i="1"/>
  <c r="H746" i="1"/>
  <c r="H912" i="1"/>
  <c r="H1003" i="1"/>
  <c r="H1075" i="1"/>
  <c r="H1147" i="1"/>
  <c r="H1219" i="1"/>
  <c r="H1291" i="1"/>
  <c r="H1363" i="1"/>
  <c r="H405" i="1"/>
  <c r="H693" i="1"/>
  <c r="H874" i="1"/>
  <c r="H977" i="1"/>
  <c r="H1052" i="1"/>
  <c r="H1124" i="1"/>
  <c r="H1196" i="1"/>
  <c r="H1276" i="1"/>
  <c r="H259" i="1"/>
  <c r="H1021" i="1"/>
  <c r="H1264" i="1"/>
  <c r="H1406" i="1"/>
  <c r="H1481" i="1"/>
  <c r="H1553" i="1"/>
  <c r="H1633" i="1"/>
  <c r="H1705" i="1"/>
  <c r="H1730" i="1"/>
  <c r="H1439" i="1"/>
  <c r="H937" i="1"/>
  <c r="H1624" i="1"/>
  <c r="H845" i="1"/>
  <c r="H1205" i="1"/>
  <c r="H1364" i="1"/>
  <c r="H1442" i="1"/>
  <c r="H1506" i="1"/>
  <c r="H1570" i="1"/>
  <c r="H1634" i="1"/>
  <c r="H1738" i="1"/>
  <c r="H1109" i="1"/>
  <c r="H891" i="1"/>
  <c r="H1576" i="1"/>
  <c r="H571" i="1"/>
  <c r="H1061" i="1"/>
  <c r="H1270" i="1"/>
  <c r="H1398" i="1"/>
  <c r="H1467" i="1"/>
  <c r="H1531" i="1"/>
  <c r="H1595" i="1"/>
  <c r="H1659" i="1"/>
  <c r="H1723" i="1"/>
  <c r="H1726" i="1"/>
  <c r="H1503" i="1"/>
  <c r="H829" i="1"/>
  <c r="H1648" i="1"/>
  <c r="H861" i="1"/>
  <c r="H1158" i="1"/>
  <c r="H1336" i="1"/>
  <c r="H1428" i="1"/>
  <c r="H1492" i="1"/>
  <c r="H1556" i="1"/>
  <c r="H1620" i="1"/>
  <c r="H1700" i="1"/>
  <c r="H1455" i="1"/>
  <c r="H1142" i="1"/>
  <c r="H968" i="1"/>
  <c r="H1213" i="1"/>
  <c r="H1367" i="1"/>
  <c r="H1445" i="1"/>
  <c r="H1509" i="1"/>
  <c r="H1573" i="1"/>
  <c r="H1637" i="1"/>
  <c r="H1701" i="1"/>
  <c r="H1638" i="1"/>
  <c r="H1495" i="1"/>
  <c r="H1285" i="1"/>
  <c r="H1664" i="1"/>
  <c r="H813" i="1"/>
  <c r="H1134" i="1"/>
  <c r="H1320" i="1"/>
  <c r="H145" i="1"/>
  <c r="H227" i="1"/>
  <c r="H558" i="1"/>
  <c r="H607" i="1"/>
  <c r="H640" i="1"/>
  <c r="H497" i="1"/>
  <c r="H753" i="1"/>
  <c r="H277" i="1"/>
  <c r="H546" i="1"/>
  <c r="H722" i="1"/>
  <c r="H316" i="1"/>
  <c r="H500" i="1"/>
  <c r="H652" i="1"/>
  <c r="H796" i="1"/>
  <c r="H924" i="1"/>
  <c r="H611" i="1"/>
  <c r="H881" i="1"/>
  <c r="H981" i="1"/>
  <c r="H1055" i="1"/>
  <c r="H1127" i="1"/>
  <c r="H1199" i="1"/>
  <c r="H1271" i="1"/>
  <c r="H1351" i="1"/>
  <c r="H389" i="1"/>
  <c r="H677" i="1"/>
  <c r="H866" i="1"/>
  <c r="H971" i="1"/>
  <c r="H1048" i="1"/>
  <c r="H1120" i="1"/>
  <c r="H459" i="1"/>
  <c r="H739" i="1"/>
  <c r="H897" i="1"/>
  <c r="H993" i="1"/>
  <c r="H1065" i="1"/>
  <c r="H1137" i="1"/>
  <c r="H1209" i="1"/>
  <c r="H1289" i="1"/>
  <c r="H1361" i="1"/>
  <c r="H429" i="1"/>
  <c r="H717" i="1"/>
  <c r="H885" i="1"/>
  <c r="H985" i="1"/>
  <c r="H1066" i="1"/>
  <c r="H1138" i="1"/>
  <c r="H1210" i="1"/>
  <c r="H1282" i="1"/>
  <c r="H1354" i="1"/>
  <c r="H499" i="1"/>
  <c r="H787" i="1"/>
  <c r="H922" i="1"/>
  <c r="H1011" i="1"/>
  <c r="H1083" i="1"/>
  <c r="H1155" i="1"/>
  <c r="H1227" i="1"/>
  <c r="H1299" i="1"/>
  <c r="H437" i="1"/>
  <c r="H725" i="1"/>
  <c r="H889" i="1"/>
  <c r="H987" i="1"/>
  <c r="H1060" i="1"/>
  <c r="H1132" i="1"/>
  <c r="H1212" i="1"/>
  <c r="H1284" i="1"/>
  <c r="H411" i="1"/>
  <c r="H1053" i="1"/>
  <c r="H1286" i="1"/>
  <c r="H1415" i="1"/>
  <c r="H1489" i="1"/>
  <c r="H1569" i="1"/>
  <c r="H1641" i="1"/>
  <c r="H1713" i="1"/>
  <c r="H1708" i="1"/>
  <c r="H1471" i="1"/>
  <c r="H1078" i="1"/>
  <c r="H1672" i="1"/>
  <c r="H947" i="1"/>
  <c r="H1224" i="1"/>
  <c r="H1375" i="1"/>
  <c r="H1450" i="1"/>
  <c r="H1514" i="1"/>
  <c r="H1578" i="1"/>
  <c r="H1642" i="1"/>
  <c r="H209" i="1"/>
  <c r="H124" i="1"/>
  <c r="H622" i="1"/>
  <c r="H671" i="1"/>
  <c r="H704" i="1"/>
  <c r="H191" i="1"/>
  <c r="H521" i="1"/>
  <c r="H777" i="1"/>
  <c r="H330" i="1"/>
  <c r="H586" i="1"/>
  <c r="H332" i="1"/>
  <c r="H508" i="1"/>
  <c r="H692" i="1"/>
  <c r="H820" i="1"/>
  <c r="H948" i="1"/>
  <c r="H279" i="1"/>
  <c r="H707" i="1"/>
  <c r="H893" i="1"/>
  <c r="H991" i="1"/>
  <c r="H1063" i="1"/>
  <c r="H1135" i="1"/>
  <c r="H1207" i="1"/>
  <c r="H1287" i="1"/>
  <c r="H421" i="1"/>
  <c r="H709" i="1"/>
  <c r="H882" i="1"/>
  <c r="H982" i="1"/>
  <c r="H1056" i="1"/>
  <c r="H1136" i="1"/>
  <c r="H491" i="1"/>
  <c r="H762" i="1"/>
  <c r="H909" i="1"/>
  <c r="H1001" i="1"/>
  <c r="H1073" i="1"/>
  <c r="H1145" i="1"/>
  <c r="H1225" i="1"/>
  <c r="H1297" i="1"/>
  <c r="H1369" i="1"/>
  <c r="H461" i="1"/>
  <c r="H741" i="1"/>
  <c r="H898" i="1"/>
  <c r="H1002" i="1"/>
  <c r="H1074" i="1"/>
  <c r="H1146" i="1"/>
  <c r="H1218" i="1"/>
  <c r="H1290" i="1"/>
  <c r="H1362" i="1"/>
  <c r="H103" i="1"/>
  <c r="H563" i="1"/>
  <c r="H809" i="1"/>
  <c r="H933" i="1"/>
  <c r="H1019" i="1"/>
  <c r="H1091" i="1"/>
  <c r="H1163" i="1"/>
  <c r="H1235" i="1"/>
  <c r="H1315" i="1"/>
  <c r="H469" i="1"/>
  <c r="H747" i="1"/>
  <c r="H901" i="1"/>
  <c r="H996" i="1"/>
  <c r="H1068" i="1"/>
  <c r="H1148" i="1"/>
  <c r="H1220" i="1"/>
  <c r="H1292" i="1"/>
  <c r="H539" i="1"/>
  <c r="H1085" i="1"/>
  <c r="H1309" i="1"/>
  <c r="H1424" i="1"/>
  <c r="H1505" i="1"/>
  <c r="H1577" i="1"/>
  <c r="H1649" i="1"/>
  <c r="H1721" i="1"/>
  <c r="H1734" i="1"/>
  <c r="H1527" i="1"/>
  <c r="H1198" i="1"/>
  <c r="H990" i="1"/>
  <c r="H1246" i="1"/>
  <c r="H1387" i="1"/>
  <c r="H1458" i="1"/>
  <c r="H1522" i="1"/>
  <c r="H1586" i="1"/>
  <c r="H1650" i="1"/>
  <c r="H1740" i="1"/>
  <c r="H1392" i="1"/>
  <c r="H1262" i="1"/>
  <c r="H1656" i="1"/>
  <c r="H794" i="1"/>
  <c r="H1125" i="1"/>
  <c r="H1312" i="1"/>
  <c r="H1418" i="1"/>
  <c r="H1483" i="1"/>
  <c r="H1547" i="1"/>
  <c r="H1611" i="1"/>
  <c r="H1675" i="1"/>
  <c r="H1739" i="1"/>
  <c r="H1045" i="1"/>
  <c r="H1583" i="1"/>
  <c r="H1221" i="1"/>
  <c r="H958" i="1"/>
  <c r="H1208" i="1"/>
  <c r="H1366" i="1"/>
  <c r="H1444" i="1"/>
  <c r="H1508" i="1"/>
  <c r="H1572" i="1"/>
  <c r="H1636" i="1"/>
  <c r="H1718" i="1"/>
  <c r="H1575" i="1"/>
  <c r="H1423" i="1"/>
  <c r="H475" i="1"/>
  <c r="H1037" i="1"/>
  <c r="H1254" i="1"/>
  <c r="H1390" i="1"/>
  <c r="H1461" i="1"/>
  <c r="H1525" i="1"/>
  <c r="H1589" i="1"/>
  <c r="H1653" i="1"/>
  <c r="H1717" i="1"/>
  <c r="H1654" i="1"/>
  <c r="H1559" i="1"/>
  <c r="H1414" i="1"/>
  <c r="H1736" i="1"/>
  <c r="H926" i="1"/>
  <c r="H1192" i="1"/>
  <c r="H1357" i="1"/>
  <c r="H1438" i="1"/>
  <c r="H1502" i="1"/>
  <c r="H1566" i="1"/>
  <c r="H1702" i="1"/>
  <c r="H1615" i="1"/>
  <c r="H1395" i="1"/>
  <c r="H735" i="1"/>
  <c r="H700" i="1"/>
  <c r="H906" i="1"/>
  <c r="H1161" i="1"/>
  <c r="H763" i="1"/>
  <c r="H1099" i="1"/>
  <c r="H770" i="1"/>
  <c r="H667" i="1"/>
  <c r="H507" i="1"/>
  <c r="H1466" i="1"/>
  <c r="H1110" i="1"/>
  <c r="H1157" i="1"/>
  <c r="H1555" i="1"/>
  <c r="H1197" i="1"/>
  <c r="H915" i="1"/>
  <c r="H1500" i="1"/>
  <c r="H1535" i="1"/>
  <c r="H1232" i="1"/>
  <c r="H1581" i="1"/>
  <c r="H1519" i="1"/>
  <c r="H877" i="1"/>
  <c r="H1412" i="1"/>
  <c r="H1510" i="1"/>
  <c r="H1630" i="1"/>
  <c r="H100" i="1"/>
  <c r="H354" i="1"/>
  <c r="H828" i="1"/>
  <c r="H999" i="1"/>
  <c r="H453" i="1"/>
  <c r="H1233" i="1"/>
  <c r="H921" i="1"/>
  <c r="H1171" i="1"/>
  <c r="H913" i="1"/>
  <c r="H1117" i="1"/>
  <c r="H1591" i="1"/>
  <c r="H1530" i="1"/>
  <c r="H1373" i="1"/>
  <c r="H1293" i="1"/>
  <c r="H1603" i="1"/>
  <c r="H1551" i="1"/>
  <c r="H998" i="1"/>
  <c r="H1516" i="1"/>
  <c r="H1607" i="1"/>
  <c r="H1277" i="1"/>
  <c r="H1597" i="1"/>
  <c r="H1599" i="1"/>
  <c r="H969" i="1"/>
  <c r="H1421" i="1"/>
  <c r="H1526" i="1"/>
  <c r="H1670" i="1"/>
  <c r="H1014" i="1"/>
  <c r="H686" i="1"/>
  <c r="H594" i="1"/>
  <c r="H956" i="1"/>
  <c r="H1071" i="1"/>
  <c r="H738" i="1"/>
  <c r="H1305" i="1"/>
  <c r="H1010" i="1"/>
  <c r="H1251" i="1"/>
  <c r="H1004" i="1"/>
  <c r="H1328" i="1"/>
  <c r="H1405" i="1"/>
  <c r="H1594" i="1"/>
  <c r="H1616" i="1"/>
  <c r="H1334" i="1"/>
  <c r="H1619" i="1"/>
  <c r="H1623" i="1"/>
  <c r="H1189" i="1"/>
  <c r="H1564" i="1"/>
  <c r="H1359" i="1"/>
  <c r="H1380" i="1"/>
  <c r="H1645" i="1"/>
  <c r="H1383" i="1"/>
  <c r="H1102" i="1"/>
  <c r="H1430" i="1"/>
  <c r="H1542" i="1"/>
  <c r="H135" i="1"/>
  <c r="H1174" i="1"/>
  <c r="H304" i="1"/>
  <c r="H1143" i="1"/>
  <c r="H896" i="1"/>
  <c r="H523" i="1"/>
  <c r="H1377" i="1"/>
  <c r="H1082" i="1"/>
  <c r="H306" i="1"/>
  <c r="H1323" i="1"/>
  <c r="H1084" i="1"/>
  <c r="H1441" i="1"/>
  <c r="H1658" i="1"/>
  <c r="H1680" i="1"/>
  <c r="H1408" i="1"/>
  <c r="H1667" i="1"/>
  <c r="H1046" i="1"/>
  <c r="H1230" i="1"/>
  <c r="H1580" i="1"/>
  <c r="H1448" i="1"/>
  <c r="H1400" i="1"/>
  <c r="H1661" i="1"/>
  <c r="H1456" i="1"/>
  <c r="H1166" i="1"/>
  <c r="H1446" i="1"/>
  <c r="H1550" i="1"/>
  <c r="H1077" i="1"/>
  <c r="H1344" i="1"/>
  <c r="H561" i="1"/>
  <c r="H1223" i="1"/>
  <c r="H992" i="1"/>
  <c r="H781" i="1"/>
  <c r="H1154" i="1"/>
  <c r="H595" i="1"/>
  <c r="H1156" i="1"/>
  <c r="H1513" i="1"/>
  <c r="H263" i="1"/>
  <c r="H1724" i="1"/>
  <c r="H1427" i="1"/>
  <c r="H1683" i="1"/>
  <c r="H1326" i="1"/>
  <c r="H1352" i="1"/>
  <c r="H1628" i="1"/>
  <c r="H347" i="1"/>
  <c r="H1453" i="1"/>
  <c r="H1709" i="1"/>
  <c r="H1640" i="1"/>
  <c r="H1214" i="1"/>
  <c r="H1462" i="1"/>
  <c r="H1558" i="1"/>
  <c r="H1372" i="1"/>
  <c r="H1464" i="1"/>
  <c r="H157" i="1"/>
  <c r="H1295" i="1"/>
  <c r="H1072" i="1"/>
  <c r="H920" i="1"/>
  <c r="H1226" i="1"/>
  <c r="H825" i="1"/>
  <c r="H1228" i="1"/>
  <c r="H1585" i="1"/>
  <c r="H1022" i="1"/>
  <c r="H1662" i="1"/>
  <c r="H699" i="1"/>
  <c r="H1475" i="1"/>
  <c r="H1731" i="1"/>
  <c r="H1712" i="1"/>
  <c r="H1379" i="1"/>
  <c r="H1644" i="1"/>
  <c r="H603" i="1"/>
  <c r="H1469" i="1"/>
  <c r="H1725" i="1"/>
  <c r="H1696" i="1"/>
  <c r="H1301" i="1"/>
  <c r="H1478" i="1"/>
  <c r="H1574" i="1"/>
  <c r="H1511" i="1"/>
  <c r="H1688" i="1"/>
  <c r="H188" i="1"/>
  <c r="H768" i="1"/>
  <c r="H372" i="1"/>
  <c r="H323" i="1"/>
  <c r="H1144" i="1"/>
  <c r="H1009" i="1"/>
  <c r="H1298" i="1"/>
  <c r="H944" i="1"/>
  <c r="H1300" i="1"/>
  <c r="H1657" i="1"/>
  <c r="H1269" i="1"/>
  <c r="H1280" i="1"/>
  <c r="H859" i="1"/>
  <c r="H1491" i="1"/>
  <c r="H1668" i="1"/>
  <c r="H1436" i="1"/>
  <c r="H1686" i="1"/>
  <c r="H1005" i="1"/>
  <c r="H1517" i="1"/>
  <c r="H1646" i="1"/>
  <c r="H1341" i="1"/>
  <c r="H1486" i="1"/>
  <c r="H1590" i="1"/>
  <c r="H1567" i="1"/>
  <c r="H273" i="1"/>
  <c r="H524" i="1"/>
  <c r="H733" i="1"/>
  <c r="H1081" i="1"/>
  <c r="H493" i="1"/>
  <c r="H1370" i="1"/>
  <c r="H1027" i="1"/>
  <c r="H501" i="1"/>
  <c r="H1729" i="1"/>
  <c r="H1397" i="1"/>
  <c r="H1431" i="1"/>
  <c r="H1093" i="1"/>
  <c r="H1539" i="1"/>
  <c r="H379" i="1"/>
  <c r="H317" i="1"/>
  <c r="H1452" i="1"/>
  <c r="H827" i="1"/>
  <c r="H1069" i="1"/>
  <c r="H1533" i="1"/>
  <c r="H1710" i="1"/>
  <c r="H731" i="1"/>
  <c r="H1368" i="1"/>
  <c r="H1494" i="1"/>
  <c r="H1614" i="1"/>
  <c r="H1655" i="1"/>
</calcChain>
</file>

<file path=xl/sharedStrings.xml><?xml version="1.0" encoding="utf-8"?>
<sst xmlns="http://schemas.openxmlformats.org/spreadsheetml/2006/main" count="1350" uniqueCount="100">
  <si>
    <t>DIAS DE BROTA</t>
  </si>
  <si>
    <t>CHAVE</t>
  </si>
  <si>
    <t>TALHÃO</t>
  </si>
  <si>
    <t>VARIEDADE</t>
  </si>
  <si>
    <t>Tp.PROPRIEDADE</t>
  </si>
  <si>
    <t>ÁREA DE PRODUÇÃO</t>
  </si>
  <si>
    <t>VISTORIAS</t>
  </si>
  <si>
    <t>DATA VISTORIA</t>
  </si>
  <si>
    <t>PORTE CANA (cm)</t>
  </si>
  <si>
    <t>F.A.</t>
  </si>
  <si>
    <t>FAZENDA</t>
  </si>
  <si>
    <t>SEMAFARO AVALIAÇÃO</t>
  </si>
  <si>
    <t>DATA ATUAL:</t>
  </si>
  <si>
    <t>PROPRIETARIO</t>
  </si>
  <si>
    <t>Acompanhamento para Voo                                                                                                            Pós Plantio e Analise de Falhas / Areas Proprias</t>
  </si>
  <si>
    <t>NO_BOLETIM</t>
  </si>
  <si>
    <t>NO_OS</t>
  </si>
  <si>
    <t>DT_PLANTIO</t>
  </si>
  <si>
    <t>CD_SIST_PLAN</t>
  </si>
  <si>
    <t>DE_SIST_PLAN</t>
  </si>
  <si>
    <t>CD_FAZENDA</t>
  </si>
  <si>
    <t>DE_FAZENDA</t>
  </si>
  <si>
    <t>ZONA</t>
  </si>
  <si>
    <t>CD_VARIED</t>
  </si>
  <si>
    <t>DE_VARIED</t>
  </si>
  <si>
    <t>QT_AREA</t>
  </si>
  <si>
    <t>CALC. DATA X ÁREA</t>
  </si>
  <si>
    <t>DATA PONDERADA</t>
  </si>
  <si>
    <t>MECANIZADO</t>
  </si>
  <si>
    <t>SITIO FUKUDA</t>
  </si>
  <si>
    <t>CTC-4</t>
  </si>
  <si>
    <t>FAZENDA CACHOEIRA DOS INDIOS</t>
  </si>
  <si>
    <t>RB97 5242</t>
  </si>
  <si>
    <t>FAZENDA SAO BENTO</t>
  </si>
  <si>
    <t>IACSP01-5503</t>
  </si>
  <si>
    <t>SITIO SAO ROBERTO</t>
  </si>
  <si>
    <t>FAZENDA SANTA TEREZINHA III</t>
  </si>
  <si>
    <t>SITIO GEMEAS</t>
  </si>
  <si>
    <t>SITIO SAO LUIZ III</t>
  </si>
  <si>
    <t>FAZENDA SAO FRANCISCO II</t>
  </si>
  <si>
    <t>CTC 3445</t>
  </si>
  <si>
    <t>CTC-9006</t>
  </si>
  <si>
    <t>FAZENDA SAO JOSE</t>
  </si>
  <si>
    <t>RB86 7515</t>
  </si>
  <si>
    <t>RB07 5322</t>
  </si>
  <si>
    <t>FAZENDA NOSSA SENHORA APARECIDA</t>
  </si>
  <si>
    <t>RB96 6928</t>
  </si>
  <si>
    <t>FAZENDA SANTA OLIMPIA</t>
  </si>
  <si>
    <t>RB12 7825</t>
  </si>
  <si>
    <t>FAZENDA SAO JOAO</t>
  </si>
  <si>
    <t>FAZENDA BOA ESPERANCA</t>
  </si>
  <si>
    <t>RB97 5201</t>
  </si>
  <si>
    <t>SITIO SANTA TEREZINHA</t>
  </si>
  <si>
    <t>CTC 9008</t>
  </si>
  <si>
    <t>FAZENDA SANTA CECILIA</t>
  </si>
  <si>
    <t>SP83-2847</t>
  </si>
  <si>
    <t>CHAVE F.A &amp; TALHÃO</t>
  </si>
  <si>
    <t>CHAVE: F.A &amp; TALHÃO &amp; CUSTO &amp; OPERAÇÃO</t>
  </si>
  <si>
    <t>CÓDIGOCUSTO</t>
  </si>
  <si>
    <t>DESCRIÇÃO CUSTO</t>
  </si>
  <si>
    <t xml:space="preserve">CÓDIGO OPERAÇÃO </t>
  </si>
  <si>
    <t>OPERAÇÃO</t>
  </si>
  <si>
    <t>CÓDIGO F.A</t>
  </si>
  <si>
    <t>DESCRIÇÃO F.A</t>
  </si>
  <si>
    <t>DESCRIÇÃO</t>
  </si>
  <si>
    <t>DESCRIÇÃO ZONA</t>
  </si>
  <si>
    <t>DATA</t>
  </si>
  <si>
    <t>PRODUÇÃO</t>
  </si>
  <si>
    <t>UNIDADE</t>
  </si>
  <si>
    <t>MÊS APLICAÇÃO</t>
  </si>
  <si>
    <t>208066-1</t>
  </si>
  <si>
    <t>208066-1-250301-1053</t>
  </si>
  <si>
    <t>TRATOS CANA PLANTA</t>
  </si>
  <si>
    <t>QUEBRA LOMBO ADUBO HERBIC</t>
  </si>
  <si>
    <t>STI SANTA TEREZINHA</t>
  </si>
  <si>
    <t>HA</t>
  </si>
  <si>
    <t>Abr</t>
  </si>
  <si>
    <t>208066-3</t>
  </si>
  <si>
    <t>208066-3-250301-1053</t>
  </si>
  <si>
    <t>202806-13</t>
  </si>
  <si>
    <t>202806-13-250301-1211</t>
  </si>
  <si>
    <t>QUEBRA LOMBO HERBICIDA</t>
  </si>
  <si>
    <t>202806-15</t>
  </si>
  <si>
    <t>202806-15-250301-1211</t>
  </si>
  <si>
    <t>202806-16</t>
  </si>
  <si>
    <t>202806-16-250301-1211</t>
  </si>
  <si>
    <t>Mai</t>
  </si>
  <si>
    <t>202806-14</t>
  </si>
  <si>
    <t>202806-14-250301-1211</t>
  </si>
  <si>
    <t>DIAS DE BROTA DATA PLANTIO</t>
  </si>
  <si>
    <t>DIAS DE BROTA DATA MÉDIA TALHÃO</t>
  </si>
  <si>
    <t>(vazio)</t>
  </si>
  <si>
    <t>Total Geral</t>
  </si>
  <si>
    <t>Soma de QT_AREA</t>
  </si>
  <si>
    <t xml:space="preserve">CLEALCO </t>
  </si>
  <si>
    <t>1º DATA PLANTIO</t>
  </si>
  <si>
    <t>PRÓPRIA</t>
  </si>
  <si>
    <t>VARIEDADE PREDOMINANTE</t>
  </si>
  <si>
    <t>CALC. VARIEDADE PREDOMINANTE</t>
  </si>
  <si>
    <t>ÁREA REALIZADA Q.L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</si>
</sst>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Arial"/>
      <family val="2"/>
    </font>
    <font>
      <b/>
      <sz val="18"/>
      <color theme="1"/>
      <name val="Verdana"/>
      <family val="2"/>
    </font>
    <font>
      <sz val="11"/>
      <name val="Calibri"/>
      <family val="2"/>
      <scheme val="minor"/>
    </font>
    <font>
      <b/>
      <sz val="11"/>
      <name val="Verdana"/>
      <family val="2"/>
    </font>
    <font>
      <b/>
      <sz val="11"/>
      <color theme="1"/>
      <name val="Verdana"/>
      <family val="2"/>
    </font>
    <font>
      <sz val="11"/>
      <color theme="0"/>
      <name val="Calibri"/>
      <family val="2"/>
      <scheme val="minor"/>
    </font>
    <font>
      <sz val="8"/>
      <color rgb="FF000000"/>
      <name val="MS Sans Serif"/>
    </font>
    <font>
      <b/>
      <sz val="8"/>
      <color rgb="FF0C9AB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EAF2"/>
        <bgColor indexed="64"/>
      </patternFill>
    </fill>
    <fill>
      <patternFill patternType="solid">
        <fgColor theme="0" tint="-0.499984740745262"/>
        <bgColor theme="4" tint="0.79998168889431442"/>
      </patternFill>
    </fill>
    <fill>
      <patternFill patternType="solid">
        <fgColor rgb="FFDADEDF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rgb="FF9DA7A9"/>
      </left>
      <right style="thin">
        <color rgb="FF9DA7A9"/>
      </right>
      <top/>
      <bottom style="thin">
        <color rgb="FF9DA7A9"/>
      </bottom>
      <diagonal/>
    </border>
    <border>
      <left style="thin">
        <color rgb="FF9DA7A9"/>
      </left>
      <right style="thin">
        <color rgb="FF9DA7A9"/>
      </right>
      <top style="thin">
        <color rgb="FF9DA7A9"/>
      </top>
      <bottom style="thin">
        <color rgb="FF9DA7A9"/>
      </bottom>
      <diagonal/>
    </border>
    <border>
      <left style="thin">
        <color indexed="64"/>
      </left>
      <right style="thin">
        <color rgb="FF9DA7A9"/>
      </right>
      <top style="thin">
        <color rgb="FF9DA7A9"/>
      </top>
      <bottom style="thin">
        <color rgb="FF9DA7A9"/>
      </bottom>
      <diagonal/>
    </border>
    <border>
      <left/>
      <right style="thin">
        <color rgb="FF9DA7A9"/>
      </right>
      <top/>
      <bottom style="thin">
        <color rgb="FF9DA7A9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rgb="FF9DA7A9"/>
      </right>
      <top/>
      <bottom style="thin">
        <color rgb="FF9DA7A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rgb="FF9DA7A9"/>
      </right>
      <top style="thin">
        <color rgb="FF9DA7A9"/>
      </top>
      <bottom style="thin">
        <color indexed="64"/>
      </bottom>
      <diagonal/>
    </border>
    <border>
      <left style="thin">
        <color rgb="FF9DA7A9"/>
      </left>
      <right style="thin">
        <color rgb="FF9DA7A9"/>
      </right>
      <top style="thin">
        <color rgb="FF9DA7A9"/>
      </top>
      <bottom style="thin">
        <color indexed="64"/>
      </bottom>
      <diagonal/>
    </border>
    <border>
      <left style="thin">
        <color rgb="FF9DA7A9"/>
      </left>
      <right style="thin">
        <color indexed="64"/>
      </right>
      <top style="thin">
        <color rgb="FF9DA7A9"/>
      </top>
      <bottom style="thin">
        <color rgb="FF9DA7A9"/>
      </bottom>
      <diagonal/>
    </border>
    <border>
      <left style="thin">
        <color rgb="FF9DA7A9"/>
      </left>
      <right style="thin">
        <color indexed="64"/>
      </right>
      <top style="thin">
        <color rgb="FF9DA7A9"/>
      </top>
      <bottom style="thin">
        <color indexed="64"/>
      </bottom>
      <diagonal/>
    </border>
    <border>
      <left style="thin">
        <color rgb="FF9DA7A9"/>
      </left>
      <right style="thin">
        <color indexed="64"/>
      </right>
      <top/>
      <bottom style="thin">
        <color rgb="FF9DA7A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 vertical="center"/>
    </xf>
    <xf numFmtId="14" fontId="0" fillId="0" borderId="0" xfId="0" applyNumberFormat="1"/>
    <xf numFmtId="0" fontId="8" fillId="0" borderId="0" xfId="0" applyFont="1" applyAlignment="1">
      <alignment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center" vertical="center" wrapText="1"/>
    </xf>
    <xf numFmtId="14" fontId="10" fillId="2" borderId="6" xfId="0" applyNumberFormat="1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9" fillId="5" borderId="2" xfId="0" applyNumberFormat="1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5" borderId="2" xfId="0" applyFont="1" applyFill="1" applyBorder="1" applyAlignment="1">
      <alignment horizontal="center" vertical="top"/>
    </xf>
    <xf numFmtId="1" fontId="6" fillId="5" borderId="2" xfId="0" applyNumberFormat="1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4" fontId="7" fillId="3" borderId="6" xfId="0" applyNumberFormat="1" applyFont="1" applyFill="1" applyBorder="1" applyAlignment="1">
      <alignment horizontal="center" vertical="center" wrapText="1"/>
    </xf>
    <xf numFmtId="14" fontId="10" fillId="3" borderId="6" xfId="0" applyNumberFormat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center"/>
    </xf>
    <xf numFmtId="0" fontId="13" fillId="0" borderId="8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4" fontId="13" fillId="0" borderId="1" xfId="0" applyNumberFormat="1" applyFont="1" applyBorder="1" applyAlignment="1">
      <alignment horizontal="left" vertical="top"/>
    </xf>
    <xf numFmtId="0" fontId="12" fillId="8" borderId="9" xfId="0" applyFont="1" applyFill="1" applyBorder="1" applyAlignment="1">
      <alignment horizontal="center"/>
    </xf>
    <xf numFmtId="14" fontId="12" fillId="6" borderId="9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14" fontId="13" fillId="0" borderId="2" xfId="0" applyNumberFormat="1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11" xfId="0" applyFont="1" applyBorder="1" applyAlignment="1">
      <alignment horizontal="left" vertical="top"/>
    </xf>
    <xf numFmtId="14" fontId="13" fillId="0" borderId="11" xfId="0" applyNumberFormat="1" applyFont="1" applyBorder="1" applyAlignment="1">
      <alignment horizontal="left" vertical="top"/>
    </xf>
    <xf numFmtId="0" fontId="13" fillId="0" borderId="12" xfId="0" applyFont="1" applyBorder="1" applyAlignment="1">
      <alignment horizontal="left" vertical="top"/>
    </xf>
    <xf numFmtId="0" fontId="13" fillId="9" borderId="3" xfId="0" applyFont="1" applyFill="1" applyBorder="1" applyAlignment="1">
      <alignment horizontal="left" vertical="top"/>
    </xf>
    <xf numFmtId="0" fontId="13" fillId="9" borderId="2" xfId="0" applyFont="1" applyFill="1" applyBorder="1" applyAlignment="1">
      <alignment horizontal="left" vertical="top"/>
    </xf>
    <xf numFmtId="14" fontId="13" fillId="9" borderId="2" xfId="0" applyNumberFormat="1" applyFont="1" applyFill="1" applyBorder="1" applyAlignment="1">
      <alignment horizontal="left" vertical="top"/>
    </xf>
    <xf numFmtId="0" fontId="13" fillId="9" borderId="12" xfId="0" applyFont="1" applyFill="1" applyBorder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2" fillId="10" borderId="0" xfId="0" applyFont="1" applyFill="1"/>
    <xf numFmtId="49" fontId="14" fillId="7" borderId="6" xfId="0" applyNumberFormat="1" applyFont="1" applyFill="1" applyBorder="1" applyAlignment="1">
      <alignment horizontal="center" vertical="top"/>
    </xf>
    <xf numFmtId="0" fontId="12" fillId="8" borderId="7" xfId="0" applyFont="1" applyFill="1" applyBorder="1" applyAlignment="1">
      <alignment horizontal="center"/>
    </xf>
    <xf numFmtId="14" fontId="12" fillId="6" borderId="7" xfId="0" applyNumberFormat="1" applyFont="1" applyFill="1" applyBorder="1" applyAlignment="1">
      <alignment horizontal="center"/>
    </xf>
    <xf numFmtId="0" fontId="13" fillId="9" borderId="3" xfId="0" applyFont="1" applyFill="1" applyBorder="1" applyAlignment="1">
      <alignment horizontal="right" vertical="top"/>
    </xf>
    <xf numFmtId="0" fontId="13" fillId="9" borderId="2" xfId="0" applyFont="1" applyFill="1" applyBorder="1" applyAlignment="1">
      <alignment horizontal="right" vertical="top"/>
    </xf>
    <xf numFmtId="0" fontId="13" fillId="0" borderId="3" xfId="0" applyFont="1" applyBorder="1" applyAlignment="1">
      <alignment horizontal="right" vertical="top"/>
    </xf>
    <xf numFmtId="0" fontId="13" fillId="0" borderId="2" xfId="0" applyFont="1" applyBorder="1" applyAlignment="1">
      <alignment horizontal="right" vertical="top"/>
    </xf>
    <xf numFmtId="0" fontId="13" fillId="9" borderId="8" xfId="0" applyFont="1" applyFill="1" applyBorder="1" applyAlignment="1">
      <alignment horizontal="right" vertical="top"/>
    </xf>
    <xf numFmtId="0" fontId="13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right" vertical="top"/>
    </xf>
    <xf numFmtId="14" fontId="13" fillId="9" borderId="1" xfId="0" applyNumberFormat="1" applyFont="1" applyFill="1" applyBorder="1" applyAlignment="1">
      <alignment horizontal="left" vertical="top"/>
    </xf>
    <xf numFmtId="0" fontId="13" fillId="9" borderId="14" xfId="0" applyFont="1" applyFill="1" applyBorder="1" applyAlignment="1">
      <alignment horizontal="left" vertical="top"/>
    </xf>
    <xf numFmtId="2" fontId="12" fillId="6" borderId="9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 wrapText="1"/>
    </xf>
    <xf numFmtId="49" fontId="13" fillId="7" borderId="6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14" fontId="12" fillId="6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top"/>
    </xf>
    <xf numFmtId="9" fontId="12" fillId="6" borderId="0" xfId="2" applyFont="1" applyFill="1" applyBorder="1" applyAlignment="1">
      <alignment horizontal="center"/>
    </xf>
    <xf numFmtId="0" fontId="12" fillId="6" borderId="0" xfId="2" applyNumberFormat="1" applyFont="1" applyFill="1" applyAlignment="1">
      <alignment horizontal="center"/>
    </xf>
    <xf numFmtId="14" fontId="10" fillId="3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80"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colors>
    <mruColors>
      <color rgb="FF00F66F"/>
      <color rgb="FFFF66CC"/>
      <color rgb="FF00B054"/>
      <color rgb="FF79196B"/>
      <color rgb="FF6A165E"/>
      <color rgb="FF6A166A"/>
      <color rgb="FF801A71"/>
      <color rgb="FFFF2121"/>
      <color rgb="FF6C0E65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430305</xdr:colOff>
      <xdr:row>0</xdr:row>
      <xdr:rowOff>58678</xdr:rowOff>
    </xdr:from>
    <xdr:to>
      <xdr:col>1</xdr:col>
      <xdr:colOff>394161</xdr:colOff>
      <xdr:row>2</xdr:row>
      <xdr:rowOff>266836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154E9A-E5C3-D4B7-9399-40392198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" y="58678"/>
          <a:ext cx="795129" cy="755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333375</xdr:colOff>
      <xdr:row>0</xdr:row>
      <xdr:rowOff>0</xdr:rowOff>
    </xdr:from>
    <xdr:to>
      <xdr:col>31</xdr:col>
      <xdr:colOff>205823</xdr:colOff>
      <xdr:row>30</xdr:row>
      <xdr:rowOff>24848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5BBC99F-369E-47A5-94A7-2F06EC8DE6DC}"/>
            </a:ext>
          </a:extLst>
        </xdr:cNvPr>
        <xdr:cNvSpPr txBox="1"/>
      </xdr:nvSpPr>
      <xdr:spPr>
        <a:xfrm>
          <a:off x="17726025" y="0"/>
          <a:ext cx="5358848" cy="57398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SELECT  A.NO_BOLETIM,A.NO_OS, TO_CHAR(A.DT_PLANTIO, 'DD/MM/YYYY') AS DT_PLANTIO , A.CD_SIST_PLAN, B.DE_SIST_PLAN, A.CD_UPNIVEL1 AS CD_FAZENDA, C.DE_UPNIVEL1 AS DE_FAZENDA, A.CD_UPNIVEL2 AS ZONA , A.CD_UPNIVEL3 AS TALHÃO, A.CD_VARIED, D.DE_VARIED,  REPLACE(SUM(A.QT_AREA),'.',',') AS QT_AREA, A.CD_FREN_PLAN, E.DE_FREN_PLAN</a:t>
          </a:r>
        </a:p>
        <a:p>
          <a:endParaRPr lang="pt-BR" sz="1100"/>
        </a:p>
        <a:p>
          <a:endParaRPr lang="pt-BR" sz="1100"/>
        </a:p>
        <a:p>
          <a:endParaRPr lang="pt-BR" sz="1100"/>
        </a:p>
        <a:p>
          <a:r>
            <a:rPr lang="pt-BR" sz="1100"/>
            <a:t>FROM  APT_PLANT_HE A, SISTPLAN B, UPNIVEL1 C, VARIEDADES D, FREN_PLANT E</a:t>
          </a:r>
        </a:p>
        <a:p>
          <a:endParaRPr lang="pt-BR" sz="1100"/>
        </a:p>
        <a:p>
          <a:r>
            <a:rPr lang="pt-BR" sz="1100"/>
            <a:t>WHERE DT_PLANTIO BETWEEN  '01/02/2026' AND '10/06/2026'</a:t>
          </a:r>
        </a:p>
        <a:p>
          <a:r>
            <a:rPr lang="pt-BR" sz="1100"/>
            <a:t>AND A.CD_SIST_PLAN = B.CD_SIST_PLAN</a:t>
          </a:r>
        </a:p>
        <a:p>
          <a:r>
            <a:rPr lang="pt-BR" sz="1100"/>
            <a:t>AND A.CD_UPNIVEL1 = C.CD_UPNIVEL1</a:t>
          </a:r>
        </a:p>
        <a:p>
          <a:r>
            <a:rPr lang="pt-BR" sz="1100"/>
            <a:t>AND A.CD_VARIED = D.CD_VARIED</a:t>
          </a:r>
        </a:p>
        <a:p>
          <a:r>
            <a:rPr lang="pt-BR" sz="1100"/>
            <a:t>AND A.CD_FREN_PLAN = E.CD_FREN_PLAN (+)</a:t>
          </a:r>
        </a:p>
        <a:p>
          <a:endParaRPr lang="pt-BR" sz="1100"/>
        </a:p>
        <a:p>
          <a:r>
            <a:rPr lang="pt-BR" sz="1100"/>
            <a:t>GROUP BY A.NO_BOLETIM, A.NO_OS, A.DT_PLANTIO,  A.CD_SIST_PLAN, B.DE_SIST_PLAN, A.CD_UPNIVEL1, C.DE_UPNIVEL1, A.CD_UPNIVEL2, A.CD_UPNIVEL3, A.CD_VARIED, D.DE_VARIED, A.CD_FREN_PLAN, E.DE_FREN_PLAN</a:t>
          </a:r>
        </a:p>
        <a:p>
          <a:endParaRPr lang="pt-BR" sz="1100"/>
        </a:p>
        <a:p>
          <a:r>
            <a:rPr lang="pt-BR" sz="1100"/>
            <a:t>ORDER BY A.DT_PLANTIO, A.CD_SIST_PLAN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ington Nascimento Alves" refreshedDate="46161.637280092589" createdVersion="8" refreshedVersion="8" minRefreshableVersion="3" recordCount="446" xr:uid="{9B17FC25-97C2-467D-9011-96670CCD6263}">
  <cacheSource type="worksheet">
    <worksheetSource ref="C1:R1048576" sheet="BASE SQL PLANTIO"/>
  </cacheSource>
  <cacheFields count="18">
    <cacheField name="NO_BOLETIM" numFmtId="0">
      <sharedItems containsString="0" containsBlank="1" containsNumber="1" containsInteger="1" minValue="1540" maxValue="1821"/>
    </cacheField>
    <cacheField name="NO_OS" numFmtId="0">
      <sharedItems containsString="0" containsBlank="1" containsNumber="1" containsInteger="1" minValue="8231" maxValue="9087"/>
    </cacheField>
    <cacheField name="DT_PLANTIO" numFmtId="0">
      <sharedItems containsNonDate="0" containsDate="1" containsString="0" containsBlank="1" minDate="2026-03-01T00:00:00" maxDate="2026-05-18T00:00:00" count="68">
        <d v="2026-05-13T00:00:00"/>
        <d v="2026-05-14T00:00:00"/>
        <d v="2026-05-15T00:00:00"/>
        <d v="2026-05-16T00:00:00"/>
        <d v="2026-05-10T00:00:00"/>
        <d v="2026-05-11T00:00:00"/>
        <d v="2026-05-12T00:00:00"/>
        <d v="2026-04-10T00:00:00"/>
        <d v="2026-04-11T00:00:00"/>
        <d v="2026-04-12T00:00:00"/>
        <d v="2026-04-25T00:00:00"/>
        <d v="2026-04-27T00:00:00"/>
        <d v="2026-04-15T00:00:00"/>
        <d v="2026-04-16T00:00:00"/>
        <d v="2026-04-28T00:00:00"/>
        <d v="2026-04-26T00:00:00"/>
        <d v="2026-04-24T00:00:00"/>
        <d v="2026-05-05T00:00:00"/>
        <d v="2026-05-06T00:00:00"/>
        <d v="2026-05-07T00:00:00"/>
        <d v="2026-05-09T00:00:00"/>
        <d v="2026-04-30T00:00:00"/>
        <d v="2026-05-01T00:00:00"/>
        <d v="2026-05-08T00:00:00"/>
        <d v="2026-04-29T00:00:00"/>
        <d v="2026-05-03T00:00:00"/>
        <d v="2026-05-04T00:00:00"/>
        <d v="2026-05-02T00:00:00"/>
        <d v="2026-04-13T00:00:00"/>
        <d v="2026-04-14T00:00:00"/>
        <d v="2026-05-17T00:00:00"/>
        <d v="2026-04-02T00:00:00"/>
        <d v="2026-04-03T00:00:00"/>
        <d v="2026-04-04T00:00:00"/>
        <d v="2026-04-06T00:00:00"/>
        <d v="2026-04-07T00:00:00"/>
        <d v="2026-03-15T00:00:00"/>
        <d v="2026-03-16T00:00:00"/>
        <d v="2026-04-05T00:00:00"/>
        <d v="2026-03-06T00:00:00"/>
        <d v="2026-03-07T00:00:00"/>
        <d v="2026-03-08T00:00:00"/>
        <d v="2026-03-04T00:00:00"/>
        <d v="2026-03-05T00:00:00"/>
        <d v="2026-03-01T00:00:00"/>
        <d v="2026-03-02T00:00:00"/>
        <d v="2026-03-03T00:00:00"/>
        <d v="2026-03-12T00:00:00"/>
        <d v="2026-04-22T00:00:00"/>
        <d v="2026-04-23T00:00:00"/>
        <d v="2026-04-21T00:00:00"/>
        <d v="2026-04-20T00:00:00"/>
        <d v="2026-04-18T00:00:00"/>
        <d v="2026-04-17T00:00:00"/>
        <d v="2026-04-19T00:00:00"/>
        <d v="2026-03-31T00:00:00"/>
        <d v="2026-04-01T00:00:00"/>
        <d v="2026-03-26T00:00:00"/>
        <d v="2026-03-27T00:00:00"/>
        <d v="2026-03-30T00:00:00"/>
        <d v="2026-03-29T00:00:00"/>
        <d v="2026-03-28T00:00:00"/>
        <d v="2026-03-17T00:00:00"/>
        <d v="2026-03-22T00:00:00"/>
        <d v="2026-03-23T00:00:00"/>
        <d v="2026-03-21T00:00:00"/>
        <d v="2026-03-20T00:00:00"/>
        <m/>
      </sharedItems>
      <fieldGroup par="17"/>
    </cacheField>
    <cacheField name="CD_SIST_PLAN" numFmtId="0">
      <sharedItems containsString="0" containsBlank="1" containsNumber="1" containsInteger="1" minValue="3" maxValue="3"/>
    </cacheField>
    <cacheField name="DE_SIST_PLAN" numFmtId="0">
      <sharedItems containsBlank="1"/>
    </cacheField>
    <cacheField name="CD_FAZENDA" numFmtId="0">
      <sharedItems containsString="0" containsBlank="1" containsNumber="1" containsInteger="1" minValue="200509" maxValue="208097" count="17">
        <n v="200509"/>
        <n v="200518"/>
        <n v="200560"/>
        <n v="201276"/>
        <n v="202001"/>
        <n v="202303"/>
        <n v="202714"/>
        <n v="202806"/>
        <n v="202807"/>
        <n v="207749"/>
        <n v="207870"/>
        <n v="207875"/>
        <n v="207968"/>
        <n v="207982"/>
        <n v="208066"/>
        <n v="208097"/>
        <m/>
      </sharedItems>
    </cacheField>
    <cacheField name="DE_FAZENDA" numFmtId="0">
      <sharedItems containsBlank="1" count="16">
        <s v="SITIO FUKUDA"/>
        <s v="FAZENDA CACHOEIRA DOS INDIOS"/>
        <s v="FAZENDA SAO BENTO"/>
        <s v="SITIO SAO ROBERTO"/>
        <s v="FAZENDA SANTA TEREZINHA III"/>
        <s v="SITIO GEMEAS"/>
        <s v="SITIO SAO LUIZ III"/>
        <s v="FAZENDA SAO FRANCISCO II"/>
        <s v="FAZENDA SAO JOSE"/>
        <s v="FAZENDA NOSSA SENHORA APARECIDA"/>
        <s v="FAZENDA SANTA OLIMPIA"/>
        <s v="FAZENDA SAO JOAO"/>
        <s v="FAZENDA BOA ESPERANCA"/>
        <s v="SITIO SANTA TEREZINHA"/>
        <s v="FAZENDA SANTA CECILIA"/>
        <m/>
      </sharedItems>
    </cacheField>
    <cacheField name="ZONA" numFmtId="0">
      <sharedItems containsString="0" containsBlank="1" containsNumber="1" containsInteger="1" minValue="1" maxValue="1"/>
    </cacheField>
    <cacheField name="TALHÃO" numFmtId="0">
      <sharedItems containsString="0" containsBlank="1" containsNumber="1" containsInteger="1" minValue="1" maxValue="36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25"/>
        <n v="26"/>
        <n v="27"/>
        <n v="29"/>
        <n v="34"/>
        <n v="35"/>
        <n v="36"/>
        <n v="15"/>
        <n v="16"/>
        <n v="17"/>
        <n v="20"/>
        <n v="21"/>
        <n v="18"/>
        <m/>
      </sharedItems>
    </cacheField>
    <cacheField name="CD_VARIED" numFmtId="0">
      <sharedItems containsString="0" containsBlank="1" containsNumber="1" containsInteger="1" minValue="4" maxValue="72"/>
    </cacheField>
    <cacheField name="DE_VARIED" numFmtId="0">
      <sharedItems containsBlank="1" count="13">
        <s v="CTC-4"/>
        <s v="RB97 5242"/>
        <s v="IACSP01-5503"/>
        <s v="CTC 3445"/>
        <s v="CTC-9006"/>
        <s v="RB86 7515"/>
        <s v="RB07 5322"/>
        <s v="RB96 6928"/>
        <s v="RB12 7825"/>
        <s v="RB97 5201"/>
        <s v="CTC 9008"/>
        <s v="SP83-2847"/>
        <m/>
      </sharedItems>
    </cacheField>
    <cacheField name="QT_AREA" numFmtId="0">
      <sharedItems containsString="0" containsBlank="1" containsNumber="1" minValue="0.02" maxValue="30.41"/>
    </cacheField>
    <cacheField name="CALC. DATA X ÁREA" numFmtId="0">
      <sharedItems containsString="0" containsBlank="1" containsNumber="1" minValue="0" maxValue="1402174.69"/>
    </cacheField>
    <cacheField name="DATA PONDERADA" numFmtId="0">
      <sharedItems containsDate="1" containsBlank="1" containsMixedTypes="1" minDate="2026-03-01T00:00:00" maxDate="2026-05-18T00:00:00"/>
    </cacheField>
    <cacheField name="DIAS DE BROTA DATA PLANTIO" numFmtId="0">
      <sharedItems containsString="0" containsBlank="1" containsNumber="1" containsInteger="1" minValue="2" maxValue="46161" count="69">
        <n v="6"/>
        <n v="5"/>
        <n v="4"/>
        <n v="3"/>
        <n v="9"/>
        <n v="8"/>
        <n v="7"/>
        <n v="39"/>
        <n v="38"/>
        <n v="37"/>
        <n v="24"/>
        <n v="22"/>
        <n v="34"/>
        <n v="33"/>
        <n v="21"/>
        <n v="23"/>
        <n v="25"/>
        <n v="14"/>
        <n v="13"/>
        <n v="12"/>
        <n v="10"/>
        <n v="19"/>
        <n v="18"/>
        <n v="11"/>
        <n v="20"/>
        <n v="16"/>
        <n v="15"/>
        <n v="17"/>
        <n v="36"/>
        <n v="35"/>
        <n v="2"/>
        <n v="47"/>
        <n v="46"/>
        <n v="45"/>
        <n v="43"/>
        <n v="42"/>
        <n v="65"/>
        <n v="64"/>
        <n v="44"/>
        <n v="74"/>
        <n v="73"/>
        <n v="72"/>
        <n v="76"/>
        <n v="75"/>
        <n v="79"/>
        <n v="78"/>
        <n v="77"/>
        <n v="68"/>
        <n v="27"/>
        <n v="26"/>
        <n v="28"/>
        <n v="29"/>
        <n v="31"/>
        <n v="32"/>
        <n v="30"/>
        <n v="49"/>
        <n v="48"/>
        <n v="54"/>
        <n v="53"/>
        <n v="50"/>
        <n v="51"/>
        <n v="52"/>
        <n v="63"/>
        <n v="58"/>
        <n v="57"/>
        <n v="59"/>
        <n v="60"/>
        <n v="46161"/>
        <m/>
      </sharedItems>
    </cacheField>
    <cacheField name="DIAS DE BROTA DATA MÉDIA TALHÃO" numFmtId="0">
      <sharedItems containsBlank="1" containsMixedTypes="1" containsNumber="1" minValue="2" maxValue="79" count="94">
        <n v="5.7213785046697012"/>
        <n v="5"/>
        <n v="4.3666823973544524"/>
        <n v="8.1537984496098943"/>
        <n v="34.628296002258139"/>
        <n v="33.660545645318052"/>
        <n v="29.479344055500405"/>
        <n v="24.492984097290901"/>
        <n v="19.599819331524486"/>
        <n v="12.057613168726675"/>
        <n v="18.978964401292615"/>
        <n v="17.569176882672764"/>
        <n v="16.954727030628419"/>
        <n v="17.264341957248689"/>
        <n v="21.278198840838741"/>
        <n v="20.798798798809003"/>
        <n v="15.661334973854537"/>
        <n v="34.539619426293939"/>
        <n v="33.992691452178406"/>
        <n v="31.756460797201726"/>
        <n v="16.650289017336036"/>
        <n v="13.268011527383351"/>
        <n v="11.73944387229858"/>
        <n v="10.776829815898964"/>
        <n v="21.501342539319012"/>
        <n v="21"/>
        <n v="10"/>
        <n v="2"/>
        <n v="7"/>
        <n v="8.2650935374185792"/>
        <n v="6.7190903267182875"/>
        <n v="44.493184915947495"/>
        <n v="48.825970034573402"/>
        <n v="72.478833333341754"/>
        <n v="75.61918194640748"/>
        <n v="78.096115679050854"/>
        <n v="77.808945990960638"/>
        <n v="73.802012578620634"/>
        <n v="50.276538060476014"/>
        <n v="35.721811460258323"/>
        <n v="38"/>
        <n v="36.276625958540535"/>
        <n v="19.414819944599003"/>
        <n v="16.934545454547333"/>
        <n v="15.035195776501496"/>
        <n v="16.571673329526675"/>
        <n v="12.60131195334543"/>
        <n v="23.272974020939728"/>
        <n v="26.223578947370697"/>
        <n v="26"/>
        <n v="24.820764643991424"/>
        <n v="27.288707204905222"/>
        <n v="28.350123864576744"/>
        <n v="26.637053087753884"/>
        <n v="31"/>
        <n v="31.758104738153634"/>
        <n v="29.587437334121205"/>
        <n v="29.114843171155371"/>
        <n v="27.725308641973243"/>
        <n v="30.495820501542767"/>
        <n v="29.076595744678343"/>
        <n v="12"/>
        <n v="11.118816930131288"/>
        <n v="10.429090909085062"/>
        <n v="9.4194294525877922"/>
        <n v="5.6152667858114"/>
        <n v="3.8276269185298588"/>
        <n v="32.827981651375012"/>
        <n v="36.197194076383312"/>
        <n v="44"/>
        <n v="44.580756013747305"/>
        <n v="46"/>
        <n v="37.126498002668086"/>
        <n v="79"/>
        <n v="47.096605744118278"/>
        <n v="52.598876855197886"/>
        <n v="49.227351413726865"/>
        <n v="49.910783553132205"/>
        <n v="52.329579785771784"/>
        <n v="60.509721692716994"/>
        <n v="63.139821615957771"/>
        <n v="49.438498957613774"/>
        <n v="49"/>
        <n v="52.732441471569473"/>
        <n v="55.580375083722174"/>
        <n v="59.719026548671536"/>
        <n v="58.823529411762138"/>
        <n v="51.265457543282537"/>
        <n v="50.605804111241014"/>
        <n v="55.983651226168149"/>
        <n v="55.325851393186895"/>
        <n v="50"/>
        <e v="#VALUE!"/>
        <m/>
      </sharedItems>
    </cacheField>
    <cacheField name="Dias (DT_PLANTIO)" numFmtId="0" databaseField="0">
      <fieldGroup base="2">
        <rangePr groupBy="days" startDate="2026-03-01T00:00:00" endDate="2026-05-18T00:00:00"/>
        <groupItems count="368">
          <s v="&lt;01/03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8/05/2026"/>
        </groupItems>
      </fieldGroup>
    </cacheField>
    <cacheField name="Meses (DT_PLANTIO)" numFmtId="0" databaseField="0">
      <fieldGroup base="2">
        <rangePr groupBy="months" startDate="2026-03-01T00:00:00" endDate="2026-05-18T00:00:00"/>
        <groupItems count="14">
          <s v="&lt;01/03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n v="1806"/>
    <n v="9025"/>
    <x v="0"/>
    <n v="3"/>
    <s v="MECANIZADO"/>
    <x v="0"/>
    <x v="0"/>
    <n v="1"/>
    <x v="0"/>
    <n v="53"/>
    <x v="0"/>
    <n v="12.35"/>
    <n v="570014.25"/>
    <d v="2026-05-13T06:41:13"/>
    <x v="0"/>
    <x v="0"/>
  </r>
  <r>
    <n v="1809"/>
    <n v="9025"/>
    <x v="1"/>
    <n v="3"/>
    <s v="MECANIZADO"/>
    <x v="0"/>
    <x v="0"/>
    <n v="1"/>
    <x v="0"/>
    <n v="53"/>
    <x v="0"/>
    <n v="4.7699999999999996"/>
    <n v="220164.11999999997"/>
    <d v="2026-05-13T06:41:13"/>
    <x v="1"/>
    <x v="0"/>
  </r>
  <r>
    <n v="1810"/>
    <n v="9025"/>
    <x v="1"/>
    <n v="3"/>
    <s v="MECANIZADO"/>
    <x v="0"/>
    <x v="0"/>
    <n v="1"/>
    <x v="1"/>
    <n v="53"/>
    <x v="0"/>
    <n v="0.6"/>
    <n v="27693.599999999999"/>
    <d v="2026-05-14T00:00:00"/>
    <x v="1"/>
    <x v="1"/>
  </r>
  <r>
    <n v="1811"/>
    <n v="9025"/>
    <x v="1"/>
    <n v="3"/>
    <s v="MECANIZADO"/>
    <x v="0"/>
    <x v="0"/>
    <n v="1"/>
    <x v="2"/>
    <n v="53"/>
    <x v="0"/>
    <n v="11.34"/>
    <n v="523409.04"/>
    <d v="2026-05-14T15:11:59"/>
    <x v="1"/>
    <x v="2"/>
  </r>
  <r>
    <n v="1815"/>
    <n v="9025"/>
    <x v="2"/>
    <n v="3"/>
    <s v="MECANIZADO"/>
    <x v="0"/>
    <x v="0"/>
    <n v="1"/>
    <x v="2"/>
    <n v="53"/>
    <x v="0"/>
    <n v="6.28"/>
    <n v="289865.96000000002"/>
    <d v="2026-05-14T15:11:59"/>
    <x v="2"/>
    <x v="2"/>
  </r>
  <r>
    <n v="1816"/>
    <n v="9025"/>
    <x v="3"/>
    <n v="3"/>
    <s v="MECANIZADO"/>
    <x v="0"/>
    <x v="0"/>
    <n v="1"/>
    <x v="2"/>
    <n v="53"/>
    <x v="0"/>
    <n v="3.57"/>
    <n v="164784.06"/>
    <d v="2026-05-14T15:11:59"/>
    <x v="3"/>
    <x v="2"/>
  </r>
  <r>
    <n v="1793"/>
    <n v="8948"/>
    <x v="4"/>
    <n v="3"/>
    <s v="MECANIZADO"/>
    <x v="1"/>
    <x v="1"/>
    <n v="1"/>
    <x v="0"/>
    <n v="53"/>
    <x v="0"/>
    <n v="13.02"/>
    <n v="600899.04"/>
    <d v="2026-05-10T20:18:32"/>
    <x v="4"/>
    <x v="3"/>
  </r>
  <r>
    <n v="1799"/>
    <n v="8948"/>
    <x v="5"/>
    <n v="3"/>
    <s v="MECANIZADO"/>
    <x v="1"/>
    <x v="1"/>
    <n v="1"/>
    <x v="0"/>
    <n v="53"/>
    <x v="0"/>
    <n v="11.17"/>
    <n v="515529.01"/>
    <d v="2026-05-10T20:18:32"/>
    <x v="5"/>
    <x v="3"/>
  </r>
  <r>
    <n v="1803"/>
    <n v="8948"/>
    <x v="6"/>
    <n v="3"/>
    <s v="MECANIZADO"/>
    <x v="1"/>
    <x v="1"/>
    <n v="1"/>
    <x v="0"/>
    <n v="53"/>
    <x v="0"/>
    <n v="8.06"/>
    <n v="372001.24000000005"/>
    <d v="2026-05-10T20:18:32"/>
    <x v="6"/>
    <x v="3"/>
  </r>
  <r>
    <n v="1644"/>
    <n v="8563"/>
    <x v="7"/>
    <n v="3"/>
    <s v="MECANIZADO"/>
    <x v="1"/>
    <x v="1"/>
    <n v="1"/>
    <x v="1"/>
    <n v="4"/>
    <x v="1"/>
    <n v="8"/>
    <n v="368976"/>
    <d v="2026-04-14T08:55:15"/>
    <x v="7"/>
    <x v="4"/>
  </r>
  <r>
    <n v="1642"/>
    <n v="8563"/>
    <x v="8"/>
    <n v="3"/>
    <s v="MECANIZADO"/>
    <x v="1"/>
    <x v="1"/>
    <n v="1"/>
    <x v="1"/>
    <n v="4"/>
    <x v="1"/>
    <n v="14.15"/>
    <n v="652640.45000000007"/>
    <d v="2026-04-14T08:55:15"/>
    <x v="8"/>
    <x v="4"/>
  </r>
  <r>
    <n v="1650"/>
    <n v="8563"/>
    <x v="9"/>
    <n v="3"/>
    <s v="MECANIZADO"/>
    <x v="1"/>
    <x v="1"/>
    <n v="1"/>
    <x v="1"/>
    <n v="4"/>
    <x v="1"/>
    <n v="5"/>
    <n v="230620"/>
    <d v="2026-04-14T08:55:15"/>
    <x v="9"/>
    <x v="4"/>
  </r>
  <r>
    <n v="1709"/>
    <n v="8741"/>
    <x v="10"/>
    <n v="3"/>
    <s v="MECANIZADO"/>
    <x v="1"/>
    <x v="1"/>
    <n v="1"/>
    <x v="1"/>
    <n v="4"/>
    <x v="1"/>
    <n v="4"/>
    <n v="184548"/>
    <d v="2026-04-14T08:55:15"/>
    <x v="10"/>
    <x v="4"/>
  </r>
  <r>
    <n v="1723"/>
    <n v="8741"/>
    <x v="11"/>
    <n v="3"/>
    <s v="MECANIZADO"/>
    <x v="1"/>
    <x v="1"/>
    <n v="1"/>
    <x v="1"/>
    <n v="4"/>
    <x v="1"/>
    <n v="4.12"/>
    <n v="190092.68"/>
    <d v="2026-04-14T08:55:15"/>
    <x v="11"/>
    <x v="4"/>
  </r>
  <r>
    <n v="1645"/>
    <n v="8563"/>
    <x v="7"/>
    <n v="3"/>
    <s v="MECANIZADO"/>
    <x v="1"/>
    <x v="1"/>
    <n v="1"/>
    <x v="2"/>
    <n v="4"/>
    <x v="1"/>
    <n v="5.62"/>
    <n v="259205.64"/>
    <d v="2026-04-15T08:08:49"/>
    <x v="7"/>
    <x v="5"/>
  </r>
  <r>
    <n v="1643"/>
    <n v="8563"/>
    <x v="8"/>
    <n v="3"/>
    <s v="MECANIZADO"/>
    <x v="1"/>
    <x v="1"/>
    <n v="1"/>
    <x v="2"/>
    <n v="4"/>
    <x v="1"/>
    <n v="8.44"/>
    <n v="389278.12"/>
    <d v="2026-04-15T08:08:49"/>
    <x v="8"/>
    <x v="5"/>
  </r>
  <r>
    <n v="1651"/>
    <n v="8563"/>
    <x v="9"/>
    <n v="3"/>
    <s v="MECANIZADO"/>
    <x v="1"/>
    <x v="1"/>
    <n v="1"/>
    <x v="2"/>
    <n v="4"/>
    <x v="1"/>
    <n v="8"/>
    <n v="368992"/>
    <d v="2026-04-15T08:08:49"/>
    <x v="9"/>
    <x v="5"/>
  </r>
  <r>
    <n v="1668"/>
    <n v="8563"/>
    <x v="12"/>
    <n v="3"/>
    <s v="MECANIZADO"/>
    <x v="1"/>
    <x v="1"/>
    <n v="1"/>
    <x v="2"/>
    <n v="4"/>
    <x v="1"/>
    <n v="4.74"/>
    <n v="218641.98"/>
    <d v="2026-04-15T08:08:49"/>
    <x v="12"/>
    <x v="5"/>
  </r>
  <r>
    <n v="1669"/>
    <n v="8563"/>
    <x v="13"/>
    <n v="3"/>
    <s v="MECANIZADO"/>
    <x v="1"/>
    <x v="1"/>
    <n v="1"/>
    <x v="2"/>
    <n v="4"/>
    <x v="1"/>
    <n v="4.4000000000000004"/>
    <n v="202963.20000000001"/>
    <d v="2026-04-15T08:08:49"/>
    <x v="13"/>
    <x v="5"/>
  </r>
  <r>
    <n v="1708"/>
    <n v="8741"/>
    <x v="10"/>
    <n v="3"/>
    <s v="MECANIZADO"/>
    <x v="1"/>
    <x v="1"/>
    <n v="1"/>
    <x v="2"/>
    <n v="4"/>
    <x v="1"/>
    <n v="3"/>
    <n v="138411"/>
    <d v="2026-04-15T08:08:49"/>
    <x v="10"/>
    <x v="5"/>
  </r>
  <r>
    <n v="1727"/>
    <n v="8741"/>
    <x v="14"/>
    <n v="3"/>
    <s v="MECANIZADO"/>
    <x v="1"/>
    <x v="1"/>
    <n v="1"/>
    <x v="2"/>
    <n v="4"/>
    <x v="1"/>
    <n v="2.8"/>
    <n v="129191.99999999999"/>
    <d v="2026-04-15T08:08:49"/>
    <x v="14"/>
    <x v="5"/>
  </r>
  <r>
    <n v="1795"/>
    <n v="8741"/>
    <x v="4"/>
    <n v="3"/>
    <s v="MECANIZADO"/>
    <x v="1"/>
    <x v="1"/>
    <n v="1"/>
    <x v="2"/>
    <n v="53"/>
    <x v="0"/>
    <n v="1.1200000000000001"/>
    <n v="51690.240000000005"/>
    <d v="2026-04-15T08:08:49"/>
    <x v="4"/>
    <x v="5"/>
  </r>
  <r>
    <n v="1670"/>
    <n v="8633"/>
    <x v="13"/>
    <n v="3"/>
    <s v="MECANIZADO"/>
    <x v="1"/>
    <x v="1"/>
    <n v="1"/>
    <x v="3"/>
    <n v="4"/>
    <x v="1"/>
    <n v="21.1"/>
    <n v="973300.8"/>
    <d v="2026-04-19T12:29:45"/>
    <x v="13"/>
    <x v="6"/>
  </r>
  <r>
    <n v="1717"/>
    <n v="8741"/>
    <x v="15"/>
    <n v="3"/>
    <s v="MECANIZADO"/>
    <x v="1"/>
    <x v="1"/>
    <n v="1"/>
    <x v="3"/>
    <n v="4"/>
    <x v="1"/>
    <n v="5.07"/>
    <n v="233919.66"/>
    <d v="2026-04-19T12:29:45"/>
    <x v="15"/>
    <x v="6"/>
  </r>
  <r>
    <n v="1724"/>
    <n v="8741"/>
    <x v="11"/>
    <n v="3"/>
    <s v="MECANIZADO"/>
    <x v="1"/>
    <x v="1"/>
    <n v="1"/>
    <x v="3"/>
    <n v="4"/>
    <x v="1"/>
    <n v="5.54"/>
    <n v="255610.06"/>
    <d v="2026-04-19T12:29:45"/>
    <x v="11"/>
    <x v="6"/>
  </r>
  <r>
    <n v="1706"/>
    <n v="8741"/>
    <x v="16"/>
    <n v="3"/>
    <s v="MECANIZADO"/>
    <x v="1"/>
    <x v="1"/>
    <n v="1"/>
    <x v="4"/>
    <n v="4"/>
    <x v="1"/>
    <n v="17.809999999999999"/>
    <n v="821682.15999999992"/>
    <d v="2026-04-24T12:10:06"/>
    <x v="16"/>
    <x v="7"/>
  </r>
  <r>
    <n v="1707"/>
    <n v="8741"/>
    <x v="10"/>
    <n v="3"/>
    <s v="MECANIZADO"/>
    <x v="1"/>
    <x v="1"/>
    <n v="1"/>
    <x v="4"/>
    <n v="4"/>
    <x v="1"/>
    <n v="12.26"/>
    <n v="565639.62"/>
    <d v="2026-04-24T12:10:06"/>
    <x v="10"/>
    <x v="7"/>
  </r>
  <r>
    <n v="1718"/>
    <n v="8741"/>
    <x v="15"/>
    <n v="3"/>
    <s v="MECANIZADO"/>
    <x v="1"/>
    <x v="1"/>
    <n v="1"/>
    <x v="4"/>
    <n v="4"/>
    <x v="1"/>
    <n v="2"/>
    <n v="92276"/>
    <d v="2026-04-24T12:10:06"/>
    <x v="15"/>
    <x v="7"/>
  </r>
  <r>
    <n v="1719"/>
    <n v="8741"/>
    <x v="15"/>
    <n v="3"/>
    <s v="MECANIZADO"/>
    <x v="1"/>
    <x v="1"/>
    <n v="1"/>
    <x v="5"/>
    <n v="4"/>
    <x v="1"/>
    <n v="14.62"/>
    <n v="674537.55999999994"/>
    <d v="2026-04-29T09:36:16"/>
    <x v="15"/>
    <x v="8"/>
  </r>
  <r>
    <n v="1756"/>
    <n v="8741"/>
    <x v="17"/>
    <n v="3"/>
    <s v="MECANIZADO"/>
    <x v="1"/>
    <x v="1"/>
    <n v="1"/>
    <x v="5"/>
    <n v="4"/>
    <x v="1"/>
    <n v="6"/>
    <n v="276882"/>
    <d v="2026-04-29T09:36:16"/>
    <x v="17"/>
    <x v="8"/>
  </r>
  <r>
    <n v="1796"/>
    <n v="8741"/>
    <x v="4"/>
    <n v="3"/>
    <s v="MECANIZADO"/>
    <x v="1"/>
    <x v="1"/>
    <n v="1"/>
    <x v="5"/>
    <n v="53"/>
    <x v="0"/>
    <n v="1.52"/>
    <n v="70151.039999999994"/>
    <d v="2026-04-29T09:36:16"/>
    <x v="4"/>
    <x v="8"/>
  </r>
  <r>
    <n v="1762"/>
    <n v="8741"/>
    <x v="18"/>
    <n v="3"/>
    <s v="MECANIZADO"/>
    <x v="1"/>
    <x v="1"/>
    <n v="1"/>
    <x v="6"/>
    <n v="4"/>
    <x v="1"/>
    <n v="10"/>
    <n v="461480"/>
    <d v="2026-05-06T22:37:02"/>
    <x v="18"/>
    <x v="9"/>
  </r>
  <r>
    <n v="1765"/>
    <n v="8741"/>
    <x v="19"/>
    <n v="3"/>
    <s v="MECANIZADO"/>
    <x v="1"/>
    <x v="1"/>
    <n v="1"/>
    <x v="6"/>
    <n v="53"/>
    <x v="0"/>
    <n v="5"/>
    <n v="230745"/>
    <d v="2026-05-06T22:37:02"/>
    <x v="19"/>
    <x v="9"/>
  </r>
  <r>
    <n v="1785"/>
    <n v="8741"/>
    <x v="20"/>
    <n v="3"/>
    <s v="MECANIZADO"/>
    <x v="1"/>
    <x v="1"/>
    <n v="1"/>
    <x v="6"/>
    <n v="53"/>
    <x v="0"/>
    <n v="4.4400000000000004"/>
    <n v="204910.44000000003"/>
    <d v="2026-05-06T22:37:02"/>
    <x v="20"/>
    <x v="9"/>
  </r>
  <r>
    <n v="1737"/>
    <n v="8768"/>
    <x v="21"/>
    <n v="3"/>
    <s v="MECANIZADO"/>
    <x v="1"/>
    <x v="1"/>
    <n v="1"/>
    <x v="7"/>
    <n v="4"/>
    <x v="1"/>
    <n v="6.05"/>
    <n v="279159.09999999998"/>
    <d v="2026-04-30T00:30:17"/>
    <x v="21"/>
    <x v="10"/>
  </r>
  <r>
    <n v="1821"/>
    <n v="8768"/>
    <x v="22"/>
    <n v="3"/>
    <s v="MECANIZADO"/>
    <x v="1"/>
    <x v="1"/>
    <n v="1"/>
    <x v="7"/>
    <n v="4"/>
    <x v="1"/>
    <n v="0.13"/>
    <n v="5998.59"/>
    <d v="2026-04-30T00:30:17"/>
    <x v="22"/>
    <x v="10"/>
  </r>
  <r>
    <n v="1738"/>
    <n v="8768"/>
    <x v="21"/>
    <n v="3"/>
    <s v="MECANIZADO"/>
    <x v="1"/>
    <x v="1"/>
    <n v="1"/>
    <x v="8"/>
    <n v="4"/>
    <x v="1"/>
    <n v="10.88"/>
    <n v="502024.96000000002"/>
    <d v="2026-05-01T10:20:23"/>
    <x v="21"/>
    <x v="11"/>
  </r>
  <r>
    <n v="1739"/>
    <n v="8768"/>
    <x v="22"/>
    <n v="3"/>
    <s v="MECANIZADO"/>
    <x v="1"/>
    <x v="1"/>
    <n v="1"/>
    <x v="8"/>
    <n v="4"/>
    <x v="1"/>
    <n v="9"/>
    <n v="415287"/>
    <d v="2026-05-01T10:20:23"/>
    <x v="22"/>
    <x v="11"/>
  </r>
  <r>
    <n v="1780"/>
    <n v="8768"/>
    <x v="23"/>
    <n v="3"/>
    <s v="MECANIZADO"/>
    <x v="1"/>
    <x v="1"/>
    <n v="1"/>
    <x v="8"/>
    <n v="53"/>
    <x v="0"/>
    <n v="2.96"/>
    <n v="136604"/>
    <d v="2026-05-01T10:20:23"/>
    <x v="23"/>
    <x v="11"/>
  </r>
  <r>
    <n v="1710"/>
    <n v="8741"/>
    <x v="10"/>
    <n v="3"/>
    <s v="MECANIZADO"/>
    <x v="1"/>
    <x v="1"/>
    <n v="1"/>
    <x v="9"/>
    <n v="4"/>
    <x v="1"/>
    <n v="5.54"/>
    <n v="255598.98"/>
    <d v="2026-05-02T01:05:12"/>
    <x v="10"/>
    <x v="12"/>
  </r>
  <r>
    <n v="1731"/>
    <n v="8768"/>
    <x v="24"/>
    <n v="3"/>
    <s v="MECANIZADO"/>
    <x v="1"/>
    <x v="1"/>
    <n v="1"/>
    <x v="9"/>
    <n v="4"/>
    <x v="1"/>
    <n v="8"/>
    <n v="369128"/>
    <d v="2026-05-02T01:05:12"/>
    <x v="24"/>
    <x v="12"/>
  </r>
  <r>
    <n v="1740"/>
    <n v="8768"/>
    <x v="22"/>
    <n v="3"/>
    <s v="MECANIZADO"/>
    <x v="1"/>
    <x v="1"/>
    <n v="1"/>
    <x v="9"/>
    <n v="4"/>
    <x v="1"/>
    <n v="2.11"/>
    <n v="97361.73"/>
    <d v="2026-05-02T01:05:12"/>
    <x v="22"/>
    <x v="12"/>
  </r>
  <r>
    <n v="1746"/>
    <n v="8768"/>
    <x v="25"/>
    <n v="3"/>
    <s v="MECANIZADO"/>
    <x v="1"/>
    <x v="1"/>
    <n v="1"/>
    <x v="9"/>
    <n v="4"/>
    <x v="1"/>
    <n v="8"/>
    <n v="369160"/>
    <d v="2026-05-02T01:05:12"/>
    <x v="25"/>
    <x v="12"/>
  </r>
  <r>
    <n v="1757"/>
    <n v="8768"/>
    <x v="17"/>
    <n v="3"/>
    <s v="MECANIZADO"/>
    <x v="1"/>
    <x v="1"/>
    <n v="1"/>
    <x v="9"/>
    <n v="4"/>
    <x v="1"/>
    <n v="8.27"/>
    <n v="381635.69"/>
    <d v="2026-05-02T01:05:12"/>
    <x v="17"/>
    <x v="12"/>
  </r>
  <r>
    <n v="1781"/>
    <n v="8768"/>
    <x v="23"/>
    <n v="3"/>
    <s v="MECANIZADO"/>
    <x v="1"/>
    <x v="1"/>
    <n v="1"/>
    <x v="9"/>
    <n v="53"/>
    <x v="0"/>
    <n v="5.63"/>
    <n v="259824.5"/>
    <d v="2026-05-02T01:05:12"/>
    <x v="23"/>
    <x v="12"/>
  </r>
  <r>
    <n v="1732"/>
    <n v="8768"/>
    <x v="24"/>
    <n v="3"/>
    <s v="MECANIZADO"/>
    <x v="1"/>
    <x v="1"/>
    <n v="1"/>
    <x v="10"/>
    <n v="4"/>
    <x v="1"/>
    <n v="13.43"/>
    <n v="619673.63"/>
    <d v="2026-05-01T17:39:21"/>
    <x v="24"/>
    <x v="13"/>
  </r>
  <r>
    <n v="1753"/>
    <n v="8768"/>
    <x v="26"/>
    <n v="3"/>
    <s v="MECANIZADO"/>
    <x v="1"/>
    <x v="1"/>
    <n v="1"/>
    <x v="10"/>
    <n v="4"/>
    <x v="1"/>
    <n v="11.55"/>
    <n v="532986.30000000005"/>
    <d v="2026-05-01T17:39:21"/>
    <x v="26"/>
    <x v="13"/>
  </r>
  <r>
    <n v="1782"/>
    <n v="8768"/>
    <x v="23"/>
    <n v="3"/>
    <s v="MECANIZADO"/>
    <x v="1"/>
    <x v="1"/>
    <n v="1"/>
    <x v="10"/>
    <n v="53"/>
    <x v="0"/>
    <n v="1.69"/>
    <n v="77993.5"/>
    <d v="2026-05-01T17:39:21"/>
    <x v="23"/>
    <x v="13"/>
  </r>
  <r>
    <n v="1722"/>
    <n v="8768"/>
    <x v="11"/>
    <n v="3"/>
    <s v="MECANIZADO"/>
    <x v="1"/>
    <x v="1"/>
    <n v="1"/>
    <x v="11"/>
    <n v="4"/>
    <x v="1"/>
    <n v="12.66"/>
    <n v="584119.74"/>
    <d v="2026-04-27T17:19:24"/>
    <x v="11"/>
    <x v="14"/>
  </r>
  <r>
    <n v="1728"/>
    <n v="8768"/>
    <x v="14"/>
    <n v="3"/>
    <s v="MECANIZADO"/>
    <x v="1"/>
    <x v="1"/>
    <n v="1"/>
    <x v="11"/>
    <n v="4"/>
    <x v="1"/>
    <n v="8.6999999999999993"/>
    <n v="401417.99999999994"/>
    <d v="2026-04-27T17:19:24"/>
    <x v="14"/>
    <x v="14"/>
  </r>
  <r>
    <n v="1754"/>
    <n v="8768"/>
    <x v="26"/>
    <n v="3"/>
    <s v="MECANIZADO"/>
    <x v="1"/>
    <x v="1"/>
    <n v="1"/>
    <x v="11"/>
    <n v="4"/>
    <x v="1"/>
    <n v="1.07"/>
    <n v="49376.22"/>
    <d v="2026-04-27T17:19:24"/>
    <x v="26"/>
    <x v="14"/>
  </r>
  <r>
    <n v="1729"/>
    <n v="8768"/>
    <x v="14"/>
    <n v="3"/>
    <s v="MECANIZADO"/>
    <x v="1"/>
    <x v="1"/>
    <n v="1"/>
    <x v="12"/>
    <n v="4"/>
    <x v="1"/>
    <n v="13.3"/>
    <n v="613662"/>
    <d v="2026-04-28T04:49:44"/>
    <x v="14"/>
    <x v="15"/>
  </r>
  <r>
    <n v="1733"/>
    <n v="8768"/>
    <x v="24"/>
    <n v="3"/>
    <s v="MECANIZADO"/>
    <x v="1"/>
    <x v="1"/>
    <n v="1"/>
    <x v="12"/>
    <n v="4"/>
    <x v="1"/>
    <n v="3.35"/>
    <n v="154572.35"/>
    <d v="2026-04-28T04:49:44"/>
    <x v="24"/>
    <x v="15"/>
  </r>
  <r>
    <n v="1741"/>
    <n v="8831"/>
    <x v="22"/>
    <n v="3"/>
    <s v="MECANIZADO"/>
    <x v="1"/>
    <x v="1"/>
    <n v="1"/>
    <x v="13"/>
    <n v="4"/>
    <x v="1"/>
    <n v="13"/>
    <n v="599859"/>
    <d v="2026-05-03T08:07:41"/>
    <x v="22"/>
    <x v="16"/>
  </r>
  <r>
    <n v="1742"/>
    <n v="8831"/>
    <x v="27"/>
    <n v="3"/>
    <s v="MECANIZADO"/>
    <x v="1"/>
    <x v="1"/>
    <n v="1"/>
    <x v="13"/>
    <n v="4"/>
    <x v="1"/>
    <n v="3.85"/>
    <n v="177654.39999999999"/>
    <d v="2026-05-03T08:07:41"/>
    <x v="27"/>
    <x v="16"/>
  </r>
  <r>
    <n v="1745"/>
    <n v="8831"/>
    <x v="25"/>
    <n v="3"/>
    <s v="MECANIZADO"/>
    <x v="1"/>
    <x v="1"/>
    <n v="1"/>
    <x v="13"/>
    <n v="4"/>
    <x v="1"/>
    <n v="2.3199999999999998"/>
    <n v="107056.4"/>
    <d v="2026-05-03T08:07:41"/>
    <x v="25"/>
    <x v="16"/>
  </r>
  <r>
    <n v="1752"/>
    <n v="8831"/>
    <x v="26"/>
    <n v="3"/>
    <s v="MECANIZADO"/>
    <x v="1"/>
    <x v="1"/>
    <n v="1"/>
    <x v="13"/>
    <n v="4"/>
    <x v="1"/>
    <n v="9.1999999999999993"/>
    <n v="424543.19999999995"/>
    <d v="2026-05-03T08:07:41"/>
    <x v="26"/>
    <x v="16"/>
  </r>
  <r>
    <n v="1794"/>
    <n v="8831"/>
    <x v="4"/>
    <n v="3"/>
    <s v="MECANIZADO"/>
    <x v="1"/>
    <x v="1"/>
    <n v="1"/>
    <x v="13"/>
    <n v="53"/>
    <x v="0"/>
    <n v="2.8"/>
    <n v="129225.59999999999"/>
    <d v="2026-05-03T08:07:41"/>
    <x v="4"/>
    <x v="16"/>
  </r>
  <r>
    <n v="1804"/>
    <n v="8831"/>
    <x v="6"/>
    <n v="3"/>
    <s v="MECANIZADO"/>
    <x v="1"/>
    <x v="1"/>
    <n v="1"/>
    <x v="13"/>
    <n v="53"/>
    <x v="0"/>
    <n v="1.34"/>
    <n v="61846.36"/>
    <d v="2026-05-03T08:07:41"/>
    <x v="6"/>
    <x v="16"/>
  </r>
  <r>
    <n v="1646"/>
    <n v="8499"/>
    <x v="7"/>
    <n v="3"/>
    <s v="MECANIZADO"/>
    <x v="1"/>
    <x v="1"/>
    <n v="1"/>
    <x v="14"/>
    <n v="4"/>
    <x v="1"/>
    <n v="3"/>
    <n v="138366"/>
    <d v="2026-04-14T11:02:57"/>
    <x v="7"/>
    <x v="17"/>
  </r>
  <r>
    <n v="1652"/>
    <n v="8499"/>
    <x v="9"/>
    <n v="3"/>
    <s v="MECANIZADO"/>
    <x v="1"/>
    <x v="1"/>
    <n v="1"/>
    <x v="14"/>
    <n v="4"/>
    <x v="1"/>
    <n v="4.9000000000000004"/>
    <n v="226007.6"/>
    <d v="2026-04-14T11:02:57"/>
    <x v="9"/>
    <x v="17"/>
  </r>
  <r>
    <n v="1657"/>
    <n v="8499"/>
    <x v="28"/>
    <n v="3"/>
    <s v="MECANIZADO"/>
    <x v="1"/>
    <x v="1"/>
    <n v="1"/>
    <x v="14"/>
    <n v="4"/>
    <x v="1"/>
    <n v="15.1"/>
    <n v="696487.5"/>
    <d v="2026-04-14T11:02:57"/>
    <x v="28"/>
    <x v="17"/>
  </r>
  <r>
    <n v="1660"/>
    <n v="8499"/>
    <x v="29"/>
    <n v="3"/>
    <s v="MECANIZADO"/>
    <x v="1"/>
    <x v="1"/>
    <n v="1"/>
    <x v="14"/>
    <n v="4"/>
    <x v="1"/>
    <n v="5.0999999999999996"/>
    <n v="235242.59999999998"/>
    <d v="2026-04-14T11:02:57"/>
    <x v="29"/>
    <x v="17"/>
  </r>
  <r>
    <n v="1665"/>
    <n v="8499"/>
    <x v="12"/>
    <n v="3"/>
    <s v="MECANIZADO"/>
    <x v="1"/>
    <x v="1"/>
    <n v="1"/>
    <x v="14"/>
    <n v="4"/>
    <x v="1"/>
    <n v="5.1100000000000003"/>
    <n v="235708.97"/>
    <d v="2026-04-14T11:02:57"/>
    <x v="12"/>
    <x v="17"/>
  </r>
  <r>
    <n v="1777"/>
    <n v="8499"/>
    <x v="23"/>
    <n v="3"/>
    <s v="MECANIZADO"/>
    <x v="1"/>
    <x v="1"/>
    <n v="1"/>
    <x v="14"/>
    <n v="53"/>
    <x v="0"/>
    <n v="2"/>
    <n v="92300"/>
    <d v="2026-04-14T11:02:57"/>
    <x v="23"/>
    <x v="17"/>
  </r>
  <r>
    <n v="1647"/>
    <n v="8499"/>
    <x v="7"/>
    <n v="3"/>
    <s v="MECANIZADO"/>
    <x v="1"/>
    <x v="1"/>
    <n v="1"/>
    <x v="15"/>
    <n v="4"/>
    <x v="1"/>
    <n v="2"/>
    <n v="92244"/>
    <d v="2026-04-15T00:10:31"/>
    <x v="7"/>
    <x v="18"/>
  </r>
  <r>
    <n v="1653"/>
    <n v="8499"/>
    <x v="9"/>
    <n v="3"/>
    <s v="MECANIZADO"/>
    <x v="1"/>
    <x v="1"/>
    <n v="1"/>
    <x v="15"/>
    <n v="4"/>
    <x v="1"/>
    <n v="5"/>
    <n v="230620"/>
    <d v="2026-04-15T00:10:31"/>
    <x v="9"/>
    <x v="18"/>
  </r>
  <r>
    <n v="1658"/>
    <n v="8499"/>
    <x v="28"/>
    <n v="3"/>
    <s v="MECANIZADO"/>
    <x v="1"/>
    <x v="1"/>
    <n v="1"/>
    <x v="15"/>
    <n v="4"/>
    <x v="1"/>
    <n v="8.1"/>
    <n v="373612.5"/>
    <d v="2026-04-15T00:10:31"/>
    <x v="28"/>
    <x v="18"/>
  </r>
  <r>
    <n v="1661"/>
    <n v="8499"/>
    <x v="29"/>
    <n v="3"/>
    <s v="MECANIZADO"/>
    <x v="1"/>
    <x v="1"/>
    <n v="1"/>
    <x v="15"/>
    <n v="4"/>
    <x v="1"/>
    <n v="4.57"/>
    <n v="210795.82"/>
    <d v="2026-04-15T00:10:31"/>
    <x v="29"/>
    <x v="18"/>
  </r>
  <r>
    <n v="1666"/>
    <n v="8499"/>
    <x v="12"/>
    <n v="3"/>
    <s v="MECANIZADO"/>
    <x v="1"/>
    <x v="1"/>
    <n v="1"/>
    <x v="15"/>
    <n v="4"/>
    <x v="1"/>
    <n v="9.8000000000000007"/>
    <n v="452044.60000000003"/>
    <d v="2026-04-15T00:10:31"/>
    <x v="12"/>
    <x v="18"/>
  </r>
  <r>
    <n v="1778"/>
    <n v="8499"/>
    <x v="23"/>
    <n v="3"/>
    <s v="MECANIZADO"/>
    <x v="1"/>
    <x v="1"/>
    <n v="1"/>
    <x v="15"/>
    <n v="53"/>
    <x v="0"/>
    <n v="2"/>
    <n v="92300"/>
    <d v="2026-04-15T00:10:31"/>
    <x v="23"/>
    <x v="18"/>
  </r>
  <r>
    <n v="1659"/>
    <n v="8499"/>
    <x v="28"/>
    <n v="3"/>
    <s v="MECANIZADO"/>
    <x v="1"/>
    <x v="1"/>
    <n v="1"/>
    <x v="16"/>
    <n v="4"/>
    <x v="1"/>
    <n v="2.52"/>
    <n v="116235"/>
    <d v="2026-04-17T05:50:42"/>
    <x v="28"/>
    <x v="19"/>
  </r>
  <r>
    <n v="1662"/>
    <n v="8499"/>
    <x v="29"/>
    <n v="3"/>
    <s v="MECANIZADO"/>
    <x v="1"/>
    <x v="1"/>
    <n v="1"/>
    <x v="16"/>
    <n v="4"/>
    <x v="1"/>
    <n v="13.2"/>
    <n v="608863.19999999995"/>
    <d v="2026-04-17T05:50:42"/>
    <x v="29"/>
    <x v="19"/>
  </r>
  <r>
    <n v="1667"/>
    <n v="8499"/>
    <x v="12"/>
    <n v="3"/>
    <s v="MECANIZADO"/>
    <x v="1"/>
    <x v="1"/>
    <n v="1"/>
    <x v="16"/>
    <n v="4"/>
    <x v="1"/>
    <n v="4.09"/>
    <n v="188659.43"/>
    <d v="2026-04-17T05:50:42"/>
    <x v="12"/>
    <x v="19"/>
  </r>
  <r>
    <n v="1779"/>
    <n v="8499"/>
    <x v="23"/>
    <n v="3"/>
    <s v="MECANIZADO"/>
    <x v="1"/>
    <x v="1"/>
    <n v="1"/>
    <x v="16"/>
    <n v="53"/>
    <x v="0"/>
    <n v="3.02"/>
    <n v="139373"/>
    <d v="2026-04-17T05:50:42"/>
    <x v="23"/>
    <x v="19"/>
  </r>
  <r>
    <n v="1743"/>
    <n v="8831"/>
    <x v="27"/>
    <n v="3"/>
    <s v="MECANIZADO"/>
    <x v="1"/>
    <x v="1"/>
    <n v="1"/>
    <x v="17"/>
    <n v="4"/>
    <x v="1"/>
    <n v="18"/>
    <n v="830592"/>
    <d v="2026-05-02T08:23:35"/>
    <x v="27"/>
    <x v="20"/>
  </r>
  <r>
    <n v="1744"/>
    <n v="8831"/>
    <x v="25"/>
    <n v="3"/>
    <s v="MECANIZADO"/>
    <x v="1"/>
    <x v="1"/>
    <n v="1"/>
    <x v="17"/>
    <n v="4"/>
    <x v="1"/>
    <n v="9.68"/>
    <n v="446683.6"/>
    <d v="2026-05-02T08:23:35"/>
    <x v="25"/>
    <x v="20"/>
  </r>
  <r>
    <n v="1758"/>
    <n v="8831"/>
    <x v="17"/>
    <n v="3"/>
    <s v="MECANIZADO"/>
    <x v="1"/>
    <x v="1"/>
    <n v="1"/>
    <x v="18"/>
    <n v="4"/>
    <x v="1"/>
    <n v="6"/>
    <n v="276882"/>
    <d v="2026-05-05T17:34:04"/>
    <x v="17"/>
    <x v="21"/>
  </r>
  <r>
    <n v="1763"/>
    <n v="8831"/>
    <x v="18"/>
    <n v="3"/>
    <s v="MECANIZADO"/>
    <x v="1"/>
    <x v="1"/>
    <n v="1"/>
    <x v="18"/>
    <n v="4"/>
    <x v="1"/>
    <n v="10"/>
    <n v="461480"/>
    <d v="2026-05-05T17:34:04"/>
    <x v="18"/>
    <x v="21"/>
  </r>
  <r>
    <n v="1766"/>
    <n v="8831"/>
    <x v="19"/>
    <n v="3"/>
    <s v="MECANIZADO"/>
    <x v="1"/>
    <x v="1"/>
    <n v="1"/>
    <x v="18"/>
    <n v="53"/>
    <x v="0"/>
    <n v="1.35"/>
    <n v="62301.15"/>
    <d v="2026-05-05T17:34:04"/>
    <x v="19"/>
    <x v="21"/>
  </r>
  <r>
    <n v="1764"/>
    <n v="8831"/>
    <x v="18"/>
    <n v="3"/>
    <s v="MECANIZADO"/>
    <x v="1"/>
    <x v="1"/>
    <n v="1"/>
    <x v="19"/>
    <n v="4"/>
    <x v="1"/>
    <n v="4.37"/>
    <n v="201666.76"/>
    <d v="2026-05-07T06:15:12"/>
    <x v="18"/>
    <x v="22"/>
  </r>
  <r>
    <n v="1767"/>
    <n v="8831"/>
    <x v="19"/>
    <n v="3"/>
    <s v="MECANIZADO"/>
    <x v="1"/>
    <x v="1"/>
    <n v="1"/>
    <x v="19"/>
    <n v="53"/>
    <x v="0"/>
    <n v="10"/>
    <n v="461490"/>
    <d v="2026-05-07T06:15:12"/>
    <x v="19"/>
    <x v="22"/>
  </r>
  <r>
    <n v="1783"/>
    <n v="8831"/>
    <x v="23"/>
    <n v="3"/>
    <s v="MECANIZADO"/>
    <x v="1"/>
    <x v="1"/>
    <n v="1"/>
    <x v="19"/>
    <n v="53"/>
    <x v="0"/>
    <n v="2.86"/>
    <n v="131989"/>
    <d v="2026-05-07T06:15:12"/>
    <x v="23"/>
    <x v="22"/>
  </r>
  <r>
    <n v="1800"/>
    <n v="8831"/>
    <x v="4"/>
    <n v="3"/>
    <s v="MECANIZADO"/>
    <x v="1"/>
    <x v="1"/>
    <n v="1"/>
    <x v="19"/>
    <n v="53"/>
    <x v="0"/>
    <n v="2.19"/>
    <n v="101072.88"/>
    <d v="2026-05-07T06:15:12"/>
    <x v="4"/>
    <x v="22"/>
  </r>
  <r>
    <n v="1768"/>
    <n v="8831"/>
    <x v="19"/>
    <n v="3"/>
    <s v="MECANIZADO"/>
    <x v="1"/>
    <x v="1"/>
    <n v="1"/>
    <x v="20"/>
    <n v="53"/>
    <x v="0"/>
    <n v="8.66"/>
    <n v="399650.34"/>
    <d v="2026-05-08T05:21:22"/>
    <x v="19"/>
    <x v="23"/>
  </r>
  <r>
    <n v="1784"/>
    <n v="8831"/>
    <x v="20"/>
    <n v="3"/>
    <s v="MECANIZADO"/>
    <x v="1"/>
    <x v="1"/>
    <n v="1"/>
    <x v="20"/>
    <n v="53"/>
    <x v="0"/>
    <n v="13.59"/>
    <n v="627192.09"/>
    <d v="2026-05-08T05:21:22"/>
    <x v="20"/>
    <x v="23"/>
  </r>
  <r>
    <n v="1797"/>
    <n v="8831"/>
    <x v="4"/>
    <n v="3"/>
    <s v="MECANIZADO"/>
    <x v="1"/>
    <x v="1"/>
    <n v="1"/>
    <x v="20"/>
    <n v="53"/>
    <x v="0"/>
    <n v="0.02"/>
    <n v="923.04"/>
    <d v="2026-05-08T05:21:22"/>
    <x v="4"/>
    <x v="23"/>
  </r>
  <r>
    <n v="1721"/>
    <n v="8751"/>
    <x v="11"/>
    <n v="3"/>
    <s v="MECANIZADO"/>
    <x v="2"/>
    <x v="2"/>
    <n v="1"/>
    <x v="5"/>
    <n v="45"/>
    <x v="2"/>
    <n v="13.07"/>
    <n v="603036.73"/>
    <d v="2026-04-27T11:58:04"/>
    <x v="11"/>
    <x v="24"/>
  </r>
  <r>
    <n v="1725"/>
    <n v="8751"/>
    <x v="14"/>
    <n v="3"/>
    <s v="MECANIZADO"/>
    <x v="2"/>
    <x v="2"/>
    <n v="1"/>
    <x v="5"/>
    <n v="45"/>
    <x v="2"/>
    <n v="13"/>
    <n v="599820"/>
    <d v="2026-04-27T11:58:04"/>
    <x v="14"/>
    <x v="24"/>
  </r>
  <r>
    <n v="1726"/>
    <n v="8751"/>
    <x v="14"/>
    <n v="3"/>
    <s v="MECANIZADO"/>
    <x v="2"/>
    <x v="2"/>
    <n v="1"/>
    <x v="8"/>
    <n v="45"/>
    <x v="2"/>
    <n v="11.65"/>
    <n v="537531"/>
    <d v="2026-04-28T00:00:00"/>
    <x v="14"/>
    <x v="25"/>
  </r>
  <r>
    <n v="1786"/>
    <n v="8923"/>
    <x v="20"/>
    <n v="3"/>
    <s v="MECANIZADO"/>
    <x v="3"/>
    <x v="3"/>
    <n v="1"/>
    <x v="0"/>
    <n v="53"/>
    <x v="0"/>
    <n v="1.1499999999999999"/>
    <n v="53073.649999999994"/>
    <d v="2026-05-09T00:00:00"/>
    <x v="20"/>
    <x v="26"/>
  </r>
  <r>
    <n v="1787"/>
    <n v="8923"/>
    <x v="20"/>
    <n v="3"/>
    <s v="MECANIZADO"/>
    <x v="3"/>
    <x v="3"/>
    <n v="1"/>
    <x v="1"/>
    <n v="53"/>
    <x v="0"/>
    <n v="4.08"/>
    <n v="188296.08000000002"/>
    <d v="2026-05-09T00:00:00"/>
    <x v="20"/>
    <x v="26"/>
  </r>
  <r>
    <n v="1788"/>
    <n v="8923"/>
    <x v="20"/>
    <n v="3"/>
    <s v="MECANIZADO"/>
    <x v="3"/>
    <x v="3"/>
    <n v="1"/>
    <x v="2"/>
    <n v="53"/>
    <x v="0"/>
    <n v="5.17"/>
    <n v="238600.66999999998"/>
    <d v="2026-05-09T00:00:00"/>
    <x v="20"/>
    <x v="26"/>
  </r>
  <r>
    <n v="1819"/>
    <n v="9087"/>
    <x v="30"/>
    <n v="3"/>
    <s v="MECANIZADO"/>
    <x v="4"/>
    <x v="4"/>
    <n v="1"/>
    <x v="0"/>
    <n v="53"/>
    <x v="0"/>
    <n v="2.17"/>
    <n v="100165.03"/>
    <d v="2026-05-17T00:00:00"/>
    <x v="30"/>
    <x v="27"/>
  </r>
  <r>
    <n v="1805"/>
    <n v="8949"/>
    <x v="6"/>
    <n v="3"/>
    <s v="MECANIZADO"/>
    <x v="5"/>
    <x v="5"/>
    <n v="1"/>
    <x v="0"/>
    <n v="53"/>
    <x v="0"/>
    <n v="10.09"/>
    <n v="465693.86"/>
    <d v="2026-05-12T00:00:00"/>
    <x v="6"/>
    <x v="28"/>
  </r>
  <r>
    <n v="1791"/>
    <n v="8953"/>
    <x v="4"/>
    <n v="3"/>
    <s v="MECANIZADO"/>
    <x v="6"/>
    <x v="6"/>
    <n v="1"/>
    <x v="0"/>
    <n v="53"/>
    <x v="0"/>
    <n v="16.04"/>
    <n v="740278.08"/>
    <d v="2026-05-10T17:38:16"/>
    <x v="4"/>
    <x v="29"/>
  </r>
  <r>
    <n v="1798"/>
    <n v="8953"/>
    <x v="5"/>
    <n v="3"/>
    <s v="MECANIZADO"/>
    <x v="6"/>
    <x v="6"/>
    <n v="1"/>
    <x v="0"/>
    <n v="53"/>
    <x v="0"/>
    <n v="27.43"/>
    <n v="1265976.79"/>
    <d v="2026-05-10T17:38:16"/>
    <x v="5"/>
    <x v="29"/>
  </r>
  <r>
    <n v="1801"/>
    <n v="8953"/>
    <x v="6"/>
    <n v="3"/>
    <s v="MECANIZADO"/>
    <x v="6"/>
    <x v="6"/>
    <n v="1"/>
    <x v="0"/>
    <n v="53"/>
    <x v="0"/>
    <n v="3.57"/>
    <n v="164769.78"/>
    <d v="2026-05-10T17:38:16"/>
    <x v="6"/>
    <x v="29"/>
  </r>
  <r>
    <n v="1802"/>
    <n v="8953"/>
    <x v="6"/>
    <n v="3"/>
    <s v="MECANIZADO"/>
    <x v="6"/>
    <x v="6"/>
    <n v="1"/>
    <x v="1"/>
    <n v="53"/>
    <x v="0"/>
    <n v="22.45"/>
    <n v="1036157.2999999999"/>
    <d v="2026-05-12T06:44:31"/>
    <x v="6"/>
    <x v="30"/>
  </r>
  <r>
    <n v="1807"/>
    <n v="8953"/>
    <x v="0"/>
    <n v="3"/>
    <s v="MECANIZADO"/>
    <x v="6"/>
    <x v="6"/>
    <n v="1"/>
    <x v="1"/>
    <n v="53"/>
    <x v="0"/>
    <n v="8.77"/>
    <n v="404779.35"/>
    <d v="2026-05-12T06:44:31"/>
    <x v="0"/>
    <x v="30"/>
  </r>
  <r>
    <n v="1616"/>
    <n v="8469"/>
    <x v="31"/>
    <n v="3"/>
    <s v="MECANIZADO"/>
    <x v="7"/>
    <x v="7"/>
    <n v="1"/>
    <x v="9"/>
    <n v="4"/>
    <x v="1"/>
    <n v="6"/>
    <n v="276684"/>
    <d v="2026-04-04T12:09:49"/>
    <x v="31"/>
    <x v="31"/>
  </r>
  <r>
    <n v="1619"/>
    <n v="8469"/>
    <x v="32"/>
    <n v="3"/>
    <s v="MECANIZADO"/>
    <x v="7"/>
    <x v="7"/>
    <n v="1"/>
    <x v="9"/>
    <n v="4"/>
    <x v="1"/>
    <n v="14"/>
    <n v="645610"/>
    <d v="2026-04-04T12:09:49"/>
    <x v="32"/>
    <x v="31"/>
  </r>
  <r>
    <n v="1621"/>
    <n v="8469"/>
    <x v="33"/>
    <n v="3"/>
    <s v="MECANIZADO"/>
    <x v="7"/>
    <x v="7"/>
    <n v="1"/>
    <x v="9"/>
    <n v="4"/>
    <x v="1"/>
    <n v="10"/>
    <n v="461160"/>
    <d v="2026-04-04T12:09:49"/>
    <x v="33"/>
    <x v="31"/>
  </r>
  <r>
    <n v="1636"/>
    <n v="8469"/>
    <x v="34"/>
    <n v="3"/>
    <s v="MECANIZADO"/>
    <x v="7"/>
    <x v="7"/>
    <n v="1"/>
    <x v="9"/>
    <n v="4"/>
    <x v="1"/>
    <n v="5.75"/>
    <n v="265178.5"/>
    <d v="2026-04-04T12:09:49"/>
    <x v="34"/>
    <x v="31"/>
  </r>
  <r>
    <n v="1638"/>
    <n v="8469"/>
    <x v="35"/>
    <n v="3"/>
    <s v="MECANIZADO"/>
    <x v="7"/>
    <x v="7"/>
    <n v="1"/>
    <x v="9"/>
    <n v="4"/>
    <x v="1"/>
    <n v="4.2699999999999996"/>
    <n v="196928.12999999998"/>
    <d v="2026-04-04T12:09:49"/>
    <x v="35"/>
    <x v="31"/>
  </r>
  <r>
    <n v="1640"/>
    <n v="8469"/>
    <x v="7"/>
    <n v="3"/>
    <s v="MECANIZADO"/>
    <x v="7"/>
    <x v="7"/>
    <n v="1"/>
    <x v="9"/>
    <n v="4"/>
    <x v="1"/>
    <n v="4"/>
    <n v="184488"/>
    <d v="2026-04-04T12:09:49"/>
    <x v="7"/>
    <x v="31"/>
  </r>
  <r>
    <n v="1558"/>
    <n v="8300"/>
    <x v="36"/>
    <n v="3"/>
    <s v="MECANIZADO"/>
    <x v="7"/>
    <x v="7"/>
    <n v="1"/>
    <x v="10"/>
    <n v="4"/>
    <x v="1"/>
    <n v="5.0199999999999996"/>
    <n v="231401.91999999998"/>
    <d v="2026-03-31T04:10:36"/>
    <x v="36"/>
    <x v="32"/>
  </r>
  <r>
    <n v="1560"/>
    <n v="8300"/>
    <x v="37"/>
    <n v="3"/>
    <s v="MECANIZADO"/>
    <x v="7"/>
    <x v="7"/>
    <n v="1"/>
    <x v="10"/>
    <n v="4"/>
    <x v="1"/>
    <n v="4"/>
    <n v="184388"/>
    <d v="2026-03-31T04:10:36"/>
    <x v="37"/>
    <x v="32"/>
  </r>
  <r>
    <n v="1617"/>
    <n v="8469"/>
    <x v="31"/>
    <n v="3"/>
    <s v="MECANIZADO"/>
    <x v="7"/>
    <x v="7"/>
    <n v="1"/>
    <x v="10"/>
    <n v="4"/>
    <x v="1"/>
    <n v="7.47"/>
    <n v="344471.58"/>
    <d v="2026-03-31T04:10:36"/>
    <x v="31"/>
    <x v="32"/>
  </r>
  <r>
    <n v="1620"/>
    <n v="8469"/>
    <x v="32"/>
    <n v="3"/>
    <s v="MECANIZADO"/>
    <x v="7"/>
    <x v="7"/>
    <n v="1"/>
    <x v="10"/>
    <n v="4"/>
    <x v="1"/>
    <n v="14.03"/>
    <n v="646993.44999999995"/>
    <d v="2026-03-31T04:10:36"/>
    <x v="32"/>
    <x v="32"/>
  </r>
  <r>
    <n v="1622"/>
    <n v="8469"/>
    <x v="33"/>
    <n v="3"/>
    <s v="MECANIZADO"/>
    <x v="7"/>
    <x v="7"/>
    <n v="1"/>
    <x v="10"/>
    <n v="4"/>
    <x v="1"/>
    <n v="15.35"/>
    <n v="707880.6"/>
    <d v="2026-03-31T04:10:36"/>
    <x v="33"/>
    <x v="32"/>
  </r>
  <r>
    <n v="1628"/>
    <n v="8469"/>
    <x v="38"/>
    <n v="3"/>
    <s v="MECANIZADO"/>
    <x v="7"/>
    <x v="7"/>
    <n v="1"/>
    <x v="10"/>
    <n v="4"/>
    <x v="1"/>
    <n v="6.19"/>
    <n v="285464.23000000004"/>
    <d v="2026-03-31T04:10:36"/>
    <x v="38"/>
    <x v="32"/>
  </r>
  <r>
    <n v="1553"/>
    <n v="8277"/>
    <x v="39"/>
    <n v="3"/>
    <s v="MECANIZADO"/>
    <x v="7"/>
    <x v="7"/>
    <n v="1"/>
    <x v="11"/>
    <n v="4"/>
    <x v="1"/>
    <n v="4.92"/>
    <n v="226748.04"/>
    <d v="2026-03-07T12:30:29"/>
    <x v="39"/>
    <x v="33"/>
  </r>
  <r>
    <n v="1554"/>
    <n v="8277"/>
    <x v="40"/>
    <n v="3"/>
    <s v="MECANIZADO"/>
    <x v="7"/>
    <x v="7"/>
    <n v="1"/>
    <x v="11"/>
    <n v="4"/>
    <x v="1"/>
    <n v="25.64"/>
    <n v="1181696.32"/>
    <d v="2026-03-07T12:30:29"/>
    <x v="40"/>
    <x v="33"/>
  </r>
  <r>
    <n v="1555"/>
    <n v="8277"/>
    <x v="41"/>
    <n v="3"/>
    <s v="MECANIZADO"/>
    <x v="7"/>
    <x v="7"/>
    <n v="1"/>
    <x v="11"/>
    <n v="4"/>
    <x v="1"/>
    <n v="29.17"/>
    <n v="1344416.1300000001"/>
    <d v="2026-03-07T12:30:29"/>
    <x v="41"/>
    <x v="33"/>
  </r>
  <r>
    <n v="1618"/>
    <n v="8469"/>
    <x v="31"/>
    <n v="3"/>
    <s v="MECANIZADO"/>
    <x v="7"/>
    <x v="7"/>
    <n v="1"/>
    <x v="11"/>
    <n v="4"/>
    <x v="1"/>
    <n v="0.27"/>
    <n v="12450.78"/>
    <d v="2026-03-07T12:30:29"/>
    <x v="31"/>
    <x v="33"/>
  </r>
  <r>
    <n v="1549"/>
    <n v="8277"/>
    <x v="42"/>
    <n v="3"/>
    <s v="MECANIZADO"/>
    <x v="7"/>
    <x v="7"/>
    <n v="1"/>
    <x v="12"/>
    <n v="4"/>
    <x v="1"/>
    <n v="21.95"/>
    <n v="1011565.75"/>
    <d v="2026-03-04T09:08:23"/>
    <x v="42"/>
    <x v="34"/>
  </r>
  <r>
    <n v="1550"/>
    <n v="8277"/>
    <x v="43"/>
    <n v="3"/>
    <s v="MECANIZADO"/>
    <x v="7"/>
    <x v="7"/>
    <n v="1"/>
    <x v="12"/>
    <n v="4"/>
    <x v="1"/>
    <n v="13.5"/>
    <n v="622161"/>
    <d v="2026-03-04T09:08:23"/>
    <x v="43"/>
    <x v="34"/>
  </r>
  <r>
    <n v="1542"/>
    <n v="8266"/>
    <x v="44"/>
    <n v="3"/>
    <s v="MECANIZADO"/>
    <x v="7"/>
    <x v="7"/>
    <n v="1"/>
    <x v="13"/>
    <n v="70"/>
    <x v="3"/>
    <n v="14.1"/>
    <n v="649756.19999999995"/>
    <d v="2026-03-01T21:41:36"/>
    <x v="44"/>
    <x v="35"/>
  </r>
  <r>
    <n v="1544"/>
    <n v="8266"/>
    <x v="45"/>
    <n v="3"/>
    <s v="MECANIZADO"/>
    <x v="7"/>
    <x v="7"/>
    <n v="1"/>
    <x v="13"/>
    <n v="70"/>
    <x v="3"/>
    <n v="10.46"/>
    <n v="482028.18000000005"/>
    <d v="2026-03-01T21:41:36"/>
    <x v="45"/>
    <x v="35"/>
  </r>
  <r>
    <n v="1546"/>
    <n v="8266"/>
    <x v="46"/>
    <n v="3"/>
    <s v="MECANIZADO"/>
    <x v="7"/>
    <x v="7"/>
    <n v="1"/>
    <x v="13"/>
    <n v="57"/>
    <x v="4"/>
    <n v="10.71"/>
    <n v="493559.64"/>
    <d v="2026-03-01T21:41:36"/>
    <x v="46"/>
    <x v="35"/>
  </r>
  <r>
    <n v="1543"/>
    <n v="8266"/>
    <x v="44"/>
    <n v="3"/>
    <s v="MECANIZADO"/>
    <x v="7"/>
    <x v="7"/>
    <n v="1"/>
    <x v="21"/>
    <n v="70"/>
    <x v="3"/>
    <n v="9"/>
    <n v="414738"/>
    <d v="2026-03-02T04:35:07"/>
    <x v="44"/>
    <x v="36"/>
  </r>
  <r>
    <n v="1545"/>
    <n v="8266"/>
    <x v="45"/>
    <n v="3"/>
    <s v="MECANIZADO"/>
    <x v="7"/>
    <x v="7"/>
    <n v="1"/>
    <x v="21"/>
    <n v="70"/>
    <x v="3"/>
    <n v="16"/>
    <n v="737328"/>
    <d v="2026-03-02T04:35:07"/>
    <x v="45"/>
    <x v="36"/>
  </r>
  <r>
    <n v="1547"/>
    <n v="8266"/>
    <x v="46"/>
    <n v="3"/>
    <s v="MECANIZADO"/>
    <x v="7"/>
    <x v="7"/>
    <n v="1"/>
    <x v="21"/>
    <n v="57"/>
    <x v="4"/>
    <n v="17.03"/>
    <n v="784810.52"/>
    <d v="2026-03-02T04:35:07"/>
    <x v="46"/>
    <x v="36"/>
  </r>
  <r>
    <n v="1548"/>
    <n v="8266"/>
    <x v="46"/>
    <n v="3"/>
    <s v="MECANIZADO"/>
    <x v="7"/>
    <x v="7"/>
    <n v="1"/>
    <x v="22"/>
    <n v="57"/>
    <x v="4"/>
    <n v="3.97"/>
    <n v="182953.48"/>
    <d v="2026-03-06T04:45:06"/>
    <x v="46"/>
    <x v="37"/>
  </r>
  <r>
    <n v="1551"/>
    <n v="8266"/>
    <x v="43"/>
    <n v="3"/>
    <s v="MECANIZADO"/>
    <x v="7"/>
    <x v="7"/>
    <n v="1"/>
    <x v="22"/>
    <n v="4"/>
    <x v="1"/>
    <n v="10.7"/>
    <n v="493120.19999999995"/>
    <d v="2026-03-06T04:45:06"/>
    <x v="43"/>
    <x v="37"/>
  </r>
  <r>
    <n v="1552"/>
    <n v="8266"/>
    <x v="39"/>
    <n v="3"/>
    <s v="MECANIZADO"/>
    <x v="7"/>
    <x v="7"/>
    <n v="1"/>
    <x v="22"/>
    <n v="4"/>
    <x v="1"/>
    <n v="20"/>
    <n v="921740"/>
    <d v="2026-03-06T04:45:06"/>
    <x v="39"/>
    <x v="37"/>
  </r>
  <r>
    <n v="1557"/>
    <n v="8266"/>
    <x v="47"/>
    <n v="3"/>
    <s v="MECANIZADO"/>
    <x v="7"/>
    <x v="7"/>
    <n v="1"/>
    <x v="22"/>
    <n v="4"/>
    <x v="1"/>
    <n v="5.08"/>
    <n v="234152.44"/>
    <d v="2026-03-06T04:45:06"/>
    <x v="47"/>
    <x v="37"/>
  </r>
  <r>
    <n v="1559"/>
    <n v="8300"/>
    <x v="36"/>
    <n v="3"/>
    <s v="MECANIZADO"/>
    <x v="7"/>
    <x v="7"/>
    <n v="1"/>
    <x v="23"/>
    <n v="4"/>
    <x v="1"/>
    <n v="5.0999999999999996"/>
    <n v="235089.59999999998"/>
    <d v="2026-03-29T17:21:47"/>
    <x v="36"/>
    <x v="38"/>
  </r>
  <r>
    <n v="1561"/>
    <n v="8300"/>
    <x v="37"/>
    <n v="3"/>
    <s v="MECANIZADO"/>
    <x v="7"/>
    <x v="7"/>
    <n v="1"/>
    <x v="23"/>
    <n v="4"/>
    <x v="1"/>
    <n v="10.65"/>
    <n v="490933.05"/>
    <d v="2026-03-29T17:21:47"/>
    <x v="37"/>
    <x v="38"/>
  </r>
  <r>
    <n v="1629"/>
    <n v="8469"/>
    <x v="38"/>
    <n v="3"/>
    <s v="MECANIZADO"/>
    <x v="7"/>
    <x v="7"/>
    <n v="1"/>
    <x v="23"/>
    <n v="4"/>
    <x v="1"/>
    <n v="18.63"/>
    <n v="859159.71"/>
    <d v="2026-03-29T17:21:47"/>
    <x v="38"/>
    <x v="38"/>
  </r>
  <r>
    <n v="1637"/>
    <n v="8469"/>
    <x v="34"/>
    <n v="3"/>
    <s v="MECANIZADO"/>
    <x v="7"/>
    <x v="7"/>
    <n v="1"/>
    <x v="23"/>
    <n v="4"/>
    <x v="1"/>
    <n v="8"/>
    <n v="368944"/>
    <d v="2026-03-29T17:21:47"/>
    <x v="34"/>
    <x v="38"/>
  </r>
  <r>
    <n v="1639"/>
    <n v="8469"/>
    <x v="35"/>
    <n v="3"/>
    <s v="MECANIZADO"/>
    <x v="7"/>
    <x v="7"/>
    <n v="1"/>
    <x v="23"/>
    <n v="4"/>
    <x v="1"/>
    <n v="5.57"/>
    <n v="256882.83000000002"/>
    <d v="2026-03-29T17:21:47"/>
    <x v="35"/>
    <x v="38"/>
  </r>
  <r>
    <n v="1648"/>
    <n v="8500"/>
    <x v="9"/>
    <n v="3"/>
    <s v="MECANIZADO"/>
    <x v="8"/>
    <x v="8"/>
    <n v="1"/>
    <x v="9"/>
    <n v="12"/>
    <x v="5"/>
    <n v="6"/>
    <n v="276744"/>
    <d v="2026-04-13T06:40:35"/>
    <x v="9"/>
    <x v="39"/>
  </r>
  <r>
    <n v="1656"/>
    <n v="8500"/>
    <x v="28"/>
    <n v="3"/>
    <s v="MECANIZADO"/>
    <x v="8"/>
    <x v="8"/>
    <n v="1"/>
    <x v="9"/>
    <n v="72"/>
    <x v="6"/>
    <n v="19.239999999999998"/>
    <n v="887444.99999999988"/>
    <d v="2026-04-13T06:40:35"/>
    <x v="28"/>
    <x v="39"/>
  </r>
  <r>
    <n v="1663"/>
    <n v="8500"/>
    <x v="29"/>
    <n v="3"/>
    <s v="MECANIZADO"/>
    <x v="8"/>
    <x v="8"/>
    <n v="1"/>
    <x v="9"/>
    <n v="72"/>
    <x v="6"/>
    <n v="18.04"/>
    <n v="832113.03999999992"/>
    <d v="2026-04-13T06:40:35"/>
    <x v="29"/>
    <x v="39"/>
  </r>
  <r>
    <n v="1641"/>
    <n v="8500"/>
    <x v="8"/>
    <n v="3"/>
    <s v="MECANIZADO"/>
    <x v="8"/>
    <x v="8"/>
    <n v="1"/>
    <x v="24"/>
    <n v="4"/>
    <x v="1"/>
    <n v="7.72"/>
    <n v="356069.56"/>
    <d v="2026-04-11T00:00:00"/>
    <x v="8"/>
    <x v="40"/>
  </r>
  <r>
    <n v="1655"/>
    <n v="8500"/>
    <x v="8"/>
    <n v="3"/>
    <s v="MECANIZADO"/>
    <x v="8"/>
    <x v="8"/>
    <n v="1"/>
    <x v="25"/>
    <n v="12"/>
    <x v="5"/>
    <n v="9.5399999999999991"/>
    <n v="440013.42"/>
    <d v="2026-04-12T17:21:40"/>
    <x v="8"/>
    <x v="41"/>
  </r>
  <r>
    <n v="1649"/>
    <n v="8500"/>
    <x v="9"/>
    <n v="3"/>
    <s v="MECANIZADO"/>
    <x v="8"/>
    <x v="8"/>
    <n v="1"/>
    <x v="25"/>
    <n v="12"/>
    <x v="5"/>
    <n v="14"/>
    <n v="645736"/>
    <d v="2026-04-12T17:21:40"/>
    <x v="9"/>
    <x v="41"/>
  </r>
  <r>
    <n v="1664"/>
    <n v="8500"/>
    <x v="12"/>
    <n v="3"/>
    <s v="MECANIZADO"/>
    <x v="8"/>
    <x v="8"/>
    <n v="1"/>
    <x v="25"/>
    <n v="12"/>
    <x v="5"/>
    <n v="11.67"/>
    <n v="538302.09"/>
    <d v="2026-04-12T17:21:40"/>
    <x v="12"/>
    <x v="41"/>
  </r>
  <r>
    <n v="1730"/>
    <n v="8752"/>
    <x v="24"/>
    <n v="3"/>
    <s v="MECANIZADO"/>
    <x v="9"/>
    <x v="9"/>
    <n v="1"/>
    <x v="0"/>
    <n v="9"/>
    <x v="7"/>
    <n v="23.76"/>
    <n v="1096310.1600000001"/>
    <d v="2026-04-29T14:02:40"/>
    <x v="24"/>
    <x v="42"/>
  </r>
  <r>
    <n v="1736"/>
    <n v="8752"/>
    <x v="21"/>
    <n v="3"/>
    <s v="MECANIZADO"/>
    <x v="9"/>
    <x v="9"/>
    <n v="1"/>
    <x v="0"/>
    <n v="9"/>
    <x v="7"/>
    <n v="13.77"/>
    <n v="635375.34"/>
    <d v="2026-04-29T14:02:40"/>
    <x v="21"/>
    <x v="42"/>
  </r>
  <r>
    <n v="1734"/>
    <n v="8752"/>
    <x v="22"/>
    <n v="3"/>
    <s v="MECANIZADO"/>
    <x v="9"/>
    <x v="9"/>
    <n v="1"/>
    <x v="0"/>
    <n v="9"/>
    <x v="7"/>
    <n v="5.79"/>
    <n v="267167.97000000003"/>
    <d v="2026-04-29T14:02:40"/>
    <x v="22"/>
    <x v="42"/>
  </r>
  <r>
    <n v="1735"/>
    <n v="8752"/>
    <x v="22"/>
    <n v="3"/>
    <s v="MECANIZADO"/>
    <x v="9"/>
    <x v="9"/>
    <n v="1"/>
    <x v="1"/>
    <n v="9"/>
    <x v="7"/>
    <n v="24.21"/>
    <n v="1117122.03"/>
    <d v="2026-05-02T01:34:15"/>
    <x v="22"/>
    <x v="43"/>
  </r>
  <r>
    <n v="1759"/>
    <n v="8752"/>
    <x v="17"/>
    <n v="3"/>
    <s v="MECANIZADO"/>
    <x v="9"/>
    <x v="9"/>
    <n v="1"/>
    <x v="1"/>
    <n v="9"/>
    <x v="7"/>
    <n v="8.7899999999999991"/>
    <n v="405632.12999999995"/>
    <d v="2026-05-02T01:34:15"/>
    <x v="17"/>
    <x v="43"/>
  </r>
  <r>
    <n v="1748"/>
    <n v="8752"/>
    <x v="25"/>
    <n v="3"/>
    <s v="MECANIZADO"/>
    <x v="9"/>
    <x v="9"/>
    <n v="1"/>
    <x v="2"/>
    <n v="9"/>
    <x v="7"/>
    <n v="14.1"/>
    <n v="650644.5"/>
    <d v="2026-05-03T23:09:19"/>
    <x v="25"/>
    <x v="44"/>
  </r>
  <r>
    <n v="1751"/>
    <n v="8752"/>
    <x v="26"/>
    <n v="3"/>
    <s v="MECANIZADO"/>
    <x v="9"/>
    <x v="9"/>
    <n v="1"/>
    <x v="2"/>
    <n v="9"/>
    <x v="7"/>
    <n v="22.18"/>
    <n v="1023518.28"/>
    <d v="2026-05-03T23:09:19"/>
    <x v="26"/>
    <x v="44"/>
  </r>
  <r>
    <n v="1760"/>
    <n v="8752"/>
    <x v="17"/>
    <n v="3"/>
    <s v="MECANIZADO"/>
    <x v="9"/>
    <x v="9"/>
    <n v="1"/>
    <x v="2"/>
    <n v="9"/>
    <x v="7"/>
    <n v="7.52"/>
    <n v="347025.44"/>
    <d v="2026-05-03T23:09:19"/>
    <x v="17"/>
    <x v="44"/>
  </r>
  <r>
    <n v="1770"/>
    <n v="8752"/>
    <x v="19"/>
    <n v="3"/>
    <s v="MECANIZADO"/>
    <x v="9"/>
    <x v="9"/>
    <n v="1"/>
    <x v="2"/>
    <n v="9"/>
    <x v="7"/>
    <n v="1.66"/>
    <n v="76607.34"/>
    <d v="2026-05-03T23:09:19"/>
    <x v="19"/>
    <x v="44"/>
  </r>
  <r>
    <n v="1749"/>
    <n v="8752"/>
    <x v="27"/>
    <n v="3"/>
    <s v="MECANIZADO"/>
    <x v="9"/>
    <x v="9"/>
    <n v="1"/>
    <x v="3"/>
    <n v="9"/>
    <x v="7"/>
    <n v="24.02"/>
    <n v="1108378.8799999999"/>
    <d v="2026-05-02T10:16:47"/>
    <x v="27"/>
    <x v="45"/>
  </r>
  <r>
    <n v="1747"/>
    <n v="8752"/>
    <x v="25"/>
    <n v="3"/>
    <s v="MECANIZADO"/>
    <x v="9"/>
    <x v="9"/>
    <n v="1"/>
    <x v="3"/>
    <n v="9"/>
    <x v="7"/>
    <n v="10"/>
    <n v="461450"/>
    <d v="2026-05-02T10:16:47"/>
    <x v="25"/>
    <x v="45"/>
  </r>
  <r>
    <n v="1771"/>
    <n v="8752"/>
    <x v="19"/>
    <n v="3"/>
    <s v="MECANIZADO"/>
    <x v="9"/>
    <x v="9"/>
    <n v="1"/>
    <x v="3"/>
    <n v="9"/>
    <x v="7"/>
    <n v="1"/>
    <n v="46149"/>
    <d v="2026-05-02T10:16:47"/>
    <x v="19"/>
    <x v="45"/>
  </r>
  <r>
    <n v="1761"/>
    <n v="8752"/>
    <x v="18"/>
    <n v="3"/>
    <s v="MECANIZADO"/>
    <x v="9"/>
    <x v="9"/>
    <n v="1"/>
    <x v="4"/>
    <n v="9"/>
    <x v="7"/>
    <n v="16.5"/>
    <n v="761442"/>
    <d v="2026-05-06T09:34:07"/>
    <x v="18"/>
    <x v="46"/>
  </r>
  <r>
    <n v="1772"/>
    <n v="8752"/>
    <x v="19"/>
    <n v="3"/>
    <s v="MECANIZADO"/>
    <x v="9"/>
    <x v="9"/>
    <n v="1"/>
    <x v="4"/>
    <n v="9"/>
    <x v="7"/>
    <n v="10.94"/>
    <n v="504870.06"/>
    <d v="2026-05-06T09:34:07"/>
    <x v="19"/>
    <x v="46"/>
  </r>
  <r>
    <n v="1714"/>
    <n v="8729"/>
    <x v="10"/>
    <n v="3"/>
    <s v="MECANIZADO"/>
    <x v="10"/>
    <x v="10"/>
    <n v="1"/>
    <x v="0"/>
    <n v="53"/>
    <x v="0"/>
    <n v="7.04"/>
    <n v="324804.47999999998"/>
    <d v="2026-04-25T17:26:55"/>
    <x v="10"/>
    <x v="47"/>
  </r>
  <r>
    <n v="1716"/>
    <n v="8729"/>
    <x v="15"/>
    <n v="3"/>
    <s v="MECANIZADO"/>
    <x v="10"/>
    <x v="10"/>
    <n v="1"/>
    <x v="0"/>
    <n v="53"/>
    <x v="0"/>
    <n v="18.75"/>
    <n v="865087.5"/>
    <d v="2026-04-25T17:26:55"/>
    <x v="15"/>
    <x v="47"/>
  </r>
  <r>
    <n v="1696"/>
    <n v="8729"/>
    <x v="48"/>
    <n v="3"/>
    <s v="MECANIZADO"/>
    <x v="10"/>
    <x v="10"/>
    <n v="1"/>
    <x v="2"/>
    <n v="18"/>
    <x v="8"/>
    <n v="7.81"/>
    <n v="360306.54"/>
    <d v="2026-04-22T18:38:03"/>
    <x v="48"/>
    <x v="48"/>
  </r>
  <r>
    <n v="1700"/>
    <n v="8729"/>
    <x v="49"/>
    <n v="3"/>
    <s v="MECANIZADO"/>
    <x v="10"/>
    <x v="10"/>
    <n v="1"/>
    <x v="2"/>
    <n v="53"/>
    <x v="0"/>
    <n v="14.69"/>
    <n v="677723.15"/>
    <d v="2026-04-22T18:38:03"/>
    <x v="49"/>
    <x v="48"/>
  </r>
  <r>
    <n v="1712"/>
    <n v="8729"/>
    <x v="10"/>
    <n v="3"/>
    <s v="MECANIZADO"/>
    <x v="10"/>
    <x v="10"/>
    <n v="1"/>
    <x v="2"/>
    <n v="53"/>
    <x v="0"/>
    <n v="1.25"/>
    <n v="57671.25"/>
    <d v="2026-04-22T18:38:03"/>
    <x v="10"/>
    <x v="48"/>
  </r>
  <r>
    <n v="1701"/>
    <n v="8729"/>
    <x v="49"/>
    <n v="3"/>
    <s v="MECANIZADO"/>
    <x v="10"/>
    <x v="10"/>
    <n v="1"/>
    <x v="3"/>
    <n v="53"/>
    <x v="0"/>
    <n v="10.029999999999999"/>
    <n v="462734.05"/>
    <d v="2026-04-23T00:00:00"/>
    <x v="49"/>
    <x v="49"/>
  </r>
  <r>
    <n v="1705"/>
    <n v="8729"/>
    <x v="49"/>
    <n v="3"/>
    <s v="MECANIZADO"/>
    <x v="10"/>
    <x v="10"/>
    <n v="1"/>
    <x v="5"/>
    <n v="53"/>
    <x v="0"/>
    <n v="1.71"/>
    <n v="78890.849999999991"/>
    <d v="2026-04-24T04:18:06"/>
    <x v="49"/>
    <x v="50"/>
  </r>
  <r>
    <n v="1711"/>
    <n v="8729"/>
    <x v="16"/>
    <n v="3"/>
    <s v="MECANIZADO"/>
    <x v="10"/>
    <x v="10"/>
    <n v="1"/>
    <x v="5"/>
    <n v="53"/>
    <x v="0"/>
    <n v="19.98"/>
    <n v="921797.28"/>
    <d v="2026-04-24T04:18:06"/>
    <x v="16"/>
    <x v="50"/>
  </r>
  <r>
    <n v="1713"/>
    <n v="8729"/>
    <x v="10"/>
    <n v="3"/>
    <s v="MECANIZADO"/>
    <x v="10"/>
    <x v="10"/>
    <n v="1"/>
    <x v="5"/>
    <n v="53"/>
    <x v="0"/>
    <n v="6.82"/>
    <n v="314654.34000000003"/>
    <d v="2026-04-24T04:18:06"/>
    <x v="10"/>
    <x v="50"/>
  </r>
  <r>
    <n v="1690"/>
    <n v="8729"/>
    <x v="50"/>
    <n v="3"/>
    <s v="MECANIZADO"/>
    <x v="10"/>
    <x v="10"/>
    <n v="1"/>
    <x v="6"/>
    <n v="18"/>
    <x v="8"/>
    <n v="5.65"/>
    <n v="260651.45"/>
    <d v="2026-04-21T17:04:16"/>
    <x v="50"/>
    <x v="51"/>
  </r>
  <r>
    <n v="1695"/>
    <n v="8729"/>
    <x v="48"/>
    <n v="3"/>
    <s v="MECANIZADO"/>
    <x v="10"/>
    <x v="10"/>
    <n v="1"/>
    <x v="6"/>
    <n v="18"/>
    <x v="8"/>
    <n v="13.92"/>
    <n v="642185.28"/>
    <d v="2026-04-21T17:04:16"/>
    <x v="48"/>
    <x v="51"/>
  </r>
  <r>
    <n v="1685"/>
    <n v="8648"/>
    <x v="51"/>
    <n v="3"/>
    <s v="MECANIZADO"/>
    <x v="10"/>
    <x v="10"/>
    <n v="1"/>
    <x v="7"/>
    <n v="18"/>
    <x v="8"/>
    <n v="10.35"/>
    <n v="477466.2"/>
    <d v="2026-04-20T15:35:49"/>
    <x v="51"/>
    <x v="52"/>
  </r>
  <r>
    <n v="1689"/>
    <n v="8648"/>
    <x v="50"/>
    <n v="3"/>
    <s v="MECANIZADO"/>
    <x v="10"/>
    <x v="10"/>
    <n v="1"/>
    <x v="7"/>
    <n v="18"/>
    <x v="8"/>
    <n v="12"/>
    <n v="553596"/>
    <d v="2026-04-20T15:35:49"/>
    <x v="50"/>
    <x v="52"/>
  </r>
  <r>
    <n v="1697"/>
    <n v="8648"/>
    <x v="48"/>
    <n v="3"/>
    <s v="MECANIZADO"/>
    <x v="10"/>
    <x v="10"/>
    <n v="1"/>
    <x v="7"/>
    <n v="18"/>
    <x v="8"/>
    <n v="1.87"/>
    <n v="86270.58"/>
    <d v="2026-04-20T15:35:49"/>
    <x v="48"/>
    <x v="52"/>
  </r>
  <r>
    <n v="1694"/>
    <n v="8648"/>
    <x v="50"/>
    <n v="3"/>
    <s v="MECANIZADO"/>
    <x v="10"/>
    <x v="10"/>
    <n v="1"/>
    <x v="8"/>
    <n v="18"/>
    <x v="8"/>
    <n v="3.71"/>
    <n v="171153.43"/>
    <d v="2026-04-22T08:42:39"/>
    <x v="50"/>
    <x v="53"/>
  </r>
  <r>
    <n v="1699"/>
    <n v="8648"/>
    <x v="48"/>
    <n v="3"/>
    <s v="MECANIZADO"/>
    <x v="10"/>
    <x v="10"/>
    <n v="1"/>
    <x v="8"/>
    <n v="18"/>
    <x v="8"/>
    <n v="16.100000000000001"/>
    <n v="742757.4"/>
    <d v="2026-04-22T08:42:39"/>
    <x v="48"/>
    <x v="53"/>
  </r>
  <r>
    <n v="1702"/>
    <n v="8648"/>
    <x v="49"/>
    <n v="3"/>
    <s v="MECANIZADO"/>
    <x v="10"/>
    <x v="10"/>
    <n v="1"/>
    <x v="8"/>
    <n v="53"/>
    <x v="0"/>
    <n v="17.11"/>
    <n v="789369.85"/>
    <d v="2026-04-22T08:42:39"/>
    <x v="49"/>
    <x v="53"/>
  </r>
  <r>
    <n v="1674"/>
    <n v="8648"/>
    <x v="52"/>
    <n v="3"/>
    <s v="MECANIZADO"/>
    <x v="10"/>
    <x v="10"/>
    <n v="1"/>
    <x v="9"/>
    <n v="18"/>
    <x v="8"/>
    <n v="17.2"/>
    <n v="793436"/>
    <d v="2026-04-18T00:00:00"/>
    <x v="52"/>
    <x v="54"/>
  </r>
  <r>
    <n v="1673"/>
    <n v="8648"/>
    <x v="53"/>
    <n v="3"/>
    <s v="MECANIZADO"/>
    <x v="10"/>
    <x v="10"/>
    <n v="1"/>
    <x v="10"/>
    <n v="18"/>
    <x v="8"/>
    <n v="21.28"/>
    <n v="981625.12"/>
    <d v="2026-04-17T05:48:20"/>
    <x v="53"/>
    <x v="55"/>
  </r>
  <r>
    <n v="1675"/>
    <n v="8648"/>
    <x v="52"/>
    <n v="3"/>
    <s v="MECANIZADO"/>
    <x v="10"/>
    <x v="10"/>
    <n v="1"/>
    <x v="10"/>
    <n v="18"/>
    <x v="8"/>
    <n v="6.79"/>
    <n v="313222.7"/>
    <d v="2026-04-17T05:48:20"/>
    <x v="52"/>
    <x v="55"/>
  </r>
  <r>
    <n v="1676"/>
    <n v="8648"/>
    <x v="52"/>
    <n v="3"/>
    <s v="MECANIZADO"/>
    <x v="10"/>
    <x v="10"/>
    <n v="1"/>
    <x v="11"/>
    <n v="18"/>
    <x v="8"/>
    <n v="1.21"/>
    <n v="55817.299999999996"/>
    <d v="2026-04-19T09:54:05"/>
    <x v="52"/>
    <x v="56"/>
  </r>
  <r>
    <n v="1683"/>
    <n v="8648"/>
    <x v="54"/>
    <n v="3"/>
    <s v="MECANIZADO"/>
    <x v="10"/>
    <x v="10"/>
    <n v="1"/>
    <x v="11"/>
    <n v="18"/>
    <x v="8"/>
    <n v="26.1"/>
    <n v="1204019.1000000001"/>
    <d v="2026-04-19T09:54:05"/>
    <x v="54"/>
    <x v="56"/>
  </r>
  <r>
    <n v="1691"/>
    <n v="8648"/>
    <x v="50"/>
    <n v="3"/>
    <s v="MECANIZADO"/>
    <x v="10"/>
    <x v="10"/>
    <n v="1"/>
    <x v="11"/>
    <n v="18"/>
    <x v="8"/>
    <n v="5.6"/>
    <n v="258344.8"/>
    <d v="2026-04-19T09:54:05"/>
    <x v="50"/>
    <x v="56"/>
  </r>
  <r>
    <n v="1703"/>
    <n v="8648"/>
    <x v="49"/>
    <n v="3"/>
    <s v="MECANIZADO"/>
    <x v="10"/>
    <x v="10"/>
    <n v="1"/>
    <x v="11"/>
    <n v="53"/>
    <x v="0"/>
    <n v="1"/>
    <n v="46135"/>
    <d v="2026-04-19T09:54:05"/>
    <x v="49"/>
    <x v="56"/>
  </r>
  <r>
    <n v="1684"/>
    <n v="8648"/>
    <x v="54"/>
    <n v="3"/>
    <s v="MECANIZADO"/>
    <x v="10"/>
    <x v="10"/>
    <n v="1"/>
    <x v="12"/>
    <n v="18"/>
    <x v="8"/>
    <n v="10.039999999999999"/>
    <n v="463155.23999999993"/>
    <d v="2026-04-19T21:14:38"/>
    <x v="54"/>
    <x v="57"/>
  </r>
  <r>
    <n v="1686"/>
    <n v="8648"/>
    <x v="51"/>
    <n v="3"/>
    <s v="MECANIZADO"/>
    <x v="10"/>
    <x v="10"/>
    <n v="1"/>
    <x v="12"/>
    <n v="18"/>
    <x v="8"/>
    <n v="8"/>
    <n v="369056"/>
    <d v="2026-04-19T21:14:38"/>
    <x v="51"/>
    <x v="57"/>
  </r>
  <r>
    <n v="1687"/>
    <n v="8648"/>
    <x v="51"/>
    <n v="3"/>
    <s v="MECANIZADO"/>
    <x v="10"/>
    <x v="10"/>
    <n v="1"/>
    <x v="12"/>
    <n v="18"/>
    <x v="8"/>
    <n v="17.059999999999999"/>
    <n v="787011.91999999993"/>
    <d v="2026-04-19T21:14:38"/>
    <x v="51"/>
    <x v="57"/>
  </r>
  <r>
    <n v="1693"/>
    <n v="8648"/>
    <x v="50"/>
    <n v="3"/>
    <s v="MECANIZADO"/>
    <x v="10"/>
    <x v="10"/>
    <n v="1"/>
    <x v="12"/>
    <n v="18"/>
    <x v="8"/>
    <n v="5.39"/>
    <n v="248656.87"/>
    <d v="2026-04-19T21:14:38"/>
    <x v="50"/>
    <x v="57"/>
  </r>
  <r>
    <n v="1688"/>
    <n v="8648"/>
    <x v="51"/>
    <n v="3"/>
    <s v="MECANIZADO"/>
    <x v="10"/>
    <x v="10"/>
    <n v="1"/>
    <x v="13"/>
    <n v="18"/>
    <x v="8"/>
    <n v="8"/>
    <n v="369056"/>
    <d v="2026-04-21T06:35:33"/>
    <x v="51"/>
    <x v="58"/>
  </r>
  <r>
    <n v="1692"/>
    <n v="8648"/>
    <x v="50"/>
    <n v="3"/>
    <s v="MECANIZADO"/>
    <x v="10"/>
    <x v="10"/>
    <n v="1"/>
    <x v="13"/>
    <n v="18"/>
    <x v="8"/>
    <n v="9.09"/>
    <n v="419348.97"/>
    <d v="2026-04-21T06:35:33"/>
    <x v="50"/>
    <x v="58"/>
  </r>
  <r>
    <n v="1698"/>
    <n v="8648"/>
    <x v="48"/>
    <n v="3"/>
    <s v="MECANIZADO"/>
    <x v="10"/>
    <x v="10"/>
    <n v="1"/>
    <x v="13"/>
    <n v="18"/>
    <x v="8"/>
    <n v="8.1300000000000008"/>
    <n v="375069.42000000004"/>
    <d v="2026-04-21T06:35:33"/>
    <x v="48"/>
    <x v="58"/>
  </r>
  <r>
    <n v="1704"/>
    <n v="8648"/>
    <x v="49"/>
    <n v="3"/>
    <s v="MECANIZADO"/>
    <x v="10"/>
    <x v="10"/>
    <n v="1"/>
    <x v="13"/>
    <n v="53"/>
    <x v="0"/>
    <n v="3.94"/>
    <n v="181771.9"/>
    <d v="2026-04-21T06:35:33"/>
    <x v="49"/>
    <x v="58"/>
  </r>
  <r>
    <n v="1680"/>
    <n v="8648"/>
    <x v="52"/>
    <n v="3"/>
    <s v="MECANIZADO"/>
    <x v="10"/>
    <x v="10"/>
    <n v="1"/>
    <x v="21"/>
    <n v="18"/>
    <x v="8"/>
    <n v="11.27"/>
    <n v="519885.1"/>
    <d v="2026-04-18T12:06:01"/>
    <x v="52"/>
    <x v="59"/>
  </r>
  <r>
    <n v="1681"/>
    <n v="8648"/>
    <x v="54"/>
    <n v="3"/>
    <s v="MECANIZADO"/>
    <x v="10"/>
    <x v="10"/>
    <n v="1"/>
    <x v="21"/>
    <n v="18"/>
    <x v="8"/>
    <n v="11.46"/>
    <n v="528661.26"/>
    <d v="2026-04-18T12:06:01"/>
    <x v="54"/>
    <x v="59"/>
  </r>
  <r>
    <n v="1682"/>
    <n v="8648"/>
    <x v="54"/>
    <n v="3"/>
    <s v="MECANIZADO"/>
    <x v="10"/>
    <x v="10"/>
    <n v="1"/>
    <x v="22"/>
    <n v="18"/>
    <x v="8"/>
    <n v="4.08"/>
    <n v="188214.48"/>
    <d v="2026-04-19T22:09:42"/>
    <x v="54"/>
    <x v="60"/>
  </r>
  <r>
    <n v="1715"/>
    <n v="8729"/>
    <x v="15"/>
    <n v="3"/>
    <s v="MECANIZADO"/>
    <x v="10"/>
    <x v="10"/>
    <n v="1"/>
    <x v="22"/>
    <n v="53"/>
    <x v="0"/>
    <n v="0.62"/>
    <n v="28605.56"/>
    <d v="2026-04-19T22:09:42"/>
    <x v="15"/>
    <x v="60"/>
  </r>
  <r>
    <n v="1773"/>
    <n v="8924"/>
    <x v="19"/>
    <n v="3"/>
    <s v="MECANIZADO"/>
    <x v="11"/>
    <x v="11"/>
    <n v="1"/>
    <x v="0"/>
    <n v="9"/>
    <x v="7"/>
    <n v="4.3600000000000003"/>
    <n v="201209.64"/>
    <d v="2026-05-07T00:00:00"/>
    <x v="19"/>
    <x v="61"/>
  </r>
  <r>
    <n v="1774"/>
    <n v="8924"/>
    <x v="19"/>
    <n v="3"/>
    <s v="MECANIZADO"/>
    <x v="11"/>
    <x v="11"/>
    <n v="1"/>
    <x v="1"/>
    <n v="9"/>
    <x v="7"/>
    <n v="2.33"/>
    <n v="107527.17"/>
    <d v="2026-05-07T21:08:54"/>
    <x v="19"/>
    <x v="62"/>
  </r>
  <r>
    <n v="1775"/>
    <n v="8924"/>
    <x v="23"/>
    <n v="3"/>
    <s v="MECANIZADO"/>
    <x v="11"/>
    <x v="11"/>
    <n v="1"/>
    <x v="1"/>
    <n v="53"/>
    <x v="0"/>
    <n v="17.28"/>
    <n v="797472"/>
    <d v="2026-05-07T21:08:54"/>
    <x v="23"/>
    <x v="62"/>
  </r>
  <r>
    <n v="1776"/>
    <n v="8924"/>
    <x v="23"/>
    <n v="3"/>
    <s v="MECANIZADO"/>
    <x v="11"/>
    <x v="11"/>
    <n v="1"/>
    <x v="2"/>
    <n v="53"/>
    <x v="0"/>
    <n v="4.72"/>
    <n v="217828"/>
    <d v="2026-05-08T13:42:07"/>
    <x v="23"/>
    <x v="63"/>
  </r>
  <r>
    <n v="1789"/>
    <n v="8924"/>
    <x v="20"/>
    <n v="3"/>
    <s v="MECANIZADO"/>
    <x v="11"/>
    <x v="11"/>
    <n v="1"/>
    <x v="2"/>
    <n v="53"/>
    <x v="0"/>
    <n v="6.28"/>
    <n v="289828.28000000003"/>
    <d v="2026-05-08T13:42:07"/>
    <x v="20"/>
    <x v="63"/>
  </r>
  <r>
    <n v="1790"/>
    <n v="8924"/>
    <x v="20"/>
    <n v="3"/>
    <s v="MECANIZADO"/>
    <x v="11"/>
    <x v="11"/>
    <n v="1"/>
    <x v="3"/>
    <n v="53"/>
    <x v="0"/>
    <n v="5.44"/>
    <n v="251061.44000000003"/>
    <d v="2026-05-09T13:56:01"/>
    <x v="20"/>
    <x v="64"/>
  </r>
  <r>
    <n v="1792"/>
    <n v="8924"/>
    <x v="4"/>
    <n v="3"/>
    <s v="MECANIZADO"/>
    <x v="11"/>
    <x v="11"/>
    <n v="1"/>
    <x v="3"/>
    <n v="53"/>
    <x v="0"/>
    <n v="7.53"/>
    <n v="347524.56"/>
    <d v="2026-05-09T13:56:01"/>
    <x v="4"/>
    <x v="64"/>
  </r>
  <r>
    <n v="1808"/>
    <n v="9023"/>
    <x v="0"/>
    <n v="3"/>
    <s v="MECANIZADO"/>
    <x v="12"/>
    <x v="9"/>
    <n v="1"/>
    <x v="2"/>
    <n v="4"/>
    <x v="1"/>
    <n v="27.48"/>
    <n v="1268339.3999999999"/>
    <d v="2026-05-13T09:14:01"/>
    <x v="0"/>
    <x v="65"/>
  </r>
  <r>
    <n v="1812"/>
    <n v="9023"/>
    <x v="1"/>
    <n v="3"/>
    <s v="MECANIZADO"/>
    <x v="12"/>
    <x v="9"/>
    <n v="1"/>
    <x v="2"/>
    <n v="53"/>
    <x v="0"/>
    <n v="10"/>
    <n v="461560"/>
    <d v="2026-05-13T09:14:01"/>
    <x v="1"/>
    <x v="65"/>
  </r>
  <r>
    <n v="1817"/>
    <n v="9023"/>
    <x v="3"/>
    <n v="3"/>
    <s v="MECANIZADO"/>
    <x v="12"/>
    <x v="9"/>
    <n v="1"/>
    <x v="2"/>
    <n v="4"/>
    <x v="1"/>
    <n v="1.69"/>
    <n v="78007.02"/>
    <d v="2026-05-13T09:14:01"/>
    <x v="3"/>
    <x v="65"/>
  </r>
  <r>
    <n v="1813"/>
    <n v="9023"/>
    <x v="1"/>
    <n v="3"/>
    <s v="MECANIZADO"/>
    <x v="12"/>
    <x v="9"/>
    <n v="1"/>
    <x v="3"/>
    <n v="53"/>
    <x v="0"/>
    <n v="14.02"/>
    <n v="647107.12"/>
    <d v="2026-05-15T04:08:13"/>
    <x v="1"/>
    <x v="66"/>
  </r>
  <r>
    <n v="1818"/>
    <n v="9023"/>
    <x v="3"/>
    <n v="3"/>
    <s v="MECANIZADO"/>
    <x v="12"/>
    <x v="9"/>
    <n v="1"/>
    <x v="3"/>
    <n v="4"/>
    <x v="1"/>
    <n v="19.86"/>
    <n v="916697.88"/>
    <d v="2026-05-15T04:08:13"/>
    <x v="3"/>
    <x v="66"/>
  </r>
  <r>
    <n v="1671"/>
    <n v="8632"/>
    <x v="13"/>
    <n v="3"/>
    <s v="MECANIZADO"/>
    <x v="13"/>
    <x v="12"/>
    <n v="1"/>
    <x v="0"/>
    <n v="70"/>
    <x v="3"/>
    <n v="14.44"/>
    <n v="666088.31999999995"/>
    <d v="2026-04-16T04:07:42"/>
    <x v="13"/>
    <x v="67"/>
  </r>
  <r>
    <n v="1677"/>
    <n v="8632"/>
    <x v="53"/>
    <n v="3"/>
    <s v="MECANIZADO"/>
    <x v="13"/>
    <x v="12"/>
    <n v="1"/>
    <x v="0"/>
    <n v="5"/>
    <x v="9"/>
    <n v="3"/>
    <n v="138387"/>
    <d v="2026-04-16T04:07:42"/>
    <x v="53"/>
    <x v="67"/>
  </r>
  <r>
    <n v="1630"/>
    <n v="8524"/>
    <x v="33"/>
    <n v="3"/>
    <s v="MECANIZADO"/>
    <x v="13"/>
    <x v="12"/>
    <n v="1"/>
    <x v="1"/>
    <n v="70"/>
    <x v="3"/>
    <n v="8"/>
    <n v="368928"/>
    <d v="2026-04-12T19:16:02"/>
    <x v="33"/>
    <x v="68"/>
  </r>
  <r>
    <n v="1672"/>
    <n v="8632"/>
    <x v="13"/>
    <n v="3"/>
    <s v="MECANIZADO"/>
    <x v="13"/>
    <x v="12"/>
    <n v="1"/>
    <x v="1"/>
    <n v="72"/>
    <x v="6"/>
    <n v="3.7"/>
    <n v="170673.6"/>
    <d v="2026-04-12T19:16:02"/>
    <x v="13"/>
    <x v="68"/>
  </r>
  <r>
    <n v="1678"/>
    <n v="8632"/>
    <x v="53"/>
    <n v="3"/>
    <s v="MECANIZADO"/>
    <x v="13"/>
    <x v="12"/>
    <n v="1"/>
    <x v="1"/>
    <n v="5"/>
    <x v="9"/>
    <n v="13.96"/>
    <n v="643960.84000000008"/>
    <d v="2026-04-12T19:16:02"/>
    <x v="53"/>
    <x v="68"/>
  </r>
  <r>
    <n v="1632"/>
    <n v="8524"/>
    <x v="38"/>
    <n v="3"/>
    <s v="MECANIZADO"/>
    <x v="13"/>
    <x v="12"/>
    <n v="1"/>
    <x v="2"/>
    <n v="70"/>
    <x v="3"/>
    <n v="14.13"/>
    <n v="651633.21000000008"/>
    <d v="2026-04-05T00:00:00"/>
    <x v="38"/>
    <x v="69"/>
  </r>
  <r>
    <n v="1631"/>
    <n v="8524"/>
    <x v="33"/>
    <n v="3"/>
    <s v="MECANIZADO"/>
    <x v="13"/>
    <x v="12"/>
    <n v="1"/>
    <x v="3"/>
    <n v="70"/>
    <x v="3"/>
    <n v="8.4499999999999993"/>
    <n v="389680.19999999995"/>
    <d v="2026-04-04T10:03:43"/>
    <x v="33"/>
    <x v="70"/>
  </r>
  <r>
    <n v="1633"/>
    <n v="8524"/>
    <x v="38"/>
    <n v="3"/>
    <s v="MECANIZADO"/>
    <x v="13"/>
    <x v="12"/>
    <n v="1"/>
    <x v="3"/>
    <n v="70"/>
    <x v="3"/>
    <n v="6.1"/>
    <n v="281313.7"/>
    <d v="2026-04-04T10:03:43"/>
    <x v="38"/>
    <x v="70"/>
  </r>
  <r>
    <n v="1627"/>
    <n v="8524"/>
    <x v="32"/>
    <n v="3"/>
    <s v="MECANIZADO"/>
    <x v="13"/>
    <x v="12"/>
    <n v="1"/>
    <x v="4"/>
    <n v="70"/>
    <x v="3"/>
    <n v="7.67"/>
    <n v="353702.05"/>
    <d v="2026-04-03T00:00:00"/>
    <x v="32"/>
    <x v="71"/>
  </r>
  <r>
    <n v="1635"/>
    <n v="8524"/>
    <x v="34"/>
    <n v="3"/>
    <s v="MECANIZADO"/>
    <x v="13"/>
    <x v="12"/>
    <n v="1"/>
    <x v="5"/>
    <n v="70"/>
    <x v="3"/>
    <n v="7"/>
    <n v="322826"/>
    <d v="2026-04-11T20:57:51"/>
    <x v="34"/>
    <x v="72"/>
  </r>
  <r>
    <n v="1679"/>
    <n v="8632"/>
    <x v="53"/>
    <n v="3"/>
    <s v="MECANIZADO"/>
    <x v="13"/>
    <x v="12"/>
    <n v="1"/>
    <x v="5"/>
    <n v="5"/>
    <x v="9"/>
    <n v="8.02"/>
    <n v="369954.57999999996"/>
    <d v="2026-04-11T20:57:51"/>
    <x v="53"/>
    <x v="72"/>
  </r>
  <r>
    <n v="1540"/>
    <n v="8231"/>
    <x v="44"/>
    <n v="3"/>
    <s v="MECANIZADO"/>
    <x v="14"/>
    <x v="13"/>
    <n v="1"/>
    <x v="0"/>
    <n v="71"/>
    <x v="10"/>
    <n v="10.71"/>
    <n v="493538.22000000003"/>
    <d v="2026-03-01T00:00:00"/>
    <x v="44"/>
    <x v="73"/>
  </r>
  <r>
    <n v="1541"/>
    <n v="8231"/>
    <x v="44"/>
    <n v="3"/>
    <s v="MECANIZADO"/>
    <x v="14"/>
    <x v="13"/>
    <n v="1"/>
    <x v="2"/>
    <n v="71"/>
    <x v="10"/>
    <n v="4"/>
    <n v="184328"/>
    <d v="2026-03-01T00:00:00"/>
    <x v="44"/>
    <x v="73"/>
  </r>
  <r>
    <n v="1604"/>
    <n v="8436"/>
    <x v="55"/>
    <n v="3"/>
    <s v="MECANIZADO"/>
    <x v="15"/>
    <x v="14"/>
    <n v="1"/>
    <x v="0"/>
    <n v="4"/>
    <x v="1"/>
    <n v="5"/>
    <n v="230560"/>
    <d v="2026-04-01T21:40:53"/>
    <x v="55"/>
    <x v="74"/>
  </r>
  <r>
    <n v="1608"/>
    <n v="8436"/>
    <x v="56"/>
    <n v="3"/>
    <s v="MECANIZADO"/>
    <x v="15"/>
    <x v="14"/>
    <n v="1"/>
    <x v="0"/>
    <n v="70"/>
    <x v="3"/>
    <n v="3"/>
    <n v="138339"/>
    <d v="2026-04-01T21:40:53"/>
    <x v="56"/>
    <x v="74"/>
  </r>
  <r>
    <n v="1623"/>
    <n v="8436"/>
    <x v="32"/>
    <n v="3"/>
    <s v="MECANIZADO"/>
    <x v="15"/>
    <x v="14"/>
    <n v="1"/>
    <x v="0"/>
    <n v="70"/>
    <x v="3"/>
    <n v="11.15"/>
    <n v="514182.25"/>
    <d v="2026-04-01T21:40:53"/>
    <x v="32"/>
    <x v="74"/>
  </r>
  <r>
    <n v="1582"/>
    <n v="8436"/>
    <x v="57"/>
    <n v="3"/>
    <s v="MECANIZADO"/>
    <x v="15"/>
    <x v="14"/>
    <n v="1"/>
    <x v="1"/>
    <n v="38"/>
    <x v="11"/>
    <n v="6"/>
    <n v="276642"/>
    <d v="2026-03-27T09:37:37"/>
    <x v="57"/>
    <x v="75"/>
  </r>
  <r>
    <n v="1589"/>
    <n v="8436"/>
    <x v="58"/>
    <n v="3"/>
    <s v="MECANIZADO"/>
    <x v="15"/>
    <x v="14"/>
    <n v="1"/>
    <x v="1"/>
    <n v="4"/>
    <x v="1"/>
    <n v="15.93"/>
    <n v="734500.44"/>
    <d v="2026-03-27T09:37:37"/>
    <x v="58"/>
    <x v="75"/>
  </r>
  <r>
    <n v="1609"/>
    <n v="8436"/>
    <x v="56"/>
    <n v="3"/>
    <s v="MECANIZADO"/>
    <x v="15"/>
    <x v="14"/>
    <n v="1"/>
    <x v="1"/>
    <n v="70"/>
    <x v="3"/>
    <n v="2"/>
    <n v="92226"/>
    <d v="2026-03-27T09:37:37"/>
    <x v="56"/>
    <x v="75"/>
  </r>
  <r>
    <n v="1612"/>
    <n v="8436"/>
    <x v="31"/>
    <n v="3"/>
    <s v="MECANIZADO"/>
    <x v="15"/>
    <x v="14"/>
    <n v="1"/>
    <x v="1"/>
    <n v="70"/>
    <x v="3"/>
    <n v="1"/>
    <n v="46114"/>
    <d v="2026-03-27T09:37:37"/>
    <x v="31"/>
    <x v="75"/>
  </r>
  <r>
    <n v="1599"/>
    <n v="8436"/>
    <x v="59"/>
    <n v="3"/>
    <s v="MECANIZADO"/>
    <x v="15"/>
    <x v="14"/>
    <n v="1"/>
    <x v="2"/>
    <n v="4"/>
    <x v="1"/>
    <n v="10.199999999999999"/>
    <n v="470332.19999999995"/>
    <d v="2026-03-30T18:32:37"/>
    <x v="59"/>
    <x v="76"/>
  </r>
  <r>
    <n v="1605"/>
    <n v="8436"/>
    <x v="55"/>
    <n v="3"/>
    <s v="MECANIZADO"/>
    <x v="15"/>
    <x v="14"/>
    <n v="1"/>
    <x v="2"/>
    <n v="4"/>
    <x v="1"/>
    <n v="4"/>
    <n v="184448"/>
    <d v="2026-03-30T18:32:37"/>
    <x v="55"/>
    <x v="76"/>
  </r>
  <r>
    <n v="1613"/>
    <n v="8436"/>
    <x v="31"/>
    <n v="3"/>
    <s v="MECANIZADO"/>
    <x v="15"/>
    <x v="14"/>
    <n v="1"/>
    <x v="2"/>
    <n v="70"/>
    <x v="3"/>
    <n v="3.13"/>
    <n v="144336.82"/>
    <d v="2026-03-30T18:32:37"/>
    <x v="31"/>
    <x v="76"/>
  </r>
  <r>
    <n v="1595"/>
    <n v="8436"/>
    <x v="60"/>
    <n v="3"/>
    <s v="MECANIZADO"/>
    <x v="15"/>
    <x v="14"/>
    <n v="1"/>
    <x v="3"/>
    <n v="4"/>
    <x v="1"/>
    <n v="5.26"/>
    <n v="242538.59999999998"/>
    <d v="2026-03-30T02:08:28"/>
    <x v="60"/>
    <x v="77"/>
  </r>
  <r>
    <n v="1600"/>
    <n v="8436"/>
    <x v="59"/>
    <n v="3"/>
    <s v="MECANIZADO"/>
    <x v="15"/>
    <x v="14"/>
    <n v="1"/>
    <x v="3"/>
    <n v="4"/>
    <x v="1"/>
    <n v="18"/>
    <n v="829998"/>
    <d v="2026-03-30T02:08:28"/>
    <x v="59"/>
    <x v="77"/>
  </r>
  <r>
    <n v="1614"/>
    <n v="8436"/>
    <x v="31"/>
    <n v="3"/>
    <s v="MECANIZADO"/>
    <x v="15"/>
    <x v="14"/>
    <n v="1"/>
    <x v="3"/>
    <n v="70"/>
    <x v="3"/>
    <n v="2.52"/>
    <n v="116207.28"/>
    <d v="2026-03-30T02:08:28"/>
    <x v="31"/>
    <x v="77"/>
  </r>
  <r>
    <n v="1583"/>
    <n v="8436"/>
    <x v="57"/>
    <n v="3"/>
    <s v="MECANIZADO"/>
    <x v="15"/>
    <x v="14"/>
    <n v="1"/>
    <x v="4"/>
    <n v="38"/>
    <x v="11"/>
    <n v="6"/>
    <n v="276642"/>
    <d v="2026-03-27T16:05:24"/>
    <x v="57"/>
    <x v="78"/>
  </r>
  <r>
    <n v="1590"/>
    <n v="8436"/>
    <x v="61"/>
    <n v="3"/>
    <s v="MECANIZADO"/>
    <x v="15"/>
    <x v="14"/>
    <n v="1"/>
    <x v="4"/>
    <n v="38"/>
    <x v="11"/>
    <n v="30.41"/>
    <n v="1402174.69"/>
    <d v="2026-03-27T16:05:24"/>
    <x v="61"/>
    <x v="78"/>
  </r>
  <r>
    <n v="1564"/>
    <n v="8349"/>
    <x v="62"/>
    <n v="3"/>
    <s v="MECANIZADO"/>
    <x v="15"/>
    <x v="14"/>
    <n v="1"/>
    <x v="5"/>
    <n v="4"/>
    <x v="1"/>
    <n v="14.51"/>
    <n v="668881.98"/>
    <d v="2026-03-19T11:46:00"/>
    <x v="62"/>
    <x v="79"/>
  </r>
  <r>
    <n v="1570"/>
    <n v="8349"/>
    <x v="63"/>
    <n v="3"/>
    <s v="MECANIZADO"/>
    <x v="15"/>
    <x v="14"/>
    <n v="1"/>
    <x v="5"/>
    <n v="38"/>
    <x v="11"/>
    <n v="5"/>
    <n v="230515"/>
    <d v="2026-03-19T11:46:00"/>
    <x v="63"/>
    <x v="79"/>
  </r>
  <r>
    <n v="1578"/>
    <n v="8349"/>
    <x v="64"/>
    <n v="3"/>
    <s v="MECANIZADO"/>
    <x v="15"/>
    <x v="14"/>
    <n v="1"/>
    <x v="5"/>
    <n v="38"/>
    <x v="11"/>
    <n v="6.72"/>
    <n v="309818.88"/>
    <d v="2026-03-19T11:46:00"/>
    <x v="64"/>
    <x v="79"/>
  </r>
  <r>
    <n v="1562"/>
    <n v="8349"/>
    <x v="37"/>
    <n v="3"/>
    <s v="MECANIZADO"/>
    <x v="15"/>
    <x v="14"/>
    <n v="1"/>
    <x v="6"/>
    <n v="4"/>
    <x v="1"/>
    <n v="19.329999999999998"/>
    <n v="891055.00999999989"/>
    <d v="2026-03-16T20:38:39"/>
    <x v="37"/>
    <x v="80"/>
  </r>
  <r>
    <n v="1563"/>
    <n v="8349"/>
    <x v="62"/>
    <n v="3"/>
    <s v="MECANIZADO"/>
    <x v="15"/>
    <x v="14"/>
    <n v="1"/>
    <x v="6"/>
    <n v="4"/>
    <x v="1"/>
    <n v="15.79"/>
    <n v="727887.41999999993"/>
    <d v="2026-03-16T20:38:39"/>
    <x v="62"/>
    <x v="80"/>
  </r>
  <r>
    <n v="1568"/>
    <n v="8349"/>
    <x v="65"/>
    <n v="3"/>
    <s v="MECANIZADO"/>
    <x v="15"/>
    <x v="14"/>
    <n v="1"/>
    <x v="6"/>
    <n v="4"/>
    <x v="1"/>
    <n v="2"/>
    <n v="92204"/>
    <d v="2026-03-16T20:38:39"/>
    <x v="65"/>
    <x v="80"/>
  </r>
  <r>
    <n v="1579"/>
    <n v="8349"/>
    <x v="64"/>
    <n v="3"/>
    <s v="MECANIZADO"/>
    <x v="15"/>
    <x v="14"/>
    <n v="1"/>
    <x v="6"/>
    <n v="38"/>
    <x v="11"/>
    <n v="1"/>
    <n v="46104"/>
    <d v="2026-03-16T20:38:39"/>
    <x v="64"/>
    <x v="80"/>
  </r>
  <r>
    <n v="1575"/>
    <n v="8377"/>
    <x v="63"/>
    <n v="3"/>
    <s v="MECANIZADO"/>
    <x v="15"/>
    <x v="14"/>
    <n v="1"/>
    <x v="7"/>
    <n v="38"/>
    <x v="11"/>
    <n v="1.76"/>
    <n v="81141.279999999999"/>
    <d v="2026-03-30T13:28:34"/>
    <x v="63"/>
    <x v="81"/>
  </r>
  <r>
    <n v="1598"/>
    <n v="8377"/>
    <x v="59"/>
    <n v="3"/>
    <s v="MECANIZADO"/>
    <x v="15"/>
    <x v="14"/>
    <n v="1"/>
    <x v="7"/>
    <n v="4"/>
    <x v="1"/>
    <n v="17.79"/>
    <n v="820314.69"/>
    <d v="2026-03-30T13:28:34"/>
    <x v="59"/>
    <x v="81"/>
  </r>
  <r>
    <n v="1602"/>
    <n v="8377"/>
    <x v="55"/>
    <n v="3"/>
    <s v="MECANIZADO"/>
    <x v="15"/>
    <x v="14"/>
    <n v="1"/>
    <x v="7"/>
    <n v="4"/>
    <x v="1"/>
    <n v="16.27"/>
    <n v="750242.24"/>
    <d v="2026-03-30T13:28:34"/>
    <x v="55"/>
    <x v="81"/>
  </r>
  <r>
    <n v="1610"/>
    <n v="8377"/>
    <x v="31"/>
    <n v="3"/>
    <s v="MECANIZADO"/>
    <x v="15"/>
    <x v="14"/>
    <n v="1"/>
    <x v="7"/>
    <n v="70"/>
    <x v="3"/>
    <n v="7.35"/>
    <n v="338937.89999999997"/>
    <d v="2026-03-30T13:28:34"/>
    <x v="31"/>
    <x v="81"/>
  </r>
  <r>
    <n v="1603"/>
    <n v="8377"/>
    <x v="55"/>
    <n v="3"/>
    <s v="MECANIZADO"/>
    <x v="15"/>
    <x v="14"/>
    <n v="1"/>
    <x v="8"/>
    <n v="4"/>
    <x v="1"/>
    <n v="3.28"/>
    <n v="151247.35999999999"/>
    <d v="2026-03-31T00:00:00"/>
    <x v="55"/>
    <x v="82"/>
  </r>
  <r>
    <n v="1584"/>
    <n v="8377"/>
    <x v="57"/>
    <n v="3"/>
    <s v="MECANIZADO"/>
    <x v="15"/>
    <x v="14"/>
    <n v="1"/>
    <x v="9"/>
    <n v="38"/>
    <x v="11"/>
    <n v="6"/>
    <n v="276642"/>
    <d v="2026-03-27T06:25:17"/>
    <x v="57"/>
    <x v="83"/>
  </r>
  <r>
    <n v="1587"/>
    <n v="8377"/>
    <x v="58"/>
    <n v="3"/>
    <s v="MECANIZADO"/>
    <x v="15"/>
    <x v="14"/>
    <n v="1"/>
    <x v="9"/>
    <n v="4"/>
    <x v="1"/>
    <n v="3.33"/>
    <n v="153539.64000000001"/>
    <d v="2026-03-27T06:25:17"/>
    <x v="58"/>
    <x v="83"/>
  </r>
  <r>
    <n v="1591"/>
    <n v="8377"/>
    <x v="61"/>
    <n v="3"/>
    <s v="MECANIZADO"/>
    <x v="15"/>
    <x v="14"/>
    <n v="1"/>
    <x v="9"/>
    <n v="38"/>
    <x v="11"/>
    <n v="11.6"/>
    <n v="534864.4"/>
    <d v="2026-03-27T06:25:17"/>
    <x v="61"/>
    <x v="83"/>
  </r>
  <r>
    <n v="1574"/>
    <n v="8377"/>
    <x v="63"/>
    <n v="3"/>
    <s v="MECANIZADO"/>
    <x v="15"/>
    <x v="14"/>
    <n v="1"/>
    <x v="10"/>
    <n v="38"/>
    <x v="11"/>
    <n v="15.2"/>
    <n v="700765.6"/>
    <d v="2026-03-24T10:04:16"/>
    <x v="63"/>
    <x v="84"/>
  </r>
  <r>
    <n v="1585"/>
    <n v="8377"/>
    <x v="57"/>
    <n v="3"/>
    <s v="MECANIZADO"/>
    <x v="15"/>
    <x v="14"/>
    <n v="1"/>
    <x v="10"/>
    <n v="38"/>
    <x v="11"/>
    <n v="7.05"/>
    <n v="325054.34999999998"/>
    <d v="2026-03-24T10:04:16"/>
    <x v="57"/>
    <x v="84"/>
  </r>
  <r>
    <n v="1588"/>
    <n v="8377"/>
    <x v="58"/>
    <n v="3"/>
    <s v="MECANIZADO"/>
    <x v="15"/>
    <x v="14"/>
    <n v="1"/>
    <x v="10"/>
    <n v="4"/>
    <x v="1"/>
    <n v="6.61"/>
    <n v="304773.88"/>
    <d v="2026-03-24T10:04:16"/>
    <x v="58"/>
    <x v="84"/>
  </r>
  <r>
    <n v="1611"/>
    <n v="8377"/>
    <x v="31"/>
    <n v="3"/>
    <s v="MECANIZADO"/>
    <x v="15"/>
    <x v="14"/>
    <n v="1"/>
    <x v="10"/>
    <n v="70"/>
    <x v="3"/>
    <n v="1"/>
    <n v="46114"/>
    <d v="2026-03-24T10:04:16"/>
    <x v="31"/>
    <x v="84"/>
  </r>
  <r>
    <n v="1565"/>
    <n v="8349"/>
    <x v="62"/>
    <n v="3"/>
    <s v="MECANIZADO"/>
    <x v="15"/>
    <x v="14"/>
    <n v="1"/>
    <x v="11"/>
    <n v="4"/>
    <x v="1"/>
    <n v="5.84"/>
    <n v="269212.32"/>
    <d v="2026-03-20T06:44:36"/>
    <x v="62"/>
    <x v="85"/>
  </r>
  <r>
    <n v="1566"/>
    <n v="8349"/>
    <x v="65"/>
    <n v="3"/>
    <s v="MECANIZADO"/>
    <x v="15"/>
    <x v="14"/>
    <n v="1"/>
    <x v="11"/>
    <n v="4"/>
    <x v="1"/>
    <n v="12.05"/>
    <n v="555529.1"/>
    <d v="2026-03-20T06:44:36"/>
    <x v="65"/>
    <x v="85"/>
  </r>
  <r>
    <n v="1571"/>
    <n v="8349"/>
    <x v="63"/>
    <n v="3"/>
    <s v="MECANIZADO"/>
    <x v="15"/>
    <x v="14"/>
    <n v="1"/>
    <x v="11"/>
    <n v="38"/>
    <x v="11"/>
    <n v="2.31"/>
    <n v="106497.93000000001"/>
    <d v="2026-03-20T06:44:36"/>
    <x v="63"/>
    <x v="85"/>
  </r>
  <r>
    <n v="1580"/>
    <n v="8349"/>
    <x v="64"/>
    <n v="3"/>
    <s v="MECANIZADO"/>
    <x v="15"/>
    <x v="14"/>
    <n v="1"/>
    <x v="11"/>
    <n v="38"/>
    <x v="11"/>
    <n v="2.4"/>
    <n v="110649.59999999999"/>
    <d v="2026-03-20T06:44:36"/>
    <x v="64"/>
    <x v="85"/>
  </r>
  <r>
    <n v="1567"/>
    <n v="8349"/>
    <x v="65"/>
    <n v="3"/>
    <s v="MECANIZADO"/>
    <x v="15"/>
    <x v="14"/>
    <n v="1"/>
    <x v="12"/>
    <n v="4"/>
    <x v="1"/>
    <n v="15.54"/>
    <n v="716425.08"/>
    <d v="2026-03-21T04:14:07"/>
    <x v="65"/>
    <x v="86"/>
  </r>
  <r>
    <n v="1572"/>
    <n v="8349"/>
    <x v="63"/>
    <n v="3"/>
    <s v="MECANIZADO"/>
    <x v="15"/>
    <x v="14"/>
    <n v="1"/>
    <x v="12"/>
    <n v="38"/>
    <x v="11"/>
    <n v="3.33"/>
    <n v="153522.99"/>
    <d v="2026-03-21T04:14:07"/>
    <x v="63"/>
    <x v="86"/>
  </r>
  <r>
    <n v="1597"/>
    <n v="8436"/>
    <x v="58"/>
    <n v="3"/>
    <s v="MECANIZADO"/>
    <x v="15"/>
    <x v="14"/>
    <n v="1"/>
    <x v="13"/>
    <n v="4"/>
    <x v="1"/>
    <n v="3.22"/>
    <n v="148467.76"/>
    <d v="2026-03-28T17:37:44"/>
    <x v="58"/>
    <x v="87"/>
  </r>
  <r>
    <n v="1594"/>
    <n v="8436"/>
    <x v="60"/>
    <n v="3"/>
    <s v="MECANIZADO"/>
    <x v="15"/>
    <x v="14"/>
    <n v="1"/>
    <x v="13"/>
    <n v="4"/>
    <x v="1"/>
    <n v="21.04"/>
    <n v="970154.39999999991"/>
    <d v="2026-03-28T17:37:44"/>
    <x v="60"/>
    <x v="87"/>
  </r>
  <r>
    <n v="1593"/>
    <n v="8436"/>
    <x v="60"/>
    <n v="3"/>
    <s v="MECANIZADO"/>
    <x v="15"/>
    <x v="14"/>
    <n v="1"/>
    <x v="21"/>
    <n v="4"/>
    <x v="1"/>
    <n v="15.1"/>
    <n v="696261"/>
    <d v="2026-03-29T09:27:39"/>
    <x v="60"/>
    <x v="88"/>
  </r>
  <r>
    <n v="1615"/>
    <n v="8436"/>
    <x v="31"/>
    <n v="3"/>
    <s v="MECANIZADO"/>
    <x v="15"/>
    <x v="14"/>
    <n v="1"/>
    <x v="21"/>
    <n v="70"/>
    <x v="3"/>
    <n v="0.68"/>
    <n v="31357.52"/>
    <d v="2026-03-29T09:27:39"/>
    <x v="31"/>
    <x v="88"/>
  </r>
  <r>
    <n v="1624"/>
    <n v="8436"/>
    <x v="32"/>
    <n v="3"/>
    <s v="MECANIZADO"/>
    <x v="15"/>
    <x v="14"/>
    <n v="1"/>
    <x v="21"/>
    <n v="70"/>
    <x v="3"/>
    <n v="0.76"/>
    <n v="35047.4"/>
    <d v="2026-03-29T09:27:39"/>
    <x v="32"/>
    <x v="88"/>
  </r>
  <r>
    <n v="1573"/>
    <n v="8349"/>
    <x v="63"/>
    <n v="3"/>
    <s v="MECANIZADO"/>
    <x v="15"/>
    <x v="14"/>
    <n v="1"/>
    <x v="22"/>
    <n v="38"/>
    <x v="11"/>
    <n v="15.1"/>
    <n v="696155.29999999993"/>
    <d v="2026-03-24T00:23:33"/>
    <x v="63"/>
    <x v="89"/>
  </r>
  <r>
    <n v="1606"/>
    <n v="8349"/>
    <x v="56"/>
    <n v="3"/>
    <s v="MECANIZADO"/>
    <x v="15"/>
    <x v="14"/>
    <n v="1"/>
    <x v="22"/>
    <n v="70"/>
    <x v="3"/>
    <n v="1"/>
    <n v="46113"/>
    <d v="2026-03-24T00:23:33"/>
    <x v="56"/>
    <x v="89"/>
  </r>
  <r>
    <n v="1625"/>
    <n v="8349"/>
    <x v="32"/>
    <n v="3"/>
    <s v="MECANIZADO"/>
    <x v="15"/>
    <x v="14"/>
    <n v="1"/>
    <x v="22"/>
    <n v="70"/>
    <x v="3"/>
    <n v="2.25"/>
    <n v="103758.75"/>
    <d v="2026-03-24T00:23:33"/>
    <x v="32"/>
    <x v="89"/>
  </r>
  <r>
    <n v="1576"/>
    <n v="8349"/>
    <x v="66"/>
    <n v="3"/>
    <s v="MECANIZADO"/>
    <x v="15"/>
    <x v="14"/>
    <n v="1"/>
    <x v="23"/>
    <n v="4"/>
    <x v="1"/>
    <n v="5.2"/>
    <n v="239725.2"/>
    <d v="2026-03-24T16:10:46"/>
    <x v="66"/>
    <x v="90"/>
  </r>
  <r>
    <n v="1569"/>
    <n v="8349"/>
    <x v="65"/>
    <n v="3"/>
    <s v="MECANIZADO"/>
    <x v="15"/>
    <x v="14"/>
    <n v="1"/>
    <x v="23"/>
    <n v="4"/>
    <x v="1"/>
    <n v="3.92"/>
    <n v="180719.84"/>
    <d v="2026-03-24T16:10:46"/>
    <x v="65"/>
    <x v="90"/>
  </r>
  <r>
    <n v="1581"/>
    <n v="8349"/>
    <x v="64"/>
    <n v="3"/>
    <s v="MECANIZADO"/>
    <x v="15"/>
    <x v="14"/>
    <n v="1"/>
    <x v="23"/>
    <n v="38"/>
    <x v="11"/>
    <n v="3.93"/>
    <n v="181188.72"/>
    <d v="2026-03-24T16:10:46"/>
    <x v="64"/>
    <x v="90"/>
  </r>
  <r>
    <n v="1586"/>
    <n v="8349"/>
    <x v="58"/>
    <n v="3"/>
    <s v="MECANIZADO"/>
    <x v="15"/>
    <x v="14"/>
    <n v="1"/>
    <x v="23"/>
    <n v="4"/>
    <x v="1"/>
    <n v="10.29"/>
    <n v="474451.31999999995"/>
    <d v="2026-03-24T16:10:46"/>
    <x v="58"/>
    <x v="90"/>
  </r>
  <r>
    <n v="1607"/>
    <n v="8349"/>
    <x v="56"/>
    <n v="3"/>
    <s v="MECANIZADO"/>
    <x v="15"/>
    <x v="14"/>
    <n v="1"/>
    <x v="23"/>
    <n v="70"/>
    <x v="3"/>
    <n v="0.98"/>
    <n v="45190.74"/>
    <d v="2026-03-24T16:10:46"/>
    <x v="56"/>
    <x v="90"/>
  </r>
  <r>
    <n v="1626"/>
    <n v="8349"/>
    <x v="32"/>
    <n v="3"/>
    <s v="MECANIZADO"/>
    <x v="15"/>
    <x v="14"/>
    <n v="1"/>
    <x v="23"/>
    <n v="70"/>
    <x v="3"/>
    <n v="1.52"/>
    <n v="70094.8"/>
    <d v="2026-03-24T16:10:46"/>
    <x v="32"/>
    <x v="90"/>
  </r>
  <r>
    <n v="1601"/>
    <n v="8452"/>
    <x v="59"/>
    <n v="3"/>
    <s v="MECANIZADO"/>
    <x v="15"/>
    <x v="14"/>
    <n v="1"/>
    <x v="26"/>
    <n v="4"/>
    <x v="1"/>
    <n v="6.48"/>
    <n v="298799.28000000003"/>
    <d v="2026-03-30T00:00:00"/>
    <x v="59"/>
    <x v="91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n v="0"/>
    <s v=""/>
    <x v="67"/>
    <x v="92"/>
  </r>
  <r>
    <m/>
    <m/>
    <x v="67"/>
    <m/>
    <m/>
    <x v="16"/>
    <x v="15"/>
    <m/>
    <x v="27"/>
    <m/>
    <x v="12"/>
    <m/>
    <m/>
    <m/>
    <x v="68"/>
    <x v="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95FEE-C44C-4254-9C52-77121C4C3D48}" name="Tabela dinâmica1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D100" firstHeaderRow="1" firstDataRow="1" firstDataCol="3"/>
  <pivotFields count="18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8">
        <item x="44"/>
        <item x="45"/>
        <item x="46"/>
        <item x="42"/>
        <item x="43"/>
        <item x="39"/>
        <item x="40"/>
        <item x="41"/>
        <item x="47"/>
        <item x="36"/>
        <item x="37"/>
        <item x="62"/>
        <item x="66"/>
        <item x="65"/>
        <item x="63"/>
        <item x="64"/>
        <item x="57"/>
        <item x="58"/>
        <item x="61"/>
        <item x="60"/>
        <item x="59"/>
        <item x="55"/>
        <item x="56"/>
        <item x="31"/>
        <item x="32"/>
        <item x="33"/>
        <item x="38"/>
        <item x="34"/>
        <item x="35"/>
        <item x="7"/>
        <item x="8"/>
        <item x="9"/>
        <item x="28"/>
        <item x="29"/>
        <item x="12"/>
        <item x="13"/>
        <item x="53"/>
        <item x="52"/>
        <item x="54"/>
        <item x="51"/>
        <item x="50"/>
        <item x="48"/>
        <item x="49"/>
        <item x="16"/>
        <item x="10"/>
        <item x="15"/>
        <item x="11"/>
        <item x="14"/>
        <item x="24"/>
        <item x="21"/>
        <item x="22"/>
        <item x="27"/>
        <item x="25"/>
        <item x="26"/>
        <item x="17"/>
        <item x="18"/>
        <item x="19"/>
        <item x="23"/>
        <item x="20"/>
        <item x="4"/>
        <item x="5"/>
        <item x="6"/>
        <item x="0"/>
        <item x="1"/>
        <item x="2"/>
        <item x="3"/>
        <item x="30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2"/>
        <item x="1"/>
        <item x="9"/>
        <item x="14"/>
        <item x="10"/>
        <item x="4"/>
        <item x="2"/>
        <item x="7"/>
        <item x="11"/>
        <item x="8"/>
        <item x="0"/>
        <item x="5"/>
        <item x="13"/>
        <item x="6"/>
        <item x="3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21"/>
        <item x="22"/>
        <item x="23"/>
        <item x="26"/>
        <item x="24"/>
        <item x="25"/>
        <item x="14"/>
        <item x="15"/>
        <item x="16"/>
        <item x="17"/>
        <item x="18"/>
        <item x="19"/>
        <item x="20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3"/>
        <item x="10"/>
        <item x="0"/>
        <item x="4"/>
        <item x="2"/>
        <item x="6"/>
        <item x="8"/>
        <item x="5"/>
        <item x="7"/>
        <item x="9"/>
        <item x="1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9">
        <item x="30"/>
        <item x="3"/>
        <item x="2"/>
        <item x="1"/>
        <item x="0"/>
        <item x="6"/>
        <item x="5"/>
        <item x="4"/>
        <item x="20"/>
        <item x="23"/>
        <item x="19"/>
        <item x="18"/>
        <item x="17"/>
        <item x="26"/>
        <item x="25"/>
        <item x="27"/>
        <item x="22"/>
        <item x="21"/>
        <item x="24"/>
        <item x="14"/>
        <item x="11"/>
        <item x="15"/>
        <item x="10"/>
        <item x="16"/>
        <item x="49"/>
        <item x="48"/>
        <item x="50"/>
        <item x="51"/>
        <item x="54"/>
        <item x="52"/>
        <item x="53"/>
        <item x="13"/>
        <item x="12"/>
        <item x="29"/>
        <item x="28"/>
        <item x="9"/>
        <item x="8"/>
        <item x="7"/>
        <item x="35"/>
        <item x="34"/>
        <item x="38"/>
        <item x="33"/>
        <item x="32"/>
        <item x="31"/>
        <item x="56"/>
        <item x="55"/>
        <item x="59"/>
        <item x="60"/>
        <item x="61"/>
        <item x="58"/>
        <item x="57"/>
        <item x="64"/>
        <item x="63"/>
        <item x="65"/>
        <item x="66"/>
        <item x="62"/>
        <item x="37"/>
        <item x="36"/>
        <item x="47"/>
        <item x="41"/>
        <item x="40"/>
        <item x="39"/>
        <item x="43"/>
        <item x="42"/>
        <item x="46"/>
        <item x="45"/>
        <item x="44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95">
        <item x="27"/>
        <item x="66"/>
        <item x="2"/>
        <item x="1"/>
        <item x="65"/>
        <item x="0"/>
        <item x="30"/>
        <item x="28"/>
        <item x="3"/>
        <item x="29"/>
        <item x="64"/>
        <item x="26"/>
        <item x="63"/>
        <item x="23"/>
        <item x="62"/>
        <item x="22"/>
        <item x="61"/>
        <item x="9"/>
        <item x="46"/>
        <item x="21"/>
        <item x="44"/>
        <item x="16"/>
        <item x="45"/>
        <item x="20"/>
        <item x="43"/>
        <item x="12"/>
        <item x="13"/>
        <item x="11"/>
        <item x="10"/>
        <item x="42"/>
        <item x="8"/>
        <item x="15"/>
        <item x="25"/>
        <item x="14"/>
        <item x="24"/>
        <item x="47"/>
        <item x="7"/>
        <item x="50"/>
        <item x="49"/>
        <item x="48"/>
        <item x="53"/>
        <item x="51"/>
        <item x="58"/>
        <item x="52"/>
        <item x="60"/>
        <item x="57"/>
        <item x="6"/>
        <item x="56"/>
        <item x="59"/>
        <item x="54"/>
        <item x="19"/>
        <item x="55"/>
        <item x="67"/>
        <item x="5"/>
        <item x="18"/>
        <item x="17"/>
        <item x="4"/>
        <item x="39"/>
        <item x="68"/>
        <item x="41"/>
        <item x="72"/>
        <item x="40"/>
        <item x="69"/>
        <item x="31"/>
        <item x="70"/>
        <item x="71"/>
        <item x="74"/>
        <item x="32"/>
        <item x="82"/>
        <item x="76"/>
        <item x="81"/>
        <item x="77"/>
        <item x="91"/>
        <item x="38"/>
        <item x="88"/>
        <item x="87"/>
        <item x="78"/>
        <item x="75"/>
        <item x="83"/>
        <item x="90"/>
        <item x="84"/>
        <item x="89"/>
        <item x="86"/>
        <item x="85"/>
        <item x="79"/>
        <item x="80"/>
        <item x="33"/>
        <item x="37"/>
        <item x="34"/>
        <item x="36"/>
        <item x="35"/>
        <item x="73"/>
        <item x="92"/>
        <item x="9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6"/>
    <field x="8"/>
  </rowFields>
  <rowItems count="97">
    <i>
      <x/>
      <x v="10"/>
      <x/>
    </i>
    <i r="2">
      <x v="1"/>
    </i>
    <i r="2">
      <x v="2"/>
    </i>
    <i>
      <x v="1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>
      <x v="2"/>
      <x v="6"/>
      <x v="5"/>
    </i>
    <i r="2">
      <x v="8"/>
    </i>
    <i>
      <x v="3"/>
      <x v="14"/>
      <x/>
    </i>
    <i r="2">
      <x v="1"/>
    </i>
    <i r="2">
      <x v="2"/>
    </i>
    <i>
      <x v="4"/>
      <x v="5"/>
      <x/>
    </i>
    <i>
      <x v="5"/>
      <x v="11"/>
      <x/>
    </i>
    <i>
      <x v="6"/>
      <x v="13"/>
      <x/>
    </i>
    <i r="2">
      <x v="1"/>
    </i>
    <i>
      <x v="7"/>
      <x v="7"/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>
      <x v="8"/>
      <x v="9"/>
      <x v="9"/>
    </i>
    <i r="2">
      <x v="18"/>
    </i>
    <i r="2">
      <x v="19"/>
    </i>
    <i>
      <x v="9"/>
      <x v="2"/>
      <x/>
    </i>
    <i r="2">
      <x v="1"/>
    </i>
    <i r="2">
      <x v="2"/>
    </i>
    <i r="2">
      <x v="3"/>
    </i>
    <i r="2">
      <x v="4"/>
    </i>
    <i>
      <x v="10"/>
      <x v="4"/>
      <x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>
      <x v="11"/>
      <x v="8"/>
      <x/>
    </i>
    <i r="2">
      <x v="1"/>
    </i>
    <i r="2">
      <x v="2"/>
    </i>
    <i r="2">
      <x v="3"/>
    </i>
    <i>
      <x v="12"/>
      <x v="2"/>
      <x v="2"/>
    </i>
    <i r="2">
      <x v="3"/>
    </i>
    <i>
      <x v="13"/>
      <x/>
      <x/>
    </i>
    <i r="2">
      <x v="1"/>
    </i>
    <i r="2">
      <x v="2"/>
    </i>
    <i r="2">
      <x v="3"/>
    </i>
    <i r="2">
      <x v="4"/>
    </i>
    <i r="2">
      <x v="5"/>
    </i>
    <i>
      <x v="14"/>
      <x v="12"/>
      <x/>
    </i>
    <i r="2">
      <x v="2"/>
    </i>
    <i>
      <x v="15"/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>
      <x v="16"/>
      <x v="15"/>
      <x v="27"/>
    </i>
    <i t="grand">
      <x/>
    </i>
  </rowItems>
  <colItems count="1">
    <i/>
  </colItems>
  <dataFields count="1">
    <dataField name="Soma de QT_AREA" fld="11" baseField="0" baseItem="0"/>
  </dataFields>
  <formats count="80">
    <format dxfId="79">
      <pivotArea dataOnly="0" outline="0" fieldPosition="0">
        <references count="1">
          <reference field="5" count="0" defaultSubtotal="1"/>
        </references>
      </pivotArea>
    </format>
    <format dxfId="78">
      <pivotArea field="5" type="button" dataOnly="0" labelOnly="1" outline="0" axis="axisRow" fieldPosition="0"/>
    </format>
    <format dxfId="77">
      <pivotArea field="6" type="button" dataOnly="0" labelOnly="1" outline="0" axis="axisRow" fieldPosition="1"/>
    </format>
    <format dxfId="76">
      <pivotArea field="8" type="button" dataOnly="0" labelOnly="1" outline="0" axis="axisRow" fieldPosition="2"/>
    </format>
    <format dxfId="75">
      <pivotArea field="10" type="button" dataOnly="0" labelOnly="1" outline="0"/>
    </format>
    <format dxfId="74">
      <pivotArea field="2" type="button" dataOnly="0" labelOnly="1" outline="0"/>
    </format>
    <format dxfId="73">
      <pivotArea field="14" type="button" dataOnly="0" labelOnly="1" outline="0"/>
    </format>
    <format dxfId="72">
      <pivotArea field="15" type="button" dataOnly="0" labelOnly="1" outline="0"/>
    </format>
    <format dxfId="71">
      <pivotArea field="6" type="button" dataOnly="0" labelOnly="1" outline="0" axis="axisRow" fieldPosition="1"/>
    </format>
    <format dxfId="70">
      <pivotArea field="15" type="button" dataOnly="0" labelOnly="1" outline="0"/>
    </format>
    <format dxfId="69">
      <pivotArea field="5" type="button" dataOnly="0" labelOnly="1" outline="0" axis="axisRow" fieldPosition="0"/>
    </format>
    <format dxfId="68">
      <pivotArea field="6" type="button" dataOnly="0" labelOnly="1" outline="0" axis="axisRow" fieldPosition="1"/>
    </format>
    <format dxfId="67">
      <pivotArea field="8" type="button" dataOnly="0" labelOnly="1" outline="0" axis="axisRow" fieldPosition="2"/>
    </format>
    <format dxfId="66">
      <pivotArea field="10" type="button" dataOnly="0" labelOnly="1" outline="0"/>
    </format>
    <format dxfId="65">
      <pivotArea field="2" type="button" dataOnly="0" labelOnly="1" outline="0"/>
    </format>
    <format dxfId="64">
      <pivotArea field="14" type="button" dataOnly="0" labelOnly="1" outline="0"/>
    </format>
    <format dxfId="63">
      <pivotArea field="15" type="button" dataOnly="0" labelOnly="1" outline="0"/>
    </format>
    <format dxfId="62">
      <pivotArea field="15" type="button" dataOnly="0" labelOnly="1" outline="0"/>
    </format>
    <format dxfId="61">
      <pivotArea dataOnly="0" labelOnly="1" outline="0" fieldPosition="0">
        <references count="1">
          <reference field="5" count="1" defaultSubtotal="1">
            <x v="0"/>
          </reference>
        </references>
      </pivotArea>
    </format>
    <format dxfId="60">
      <pivotArea dataOnly="0" labelOnly="1" outline="0" fieldPosition="0">
        <references count="1">
          <reference field="5" count="1" defaultSubtotal="1">
            <x v="1"/>
          </reference>
        </references>
      </pivotArea>
    </format>
    <format dxfId="59">
      <pivotArea dataOnly="0" labelOnly="1" outline="0" fieldPosition="0">
        <references count="1">
          <reference field="5" count="1" defaultSubtotal="1">
            <x v="2"/>
          </reference>
        </references>
      </pivotArea>
    </format>
    <format dxfId="58">
      <pivotArea dataOnly="0" labelOnly="1" outline="0" fieldPosition="0">
        <references count="1">
          <reference field="5" count="1" defaultSubtotal="1">
            <x v="3"/>
          </reference>
        </references>
      </pivotArea>
    </format>
    <format dxfId="57">
      <pivotArea dataOnly="0" labelOnly="1" outline="0" fieldPosition="0">
        <references count="1">
          <reference field="5" count="1" defaultSubtotal="1">
            <x v="4"/>
          </reference>
        </references>
      </pivotArea>
    </format>
    <format dxfId="56">
      <pivotArea dataOnly="0" labelOnly="1" outline="0" fieldPosition="0">
        <references count="1">
          <reference field="5" count="1" defaultSubtotal="1">
            <x v="5"/>
          </reference>
        </references>
      </pivotArea>
    </format>
    <format dxfId="55">
      <pivotArea dataOnly="0" labelOnly="1" outline="0" fieldPosition="0">
        <references count="1">
          <reference field="5" count="1" defaultSubtotal="1">
            <x v="6"/>
          </reference>
        </references>
      </pivotArea>
    </format>
    <format dxfId="54">
      <pivotArea dataOnly="0" labelOnly="1" outline="0" fieldPosition="0">
        <references count="1">
          <reference field="5" count="1" defaultSubtotal="1">
            <x v="7"/>
          </reference>
        </references>
      </pivotArea>
    </format>
    <format dxfId="53">
      <pivotArea dataOnly="0" labelOnly="1" outline="0" fieldPosition="0">
        <references count="1">
          <reference field="5" count="1" defaultSubtotal="1">
            <x v="8"/>
          </reference>
        </references>
      </pivotArea>
    </format>
    <format dxfId="52">
      <pivotArea dataOnly="0" labelOnly="1" outline="0" fieldPosition="0">
        <references count="1">
          <reference field="5" count="1" defaultSubtotal="1">
            <x v="9"/>
          </reference>
        </references>
      </pivotArea>
    </format>
    <format dxfId="51">
      <pivotArea dataOnly="0" labelOnly="1" outline="0" fieldPosition="0">
        <references count="1">
          <reference field="5" count="1" defaultSubtotal="1">
            <x v="10"/>
          </reference>
        </references>
      </pivotArea>
    </format>
    <format dxfId="50">
      <pivotArea dataOnly="0" labelOnly="1" outline="0" fieldPosition="0">
        <references count="1">
          <reference field="5" count="1" defaultSubtotal="1">
            <x v="11"/>
          </reference>
        </references>
      </pivotArea>
    </format>
    <format dxfId="49">
      <pivotArea dataOnly="0" labelOnly="1" outline="0" fieldPosition="0">
        <references count="1">
          <reference field="5" count="1" defaultSubtotal="1">
            <x v="12"/>
          </reference>
        </references>
      </pivotArea>
    </format>
    <format dxfId="48">
      <pivotArea dataOnly="0" labelOnly="1" outline="0" fieldPosition="0">
        <references count="1">
          <reference field="5" count="1" defaultSubtotal="1">
            <x v="13"/>
          </reference>
        </references>
      </pivotArea>
    </format>
    <format dxfId="47">
      <pivotArea dataOnly="0" labelOnly="1" outline="0" fieldPosition="0">
        <references count="1">
          <reference field="5" count="1" defaultSubtotal="1">
            <x v="14"/>
          </reference>
        </references>
      </pivotArea>
    </format>
    <format dxfId="46">
      <pivotArea dataOnly="0" labelOnly="1" outline="0" fieldPosition="0">
        <references count="1">
          <reference field="5" count="1" defaultSubtotal="1">
            <x v="15"/>
          </reference>
        </references>
      </pivotArea>
    </format>
    <format dxfId="45">
      <pivotArea dataOnly="0" labelOnly="1" outline="0" fieldPosition="0">
        <references count="1">
          <reference field="5" count="1" defaultSubtotal="1">
            <x v="16"/>
          </reference>
        </references>
      </pivotArea>
    </format>
    <format dxfId="44">
      <pivotArea dataOnly="0" labelOnly="1" grandRow="1" outline="0" fieldPosition="0"/>
    </format>
    <format dxfId="43">
      <pivotArea field="5" type="button" dataOnly="0" labelOnly="1" outline="0" axis="axisRow" fieldPosition="0"/>
    </format>
    <format dxfId="42">
      <pivotArea dataOnly="0" labelOnly="1" outline="0" fieldPosition="0">
        <references count="1">
          <reference field="5" count="1">
            <x v="0"/>
          </reference>
        </references>
      </pivotArea>
    </format>
    <format dxfId="41">
      <pivotArea dataOnly="0" labelOnly="1" outline="0" fieldPosition="0">
        <references count="1">
          <reference field="5" count="1" defaultSubtotal="1">
            <x v="0"/>
          </reference>
        </references>
      </pivotArea>
    </format>
    <format dxfId="40">
      <pivotArea dataOnly="0" labelOnly="1" outline="0" fieldPosition="0">
        <references count="1">
          <reference field="5" count="1">
            <x v="1"/>
          </reference>
        </references>
      </pivotArea>
    </format>
    <format dxfId="39">
      <pivotArea dataOnly="0" labelOnly="1" outline="0" fieldPosition="0">
        <references count="1">
          <reference field="5" count="1" defaultSubtotal="1">
            <x v="1"/>
          </reference>
        </references>
      </pivotArea>
    </format>
    <format dxfId="38">
      <pivotArea dataOnly="0" labelOnly="1" outline="0" fieldPosition="0">
        <references count="1">
          <reference field="5" count="1">
            <x v="2"/>
          </reference>
        </references>
      </pivotArea>
    </format>
    <format dxfId="37">
      <pivotArea dataOnly="0" labelOnly="1" outline="0" fieldPosition="0">
        <references count="1">
          <reference field="5" count="1" defaultSubtotal="1">
            <x v="2"/>
          </reference>
        </references>
      </pivotArea>
    </format>
    <format dxfId="36">
      <pivotArea dataOnly="0" labelOnly="1" outline="0" fieldPosition="0">
        <references count="1">
          <reference field="5" count="1">
            <x v="3"/>
          </reference>
        </references>
      </pivotArea>
    </format>
    <format dxfId="35">
      <pivotArea dataOnly="0" labelOnly="1" outline="0" fieldPosition="0">
        <references count="1">
          <reference field="5" count="1" defaultSubtotal="1">
            <x v="3"/>
          </reference>
        </references>
      </pivotArea>
    </format>
    <format dxfId="34">
      <pivotArea dataOnly="0" labelOnly="1" outline="0" fieldPosition="0">
        <references count="1">
          <reference field="5" count="1">
            <x v="4"/>
          </reference>
        </references>
      </pivotArea>
    </format>
    <format dxfId="33">
      <pivotArea dataOnly="0" labelOnly="1" outline="0" fieldPosition="0">
        <references count="1">
          <reference field="5" count="1" defaultSubtotal="1">
            <x v="4"/>
          </reference>
        </references>
      </pivotArea>
    </format>
    <format dxfId="32">
      <pivotArea dataOnly="0" labelOnly="1" outline="0" fieldPosition="0">
        <references count="1">
          <reference field="5" count="1">
            <x v="5"/>
          </reference>
        </references>
      </pivotArea>
    </format>
    <format dxfId="31">
      <pivotArea dataOnly="0" labelOnly="1" outline="0" fieldPosition="0">
        <references count="1">
          <reference field="5" count="1" defaultSubtotal="1">
            <x v="5"/>
          </reference>
        </references>
      </pivotArea>
    </format>
    <format dxfId="30">
      <pivotArea dataOnly="0" labelOnly="1" outline="0" fieldPosition="0">
        <references count="1">
          <reference field="5" count="1">
            <x v="6"/>
          </reference>
        </references>
      </pivotArea>
    </format>
    <format dxfId="29">
      <pivotArea dataOnly="0" labelOnly="1" outline="0" fieldPosition="0">
        <references count="1">
          <reference field="5" count="1" defaultSubtotal="1">
            <x v="6"/>
          </reference>
        </references>
      </pivotArea>
    </format>
    <format dxfId="28">
      <pivotArea dataOnly="0" labelOnly="1" outline="0" fieldPosition="0">
        <references count="1">
          <reference field="5" count="1">
            <x v="7"/>
          </reference>
        </references>
      </pivotArea>
    </format>
    <format dxfId="27">
      <pivotArea dataOnly="0" labelOnly="1" outline="0" fieldPosition="0">
        <references count="1">
          <reference field="5" count="1" defaultSubtotal="1">
            <x v="7"/>
          </reference>
        </references>
      </pivotArea>
    </format>
    <format dxfId="26">
      <pivotArea dataOnly="0" labelOnly="1" outline="0" fieldPosition="0">
        <references count="1">
          <reference field="5" count="1">
            <x v="8"/>
          </reference>
        </references>
      </pivotArea>
    </format>
    <format dxfId="25">
      <pivotArea dataOnly="0" labelOnly="1" outline="0" fieldPosition="0">
        <references count="1">
          <reference field="5" count="1" defaultSubtotal="1">
            <x v="8"/>
          </reference>
        </references>
      </pivotArea>
    </format>
    <format dxfId="24">
      <pivotArea dataOnly="0" labelOnly="1" outline="0" fieldPosition="0">
        <references count="1">
          <reference field="5" count="1">
            <x v="9"/>
          </reference>
        </references>
      </pivotArea>
    </format>
    <format dxfId="23">
      <pivotArea dataOnly="0" labelOnly="1" outline="0" fieldPosition="0">
        <references count="1">
          <reference field="5" count="1" defaultSubtotal="1">
            <x v="9"/>
          </reference>
        </references>
      </pivotArea>
    </format>
    <format dxfId="22">
      <pivotArea dataOnly="0" labelOnly="1" outline="0" fieldPosition="0">
        <references count="1">
          <reference field="5" count="1">
            <x v="10"/>
          </reference>
        </references>
      </pivotArea>
    </format>
    <format dxfId="21">
      <pivotArea dataOnly="0" labelOnly="1" outline="0" fieldPosition="0">
        <references count="1">
          <reference field="5" count="1" defaultSubtotal="1">
            <x v="10"/>
          </reference>
        </references>
      </pivotArea>
    </format>
    <format dxfId="20">
      <pivotArea dataOnly="0" labelOnly="1" outline="0" fieldPosition="0">
        <references count="1">
          <reference field="5" count="1">
            <x v="11"/>
          </reference>
        </references>
      </pivotArea>
    </format>
    <format dxfId="19">
      <pivotArea dataOnly="0" labelOnly="1" outline="0" fieldPosition="0">
        <references count="1">
          <reference field="5" count="1" defaultSubtotal="1">
            <x v="11"/>
          </reference>
        </references>
      </pivotArea>
    </format>
    <format dxfId="18">
      <pivotArea dataOnly="0" labelOnly="1" outline="0" fieldPosition="0">
        <references count="1">
          <reference field="5" count="1">
            <x v="12"/>
          </reference>
        </references>
      </pivotArea>
    </format>
    <format dxfId="17">
      <pivotArea dataOnly="0" labelOnly="1" outline="0" fieldPosition="0">
        <references count="1">
          <reference field="5" count="1" defaultSubtotal="1">
            <x v="12"/>
          </reference>
        </references>
      </pivotArea>
    </format>
    <format dxfId="16">
      <pivotArea dataOnly="0" labelOnly="1" outline="0" fieldPosition="0">
        <references count="1">
          <reference field="5" count="1">
            <x v="13"/>
          </reference>
        </references>
      </pivotArea>
    </format>
    <format dxfId="15">
      <pivotArea dataOnly="0" labelOnly="1" outline="0" fieldPosition="0">
        <references count="1">
          <reference field="5" count="1" defaultSubtotal="1">
            <x v="13"/>
          </reference>
        </references>
      </pivotArea>
    </format>
    <format dxfId="14">
      <pivotArea dataOnly="0" labelOnly="1" outline="0" fieldPosition="0">
        <references count="1">
          <reference field="5" count="1">
            <x v="14"/>
          </reference>
        </references>
      </pivotArea>
    </format>
    <format dxfId="13">
      <pivotArea dataOnly="0" labelOnly="1" outline="0" fieldPosition="0">
        <references count="1">
          <reference field="5" count="1" defaultSubtotal="1">
            <x v="14"/>
          </reference>
        </references>
      </pivotArea>
    </format>
    <format dxfId="12">
      <pivotArea dataOnly="0" labelOnly="1" outline="0" fieldPosition="0">
        <references count="1">
          <reference field="5" count="1">
            <x v="15"/>
          </reference>
        </references>
      </pivotArea>
    </format>
    <format dxfId="11">
      <pivotArea dataOnly="0" labelOnly="1" outline="0" fieldPosition="0">
        <references count="1">
          <reference field="5" count="1" defaultSubtotal="1">
            <x v="15"/>
          </reference>
        </references>
      </pivotArea>
    </format>
    <format dxfId="10">
      <pivotArea dataOnly="0" labelOnly="1" outline="0" fieldPosition="0">
        <references count="1">
          <reference field="5" count="1">
            <x v="16"/>
          </reference>
        </references>
      </pivotArea>
    </format>
    <format dxfId="9">
      <pivotArea dataOnly="0" labelOnly="1" outline="0" fieldPosition="0">
        <references count="1">
          <reference field="5" count="1" defaultSubtotal="1">
            <x v="16"/>
          </reference>
        </references>
      </pivotArea>
    </format>
    <format dxfId="8">
      <pivotArea dataOnly="0" labelOnly="1" grandRow="1" outline="0" fieldPosition="0"/>
    </format>
    <format dxfId="7">
      <pivotArea outline="0" collapsedLevelsAreSubtotals="1" fieldPosition="0"/>
    </format>
    <format dxfId="6">
      <pivotArea field="8" type="button" dataOnly="0" labelOnly="1" outline="0" axis="axisRow" fieldPosition="2"/>
    </format>
    <format dxfId="5">
      <pivotArea field="10" type="button" dataOnly="0" labelOnly="1" outline="0"/>
    </format>
    <format dxfId="4">
      <pivotArea field="2" type="button" dataOnly="0" labelOnly="1" outline="0"/>
    </format>
    <format dxfId="3">
      <pivotArea field="14" type="button" dataOnly="0" labelOnly="1" outline="0"/>
    </format>
    <format dxfId="2">
      <pivotArea field="15" type="button" dataOnly="0" labelOnly="1" outline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66F"/>
  </sheetPr>
  <dimension ref="A1:N1742"/>
  <sheetViews>
    <sheetView showGridLines="0" tabSelected="1" zoomScale="80" zoomScaleNormal="80" workbookViewId="0">
      <pane ySplit="4" topLeftCell="A23" activePane="bottomLeft" state="frozen"/>
      <selection pane="bottomLeft" activeCell="C85" sqref="C85:K91"/>
    </sheetView>
  </sheetViews>
  <sheetFormatPr defaultRowHeight="14.4" x14ac:dyDescent="0.3"/>
  <cols>
    <col min="1" max="1" width="11.109375" style="1" customWidth="1"/>
    <col min="2" max="2" width="12.33203125" style="1" customWidth="1"/>
    <col min="3" max="3" width="30.6640625" style="1" customWidth="1"/>
    <col min="4" max="4" width="20.88671875" style="1" bestFit="1" customWidth="1"/>
    <col min="5" max="5" width="15.6640625" style="1" customWidth="1"/>
    <col min="6" max="8" width="16.6640625" style="1" customWidth="1"/>
    <col min="9" max="9" width="24.33203125" bestFit="1" customWidth="1"/>
    <col min="10" max="10" width="27.44140625" style="1" bestFit="1" customWidth="1"/>
    <col min="11" max="11" width="22.33203125" style="1" bestFit="1" customWidth="1"/>
    <col min="12" max="12" width="14.5546875" style="1" customWidth="1"/>
    <col min="13" max="13" width="16.5546875" style="5" customWidth="1"/>
    <col min="14" max="14" width="18.88671875" customWidth="1"/>
    <col min="15" max="15" width="18.6640625" customWidth="1"/>
    <col min="29" max="29" width="9.109375" customWidth="1"/>
  </cols>
  <sheetData>
    <row r="1" spans="1:14" ht="21.75" customHeight="1" x14ac:dyDescent="0.3">
      <c r="C1" s="81" t="s">
        <v>14</v>
      </c>
      <c r="D1" s="81"/>
      <c r="E1" s="81"/>
      <c r="F1" s="81"/>
      <c r="G1" s="81"/>
      <c r="H1" s="81"/>
      <c r="I1" s="81"/>
      <c r="J1" s="81"/>
      <c r="K1" s="6"/>
      <c r="L1" s="6"/>
    </row>
    <row r="2" spans="1:14" ht="21.75" customHeight="1" x14ac:dyDescent="0.3">
      <c r="C2" s="81"/>
      <c r="D2" s="81"/>
      <c r="E2" s="81"/>
      <c r="F2" s="81"/>
      <c r="G2" s="81"/>
      <c r="H2" s="81"/>
      <c r="I2" s="81"/>
      <c r="J2" s="81"/>
      <c r="K2" s="11" t="s">
        <v>12</v>
      </c>
      <c r="L2" s="6"/>
    </row>
    <row r="3" spans="1:14" ht="23.25" customHeight="1" x14ac:dyDescent="0.3">
      <c r="A3" s="3"/>
      <c r="B3" s="2"/>
      <c r="C3" s="82"/>
      <c r="D3" s="82"/>
      <c r="E3" s="82"/>
      <c r="F3" s="82"/>
      <c r="G3" s="82"/>
      <c r="H3" s="82"/>
      <c r="I3" s="82"/>
      <c r="J3" s="82"/>
      <c r="K3" s="12">
        <f ca="1">TODAY()</f>
        <v>46163</v>
      </c>
      <c r="L3" s="6"/>
      <c r="M3" s="80" t="s">
        <v>6</v>
      </c>
      <c r="N3" s="80"/>
    </row>
    <row r="4" spans="1:14" s="4" customFormat="1" ht="45" customHeight="1" x14ac:dyDescent="0.3">
      <c r="A4" s="9" t="s">
        <v>1</v>
      </c>
      <c r="B4" s="9" t="s">
        <v>9</v>
      </c>
      <c r="C4" s="9" t="s">
        <v>10</v>
      </c>
      <c r="D4" s="9" t="s">
        <v>13</v>
      </c>
      <c r="E4" s="9" t="s">
        <v>2</v>
      </c>
      <c r="F4" s="7" t="s">
        <v>5</v>
      </c>
      <c r="G4" s="7" t="s">
        <v>99</v>
      </c>
      <c r="H4" s="9" t="s">
        <v>3</v>
      </c>
      <c r="I4" s="9" t="s">
        <v>95</v>
      </c>
      <c r="J4" s="9" t="s">
        <v>4</v>
      </c>
      <c r="K4" s="10" t="s">
        <v>0</v>
      </c>
      <c r="L4" s="8" t="s">
        <v>11</v>
      </c>
      <c r="M4" s="32" t="s">
        <v>7</v>
      </c>
      <c r="N4" s="33" t="s">
        <v>8</v>
      </c>
    </row>
    <row r="5" spans="1:14" ht="15.6" x14ac:dyDescent="0.3">
      <c r="A5" s="13" t="str">
        <f t="shared" ref="A5:A68" si="0">CONCATENATE(B5,"-",E5)</f>
        <v>200509-1</v>
      </c>
      <c r="B5" s="21">
        <v>200509</v>
      </c>
      <c r="C5" s="22" t="s">
        <v>29</v>
      </c>
      <c r="D5" s="23" t="s">
        <v>94</v>
      </c>
      <c r="E5" s="23">
        <v>1</v>
      </c>
      <c r="F5" s="22">
        <v>17.119999999999997</v>
      </c>
      <c r="G5" s="34">
        <f>SUMIFS('BASE EXEC. Q.L'!N:N,'BASE EXEC. Q.L'!B:B,VOOS!A5)</f>
        <v>0</v>
      </c>
      <c r="H5" s="15" t="str">
        <f>IFERROR(_xlfn.XLOOKUP(A5,'BASE SQL PLANTIO'!B:B,'BASE SQL PLANTIO'!T:T,"verificar",0),"")</f>
        <v>CTC 9008</v>
      </c>
      <c r="I5" s="77">
        <f>_xlfn.MINIFS('BASE SQL PLANTIO'!E:E,'BASE SQL PLANTIO'!B:B,VOOS!A5)</f>
        <v>46155</v>
      </c>
      <c r="J5" s="22" t="s">
        <v>96</v>
      </c>
      <c r="K5" s="34">
        <f t="shared" ref="K5:K68" ca="1" si="1">IF(I5="","",$K$3-I5)</f>
        <v>8</v>
      </c>
      <c r="L5" s="35">
        <f t="shared" ref="L5:L68" ca="1" si="2">K5</f>
        <v>8</v>
      </c>
      <c r="M5" s="14"/>
      <c r="N5" s="15"/>
    </row>
    <row r="6" spans="1:14" ht="15.6" x14ac:dyDescent="0.3">
      <c r="A6" s="13" t="str">
        <f t="shared" si="0"/>
        <v>200509-2</v>
      </c>
      <c r="B6" s="24">
        <v>200509</v>
      </c>
      <c r="C6" s="25" t="s">
        <v>29</v>
      </c>
      <c r="D6" s="23" t="s">
        <v>94</v>
      </c>
      <c r="E6" s="25">
        <v>2</v>
      </c>
      <c r="F6" s="22">
        <v>0.6</v>
      </c>
      <c r="G6" s="34">
        <f>SUMIFS('BASE EXEC. Q.L'!N:N,'BASE EXEC. Q.L'!B:B,VOOS!A6)</f>
        <v>0</v>
      </c>
      <c r="H6" s="15" t="str">
        <f>IFERROR(_xlfn.XLOOKUP(A6,'BASE SQL PLANTIO'!B:B,'BASE SQL PLANTIO'!T:T,"verificar",0),"")</f>
        <v>CTC 9008</v>
      </c>
      <c r="I6" s="77">
        <f>_xlfn.MINIFS('BASE SQL PLANTIO'!E:E,'BASE SQL PLANTIO'!B:B,VOOS!A6)</f>
        <v>46156</v>
      </c>
      <c r="J6" s="22" t="s">
        <v>96</v>
      </c>
      <c r="K6" s="34">
        <f t="shared" ca="1" si="1"/>
        <v>7</v>
      </c>
      <c r="L6" s="35">
        <f t="shared" ca="1" si="2"/>
        <v>7</v>
      </c>
      <c r="M6" s="14"/>
      <c r="N6" s="16"/>
    </row>
    <row r="7" spans="1:14" ht="15.6" x14ac:dyDescent="0.3">
      <c r="A7" s="13" t="str">
        <f t="shared" si="0"/>
        <v>200509-3</v>
      </c>
      <c r="B7" s="24">
        <v>200509</v>
      </c>
      <c r="C7" s="25" t="s">
        <v>29</v>
      </c>
      <c r="D7" s="23" t="s">
        <v>94</v>
      </c>
      <c r="E7" s="25">
        <v>3</v>
      </c>
      <c r="F7" s="22">
        <v>21.19</v>
      </c>
      <c r="G7" s="34">
        <f>SUMIFS('BASE EXEC. Q.L'!N:N,'BASE EXEC. Q.L'!B:B,VOOS!A7)</f>
        <v>0</v>
      </c>
      <c r="H7" s="15" t="str">
        <f>IFERROR(_xlfn.XLOOKUP(A7,'BASE SQL PLANTIO'!B:B,'BASE SQL PLANTIO'!T:T,"verificar",0),"")</f>
        <v>CTC 9008</v>
      </c>
      <c r="I7" s="77">
        <f>_xlfn.MINIFS('BASE SQL PLANTIO'!E:E,'BASE SQL PLANTIO'!B:B,VOOS!A7)</f>
        <v>46156</v>
      </c>
      <c r="J7" s="22" t="s">
        <v>96</v>
      </c>
      <c r="K7" s="34">
        <f t="shared" ca="1" si="1"/>
        <v>7</v>
      </c>
      <c r="L7" s="35">
        <f t="shared" ca="1" si="2"/>
        <v>7</v>
      </c>
      <c r="M7" s="14"/>
      <c r="N7" s="16"/>
    </row>
    <row r="8" spans="1:14" ht="15.6" x14ac:dyDescent="0.3">
      <c r="A8" s="13" t="str">
        <f t="shared" si="0"/>
        <v>200518-1</v>
      </c>
      <c r="B8" s="21">
        <v>200518</v>
      </c>
      <c r="C8" s="26" t="s">
        <v>31</v>
      </c>
      <c r="D8" s="23" t="s">
        <v>94</v>
      </c>
      <c r="E8" s="26">
        <v>1</v>
      </c>
      <c r="F8" s="22">
        <v>32.25</v>
      </c>
      <c r="G8" s="34">
        <f>SUMIFS('BASE EXEC. Q.L'!N:N,'BASE EXEC. Q.L'!B:B,VOOS!A8)</f>
        <v>0</v>
      </c>
      <c r="H8" s="15" t="str">
        <f>IFERROR(_xlfn.XLOOKUP(A8,'BASE SQL PLANTIO'!B:B,'BASE SQL PLANTIO'!T:T,"verificar",0),"")</f>
        <v>CTC 9008</v>
      </c>
      <c r="I8" s="77">
        <f>IF(_xlfn.MINIFS('BASE SQL PLANTIO'!E:E,'BASE SQL PLANTIO'!B:B,VOOS!A8)=0/1/1900,"",_xlfn.MINIFS('BASE SQL PLANTIO'!E:E,'BASE SQL PLANTIO'!B:B,VOOS!A8))</f>
        <v>46152</v>
      </c>
      <c r="J8" s="22" t="s">
        <v>96</v>
      </c>
      <c r="K8" s="34">
        <f t="shared" ca="1" si="1"/>
        <v>11</v>
      </c>
      <c r="L8" s="35">
        <f t="shared" ca="1" si="2"/>
        <v>11</v>
      </c>
      <c r="M8" s="14"/>
      <c r="N8" s="16"/>
    </row>
    <row r="9" spans="1:14" ht="15.6" x14ac:dyDescent="0.3">
      <c r="A9" s="13" t="str">
        <f t="shared" si="0"/>
        <v>200518-2</v>
      </c>
      <c r="B9" s="27">
        <v>200518</v>
      </c>
      <c r="C9" s="26" t="s">
        <v>31</v>
      </c>
      <c r="D9" s="23" t="s">
        <v>94</v>
      </c>
      <c r="E9" s="26">
        <v>2</v>
      </c>
      <c r="F9" s="22">
        <v>35.269999999999996</v>
      </c>
      <c r="G9" s="34">
        <f>SUMIFS('BASE EXEC. Q.L'!N:N,'BASE EXEC. Q.L'!B:B,VOOS!A9)</f>
        <v>0</v>
      </c>
      <c r="H9" s="15" t="str">
        <f>IFERROR(_xlfn.XLOOKUP(A9,'BASE SQL PLANTIO'!B:B,'BASE SQL PLANTIO'!T:T,"verificar",0),"")</f>
        <v>CTC 9008</v>
      </c>
      <c r="I9" s="77">
        <f>IF(_xlfn.MINIFS('BASE SQL PLANTIO'!E:E,'BASE SQL PLANTIO'!B:B,VOOS!A9)=0/1/1900,"",_xlfn.MINIFS('BASE SQL PLANTIO'!E:E,'BASE SQL PLANTIO'!B:B,VOOS!A9))</f>
        <v>46122</v>
      </c>
      <c r="J9" s="22" t="s">
        <v>96</v>
      </c>
      <c r="K9" s="34">
        <f t="shared" ca="1" si="1"/>
        <v>41</v>
      </c>
      <c r="L9" s="35">
        <f t="shared" ca="1" si="2"/>
        <v>41</v>
      </c>
      <c r="M9" s="14"/>
      <c r="N9" s="16"/>
    </row>
    <row r="10" spans="1:14" ht="15.6" x14ac:dyDescent="0.3">
      <c r="A10" s="13" t="str">
        <f t="shared" si="0"/>
        <v>200518-3</v>
      </c>
      <c r="B10" s="25">
        <v>200518</v>
      </c>
      <c r="C10" s="25" t="s">
        <v>31</v>
      </c>
      <c r="D10" s="23" t="s">
        <v>94</v>
      </c>
      <c r="E10" s="25">
        <v>3</v>
      </c>
      <c r="F10" s="28">
        <v>38.11999999999999</v>
      </c>
      <c r="G10" s="34">
        <f>SUMIFS('BASE EXEC. Q.L'!N:N,'BASE EXEC. Q.L'!B:B,VOOS!A10)</f>
        <v>0</v>
      </c>
      <c r="H10" s="15" t="str">
        <f>IFERROR(_xlfn.XLOOKUP(A10,'BASE SQL PLANTIO'!B:B,'BASE SQL PLANTIO'!T:T,"verificar",0),"")</f>
        <v>RB97 5242</v>
      </c>
      <c r="I10" s="77">
        <f>IF(_xlfn.MINIFS('BASE SQL PLANTIO'!E:E,'BASE SQL PLANTIO'!B:B,VOOS!A10)=0/1/1900,"",_xlfn.MINIFS('BASE SQL PLANTIO'!E:E,'BASE SQL PLANTIO'!B:B,VOOS!A10))</f>
        <v>46122</v>
      </c>
      <c r="J10" s="22" t="s">
        <v>96</v>
      </c>
      <c r="K10" s="34">
        <f t="shared" ca="1" si="1"/>
        <v>41</v>
      </c>
      <c r="L10" s="35">
        <f t="shared" ca="1" si="2"/>
        <v>41</v>
      </c>
      <c r="M10" s="14"/>
      <c r="N10" s="16"/>
    </row>
    <row r="11" spans="1:14" ht="15.6" x14ac:dyDescent="0.3">
      <c r="A11" s="13" t="str">
        <f t="shared" si="0"/>
        <v>200518-4</v>
      </c>
      <c r="B11" s="25">
        <v>200518</v>
      </c>
      <c r="C11" s="25" t="s">
        <v>31</v>
      </c>
      <c r="D11" s="23" t="s">
        <v>94</v>
      </c>
      <c r="E11" s="25">
        <v>4</v>
      </c>
      <c r="F11" s="28">
        <v>31.71</v>
      </c>
      <c r="G11" s="34">
        <f>SUMIFS('BASE EXEC. Q.L'!N:N,'BASE EXEC. Q.L'!B:B,VOOS!A11)</f>
        <v>0</v>
      </c>
      <c r="H11" s="15" t="str">
        <f>IFERROR(_xlfn.XLOOKUP(A11,'BASE SQL PLANTIO'!B:B,'BASE SQL PLANTIO'!T:T,"verificar",0),"")</f>
        <v>CTC 9008</v>
      </c>
      <c r="I11" s="77">
        <f>IF(_xlfn.MINIFS('BASE SQL PLANTIO'!E:E,'BASE SQL PLANTIO'!B:B,VOOS!A11)=0/1/1900,"",_xlfn.MINIFS('BASE SQL PLANTIO'!E:E,'BASE SQL PLANTIO'!B:B,VOOS!A11))</f>
        <v>46128</v>
      </c>
      <c r="J11" s="22" t="s">
        <v>96</v>
      </c>
      <c r="K11" s="34">
        <f t="shared" ca="1" si="1"/>
        <v>35</v>
      </c>
      <c r="L11" s="35">
        <f t="shared" ca="1" si="2"/>
        <v>35</v>
      </c>
      <c r="M11" s="14"/>
      <c r="N11" s="16"/>
    </row>
    <row r="12" spans="1:14" ht="15.6" x14ac:dyDescent="0.3">
      <c r="A12" s="13" t="str">
        <f t="shared" si="0"/>
        <v>200518-5</v>
      </c>
      <c r="B12" s="25">
        <v>200518</v>
      </c>
      <c r="C12" s="25" t="s">
        <v>31</v>
      </c>
      <c r="D12" s="23" t="s">
        <v>94</v>
      </c>
      <c r="E12" s="25">
        <v>5</v>
      </c>
      <c r="F12" s="28">
        <v>32.07</v>
      </c>
      <c r="G12" s="34">
        <f>SUMIFS('BASE EXEC. Q.L'!N:N,'BASE EXEC. Q.L'!B:B,VOOS!A12)</f>
        <v>0</v>
      </c>
      <c r="H12" s="15" t="str">
        <f>IFERROR(_xlfn.XLOOKUP(A12,'BASE SQL PLANTIO'!B:B,'BASE SQL PLANTIO'!T:T,"verificar",0),"")</f>
        <v>CTC 9008</v>
      </c>
      <c r="I12" s="77">
        <f>IF(_xlfn.MINIFS('BASE SQL PLANTIO'!E:E,'BASE SQL PLANTIO'!B:B,VOOS!A12)=0/1/1900,"",_xlfn.MINIFS('BASE SQL PLANTIO'!E:E,'BASE SQL PLANTIO'!B:B,VOOS!A12))</f>
        <v>46136</v>
      </c>
      <c r="J12" s="22" t="s">
        <v>96</v>
      </c>
      <c r="K12" s="34">
        <f t="shared" ca="1" si="1"/>
        <v>27</v>
      </c>
      <c r="L12" s="35">
        <f t="shared" ca="1" si="2"/>
        <v>27</v>
      </c>
      <c r="M12" s="14"/>
      <c r="N12" s="16"/>
    </row>
    <row r="13" spans="1:14" ht="15.6" x14ac:dyDescent="0.3">
      <c r="A13" s="13" t="str">
        <f t="shared" si="0"/>
        <v>200518-6</v>
      </c>
      <c r="B13" s="27">
        <v>200518</v>
      </c>
      <c r="C13" s="26" t="s">
        <v>31</v>
      </c>
      <c r="D13" s="23" t="s">
        <v>94</v>
      </c>
      <c r="E13" s="26">
        <v>6</v>
      </c>
      <c r="F13" s="22">
        <v>22.139999999999997</v>
      </c>
      <c r="G13" s="34">
        <f>SUMIFS('BASE EXEC. Q.L'!N:N,'BASE EXEC. Q.L'!B:B,VOOS!A13)</f>
        <v>0</v>
      </c>
      <c r="H13" s="15" t="str">
        <f>IFERROR(_xlfn.XLOOKUP(A13,'BASE SQL PLANTIO'!B:B,'BASE SQL PLANTIO'!T:T,"verificar",0),"")</f>
        <v>RB97 5242</v>
      </c>
      <c r="I13" s="77">
        <f>IF(_xlfn.MINIFS('BASE SQL PLANTIO'!E:E,'BASE SQL PLANTIO'!B:B,VOOS!A13)=0/1/1900,"",_xlfn.MINIFS('BASE SQL PLANTIO'!E:E,'BASE SQL PLANTIO'!B:B,VOOS!A13))</f>
        <v>46138</v>
      </c>
      <c r="J13" s="22" t="s">
        <v>96</v>
      </c>
      <c r="K13" s="34">
        <f t="shared" ca="1" si="1"/>
        <v>25</v>
      </c>
      <c r="L13" s="35">
        <f t="shared" ca="1" si="2"/>
        <v>25</v>
      </c>
      <c r="M13" s="14"/>
      <c r="N13" s="16"/>
    </row>
    <row r="14" spans="1:14" ht="15.6" x14ac:dyDescent="0.3">
      <c r="A14" s="13" t="str">
        <f t="shared" si="0"/>
        <v>200518-7</v>
      </c>
      <c r="B14" s="21">
        <v>200518</v>
      </c>
      <c r="C14" s="26" t="s">
        <v>31</v>
      </c>
      <c r="D14" s="23" t="s">
        <v>94</v>
      </c>
      <c r="E14" s="26">
        <v>7</v>
      </c>
      <c r="F14" s="22">
        <v>19.440000000000001</v>
      </c>
      <c r="G14" s="34">
        <f>SUMIFS('BASE EXEC. Q.L'!N:N,'BASE EXEC. Q.L'!B:B,VOOS!A14)</f>
        <v>0</v>
      </c>
      <c r="H14" s="15" t="str">
        <f>IFERROR(_xlfn.XLOOKUP(A14,'BASE SQL PLANTIO'!B:B,'BASE SQL PLANTIO'!T:T,"verificar",0),"")</f>
        <v>RB97 5242</v>
      </c>
      <c r="I14" s="77">
        <f>IF(_xlfn.MINIFS('BASE SQL PLANTIO'!E:E,'BASE SQL PLANTIO'!B:B,VOOS!A14)=0/1/1900,"",_xlfn.MINIFS('BASE SQL PLANTIO'!E:E,'BASE SQL PLANTIO'!B:B,VOOS!A14))</f>
        <v>46148</v>
      </c>
      <c r="J14" s="22" t="s">
        <v>96</v>
      </c>
      <c r="K14" s="34">
        <f t="shared" ca="1" si="1"/>
        <v>15</v>
      </c>
      <c r="L14" s="35">
        <f t="shared" ca="1" si="2"/>
        <v>15</v>
      </c>
      <c r="M14" s="14"/>
      <c r="N14" s="16"/>
    </row>
    <row r="15" spans="1:14" ht="15.6" x14ac:dyDescent="0.3">
      <c r="A15" s="13" t="str">
        <f t="shared" si="0"/>
        <v>200518-8</v>
      </c>
      <c r="B15" s="21">
        <v>200518</v>
      </c>
      <c r="C15" s="26" t="s">
        <v>31</v>
      </c>
      <c r="D15" s="23" t="s">
        <v>94</v>
      </c>
      <c r="E15" s="26">
        <v>8</v>
      </c>
      <c r="F15" s="22">
        <v>6.18</v>
      </c>
      <c r="G15" s="34">
        <f>SUMIFS('BASE EXEC. Q.L'!N:N,'BASE EXEC. Q.L'!B:B,VOOS!A15)</f>
        <v>0</v>
      </c>
      <c r="H15" s="15" t="str">
        <f>IFERROR(_xlfn.XLOOKUP(A15,'BASE SQL PLANTIO'!B:B,'BASE SQL PLANTIO'!T:T,"verificar",0),"")</f>
        <v>CTC 9008</v>
      </c>
      <c r="I15" s="77">
        <f>IF(_xlfn.MINIFS('BASE SQL PLANTIO'!E:E,'BASE SQL PLANTIO'!B:B,VOOS!A15)=0/1/1900,"",_xlfn.MINIFS('BASE SQL PLANTIO'!E:E,'BASE SQL PLANTIO'!B:B,VOOS!A15))</f>
        <v>46142</v>
      </c>
      <c r="J15" s="22" t="s">
        <v>96</v>
      </c>
      <c r="K15" s="34">
        <f t="shared" ca="1" si="1"/>
        <v>21</v>
      </c>
      <c r="L15" s="35">
        <f t="shared" ca="1" si="2"/>
        <v>21</v>
      </c>
      <c r="M15" s="14"/>
      <c r="N15" s="16"/>
    </row>
    <row r="16" spans="1:14" ht="15.6" x14ac:dyDescent="0.3">
      <c r="A16" s="13" t="str">
        <f t="shared" si="0"/>
        <v>200518-9</v>
      </c>
      <c r="B16" s="21">
        <v>200518</v>
      </c>
      <c r="C16" s="26" t="s">
        <v>31</v>
      </c>
      <c r="D16" s="23" t="s">
        <v>94</v>
      </c>
      <c r="E16" s="26">
        <v>9</v>
      </c>
      <c r="F16" s="22">
        <v>22.840000000000003</v>
      </c>
      <c r="G16" s="34">
        <f>SUMIFS('BASE EXEC. Q.L'!N:N,'BASE EXEC. Q.L'!B:B,VOOS!A16)</f>
        <v>0</v>
      </c>
      <c r="H16" s="15" t="str">
        <f>IFERROR(_xlfn.XLOOKUP(A16,'BASE SQL PLANTIO'!B:B,'BASE SQL PLANTIO'!T:T,"verificar",0),"")</f>
        <v>RB97 5242</v>
      </c>
      <c r="I16" s="77">
        <f>IF(_xlfn.MINIFS('BASE SQL PLANTIO'!E:E,'BASE SQL PLANTIO'!B:B,VOOS!A16)=0/1/1900,"",_xlfn.MINIFS('BASE SQL PLANTIO'!E:E,'BASE SQL PLANTIO'!B:B,VOOS!A16))</f>
        <v>46142</v>
      </c>
      <c r="J16" s="22" t="s">
        <v>96</v>
      </c>
      <c r="K16" s="34">
        <f t="shared" ca="1" si="1"/>
        <v>21</v>
      </c>
      <c r="L16" s="35">
        <f t="shared" ca="1" si="2"/>
        <v>21</v>
      </c>
      <c r="M16" s="14"/>
      <c r="N16" s="16"/>
    </row>
    <row r="17" spans="1:14" ht="15.6" x14ac:dyDescent="0.3">
      <c r="A17" s="13" t="str">
        <f t="shared" si="0"/>
        <v>200518-10</v>
      </c>
      <c r="B17" s="27">
        <v>200518</v>
      </c>
      <c r="C17" s="26" t="s">
        <v>31</v>
      </c>
      <c r="D17" s="23" t="s">
        <v>94</v>
      </c>
      <c r="E17" s="26">
        <v>10</v>
      </c>
      <c r="F17" s="22">
        <v>37.549999999999997</v>
      </c>
      <c r="G17" s="34">
        <f>SUMIFS('BASE EXEC. Q.L'!N:N,'BASE EXEC. Q.L'!B:B,VOOS!A17)</f>
        <v>0</v>
      </c>
      <c r="H17" s="15" t="str">
        <f>IFERROR(_xlfn.XLOOKUP(A17,'BASE SQL PLANTIO'!B:B,'BASE SQL PLANTIO'!T:T,"verificar",0),"")</f>
        <v>RB97 5242</v>
      </c>
      <c r="I17" s="77">
        <f>IF(_xlfn.MINIFS('BASE SQL PLANTIO'!E:E,'BASE SQL PLANTIO'!B:B,VOOS!A17)=0/1/1900,"",_xlfn.MINIFS('BASE SQL PLANTIO'!E:E,'BASE SQL PLANTIO'!B:B,VOOS!A17))</f>
        <v>46137</v>
      </c>
      <c r="J17" s="22" t="s">
        <v>96</v>
      </c>
      <c r="K17" s="34">
        <f t="shared" ca="1" si="1"/>
        <v>26</v>
      </c>
      <c r="L17" s="35">
        <f t="shared" ca="1" si="2"/>
        <v>26</v>
      </c>
      <c r="M17" s="14"/>
      <c r="N17" s="16"/>
    </row>
    <row r="18" spans="1:14" ht="15.6" x14ac:dyDescent="0.3">
      <c r="A18" s="13" t="str">
        <f t="shared" si="0"/>
        <v>200518-11</v>
      </c>
      <c r="B18" s="25">
        <v>200518</v>
      </c>
      <c r="C18" s="25" t="s">
        <v>31</v>
      </c>
      <c r="D18" s="23" t="s">
        <v>94</v>
      </c>
      <c r="E18" s="25">
        <v>11</v>
      </c>
      <c r="F18" s="22">
        <v>26.67</v>
      </c>
      <c r="G18" s="34">
        <f>SUMIFS('BASE EXEC. Q.L'!N:N,'BASE EXEC. Q.L'!B:B,VOOS!A18)</f>
        <v>0</v>
      </c>
      <c r="H18" s="15" t="str">
        <f>IFERROR(_xlfn.XLOOKUP(A18,'BASE SQL PLANTIO'!B:B,'BASE SQL PLANTIO'!T:T,"verificar",0),"")</f>
        <v>RB97 5242</v>
      </c>
      <c r="I18" s="77">
        <f>IF(_xlfn.MINIFS('BASE SQL PLANTIO'!E:E,'BASE SQL PLANTIO'!B:B,VOOS!A18)=0/1/1900,"",_xlfn.MINIFS('BASE SQL PLANTIO'!E:E,'BASE SQL PLANTIO'!B:B,VOOS!A18))</f>
        <v>46141</v>
      </c>
      <c r="J18" s="22" t="s">
        <v>96</v>
      </c>
      <c r="K18" s="34">
        <f t="shared" ca="1" si="1"/>
        <v>22</v>
      </c>
      <c r="L18" s="35">
        <f t="shared" ca="1" si="2"/>
        <v>22</v>
      </c>
      <c r="M18" s="14"/>
      <c r="N18" s="16"/>
    </row>
    <row r="19" spans="1:14" ht="15.6" x14ac:dyDescent="0.3">
      <c r="A19" s="13" t="str">
        <f t="shared" si="0"/>
        <v>200518-12</v>
      </c>
      <c r="B19" s="21">
        <v>200518</v>
      </c>
      <c r="C19" s="26" t="s">
        <v>31</v>
      </c>
      <c r="D19" s="23" t="s">
        <v>94</v>
      </c>
      <c r="E19" s="26">
        <v>12</v>
      </c>
      <c r="F19" s="22">
        <v>22.43</v>
      </c>
      <c r="G19" s="34">
        <f>SUMIFS('BASE EXEC. Q.L'!N:N,'BASE EXEC. Q.L'!B:B,VOOS!A19)</f>
        <v>0</v>
      </c>
      <c r="H19" s="15" t="str">
        <f>IFERROR(_xlfn.XLOOKUP(A19,'BASE SQL PLANTIO'!B:B,'BASE SQL PLANTIO'!T:T,"verificar",0),"")</f>
        <v>CTC 9008</v>
      </c>
      <c r="I19" s="77">
        <f>IF(_xlfn.MINIFS('BASE SQL PLANTIO'!E:E,'BASE SQL PLANTIO'!B:B,VOOS!A19)=0/1/1900,"",_xlfn.MINIFS('BASE SQL PLANTIO'!E:E,'BASE SQL PLANTIO'!B:B,VOOS!A19))</f>
        <v>46139</v>
      </c>
      <c r="J19" s="22" t="s">
        <v>96</v>
      </c>
      <c r="K19" s="34">
        <f t="shared" ca="1" si="1"/>
        <v>24</v>
      </c>
      <c r="L19" s="35">
        <f t="shared" ca="1" si="2"/>
        <v>24</v>
      </c>
      <c r="M19" s="14"/>
      <c r="N19" s="16"/>
    </row>
    <row r="20" spans="1:14" ht="15.6" x14ac:dyDescent="0.3">
      <c r="A20" s="13" t="str">
        <f t="shared" si="0"/>
        <v>200518-13</v>
      </c>
      <c r="B20" s="21">
        <v>200518</v>
      </c>
      <c r="C20" s="26" t="s">
        <v>31</v>
      </c>
      <c r="D20" s="23" t="s">
        <v>94</v>
      </c>
      <c r="E20" s="26">
        <v>13</v>
      </c>
      <c r="F20" s="22">
        <v>16.650000000000002</v>
      </c>
      <c r="G20" s="34">
        <f>SUMIFS('BASE EXEC. Q.L'!N:N,'BASE EXEC. Q.L'!B:B,VOOS!A20)</f>
        <v>0</v>
      </c>
      <c r="H20" s="15" t="str">
        <f>IFERROR(_xlfn.XLOOKUP(A20,'BASE SQL PLANTIO'!B:B,'BASE SQL PLANTIO'!T:T,"verificar",0),"")</f>
        <v>CTC 9008</v>
      </c>
      <c r="I20" s="77">
        <f>IF(_xlfn.MINIFS('BASE SQL PLANTIO'!E:E,'BASE SQL PLANTIO'!B:B,VOOS!A20)=0/1/1900,"",_xlfn.MINIFS('BASE SQL PLANTIO'!E:E,'BASE SQL PLANTIO'!B:B,VOOS!A20))</f>
        <v>46140</v>
      </c>
      <c r="J20" s="22" t="s">
        <v>96</v>
      </c>
      <c r="K20" s="34">
        <f t="shared" ca="1" si="1"/>
        <v>23</v>
      </c>
      <c r="L20" s="35">
        <f t="shared" ca="1" si="2"/>
        <v>23</v>
      </c>
      <c r="M20" s="14"/>
      <c r="N20" s="16"/>
    </row>
    <row r="21" spans="1:14" ht="15.6" x14ac:dyDescent="0.3">
      <c r="A21" s="13" t="str">
        <f t="shared" si="0"/>
        <v>200518-14</v>
      </c>
      <c r="B21" s="21">
        <v>200518</v>
      </c>
      <c r="C21" s="26" t="s">
        <v>31</v>
      </c>
      <c r="D21" s="23" t="s">
        <v>94</v>
      </c>
      <c r="E21" s="26">
        <v>14</v>
      </c>
      <c r="F21" s="22">
        <v>32.510000000000005</v>
      </c>
      <c r="G21" s="34">
        <f>SUMIFS('BASE EXEC. Q.L'!N:N,'BASE EXEC. Q.L'!B:B,VOOS!A21)</f>
        <v>0</v>
      </c>
      <c r="H21" s="15" t="str">
        <f>IFERROR(_xlfn.XLOOKUP(A21,'BASE SQL PLANTIO'!B:B,'BASE SQL PLANTIO'!T:T,"verificar",0),"")</f>
        <v>RB97 5242</v>
      </c>
      <c r="I21" s="77">
        <f>IF(_xlfn.MINIFS('BASE SQL PLANTIO'!E:E,'BASE SQL PLANTIO'!B:B,VOOS!A21)=0/1/1900,"",_xlfn.MINIFS('BASE SQL PLANTIO'!E:E,'BASE SQL PLANTIO'!B:B,VOOS!A21))</f>
        <v>46143</v>
      </c>
      <c r="J21" s="22" t="s">
        <v>96</v>
      </c>
      <c r="K21" s="34">
        <f t="shared" ca="1" si="1"/>
        <v>20</v>
      </c>
      <c r="L21" s="35">
        <f t="shared" ca="1" si="2"/>
        <v>20</v>
      </c>
      <c r="M21" s="14"/>
      <c r="N21" s="16"/>
    </row>
    <row r="22" spans="1:14" ht="15.6" x14ac:dyDescent="0.3">
      <c r="A22" s="13" t="str">
        <f t="shared" si="0"/>
        <v>200518-25</v>
      </c>
      <c r="B22" s="21">
        <v>200518</v>
      </c>
      <c r="C22" s="22" t="s">
        <v>31</v>
      </c>
      <c r="D22" s="23" t="s">
        <v>94</v>
      </c>
      <c r="E22" s="23">
        <v>25</v>
      </c>
      <c r="F22" s="22">
        <v>35.21</v>
      </c>
      <c r="G22" s="34">
        <f>SUMIFS('BASE EXEC. Q.L'!N:N,'BASE EXEC. Q.L'!B:B,VOOS!A22)</f>
        <v>0</v>
      </c>
      <c r="H22" s="15" t="str">
        <f>IFERROR(_xlfn.XLOOKUP(A22,'BASE SQL PLANTIO'!B:B,'BASE SQL PLANTIO'!T:T,"verificar",0),"")</f>
        <v>RB97 5242</v>
      </c>
      <c r="I22" s="77">
        <f>IF(_xlfn.MINIFS('BASE SQL PLANTIO'!E:E,'BASE SQL PLANTIO'!B:B,VOOS!A22)=0/1/1900,"",_xlfn.MINIFS('BASE SQL PLANTIO'!E:E,'BASE SQL PLANTIO'!B:B,VOOS!A22))</f>
        <v>46122</v>
      </c>
      <c r="J22" s="22" t="s">
        <v>96</v>
      </c>
      <c r="K22" s="34">
        <f t="shared" ca="1" si="1"/>
        <v>41</v>
      </c>
      <c r="L22" s="35">
        <f t="shared" ca="1" si="2"/>
        <v>41</v>
      </c>
      <c r="M22" s="14"/>
      <c r="N22" s="15"/>
    </row>
    <row r="23" spans="1:14" ht="15.6" x14ac:dyDescent="0.3">
      <c r="A23" s="13" t="str">
        <f t="shared" si="0"/>
        <v>200518-26</v>
      </c>
      <c r="B23" s="21">
        <v>200518</v>
      </c>
      <c r="C23" s="26" t="s">
        <v>31</v>
      </c>
      <c r="D23" s="23" t="s">
        <v>94</v>
      </c>
      <c r="E23" s="26">
        <v>26</v>
      </c>
      <c r="F23" s="22">
        <v>31.470000000000002</v>
      </c>
      <c r="G23" s="34">
        <f>SUMIFS('BASE EXEC. Q.L'!N:N,'BASE EXEC. Q.L'!B:B,VOOS!A23)</f>
        <v>0</v>
      </c>
      <c r="H23" s="15" t="str">
        <f>IFERROR(_xlfn.XLOOKUP(A23,'BASE SQL PLANTIO'!B:B,'BASE SQL PLANTIO'!T:T,"verificar",0),"")</f>
        <v>RB97 5242</v>
      </c>
      <c r="I23" s="77">
        <f>IF(_xlfn.MINIFS('BASE SQL PLANTIO'!E:E,'BASE SQL PLANTIO'!B:B,VOOS!A23)=0/1/1900,"",_xlfn.MINIFS('BASE SQL PLANTIO'!E:E,'BASE SQL PLANTIO'!B:B,VOOS!A23))</f>
        <v>46122</v>
      </c>
      <c r="J23" s="22" t="s">
        <v>96</v>
      </c>
      <c r="K23" s="34">
        <f t="shared" ca="1" si="1"/>
        <v>41</v>
      </c>
      <c r="L23" s="35">
        <f t="shared" ca="1" si="2"/>
        <v>41</v>
      </c>
      <c r="M23" s="14"/>
      <c r="N23" s="16"/>
    </row>
    <row r="24" spans="1:14" ht="15.6" x14ac:dyDescent="0.3">
      <c r="A24" s="13" t="str">
        <f t="shared" si="0"/>
        <v>200518-27</v>
      </c>
      <c r="B24" s="21">
        <v>200518</v>
      </c>
      <c r="C24" s="26" t="s">
        <v>31</v>
      </c>
      <c r="D24" s="23" t="s">
        <v>94</v>
      </c>
      <c r="E24" s="26">
        <v>27</v>
      </c>
      <c r="F24" s="22">
        <v>22.83</v>
      </c>
      <c r="G24" s="34">
        <f>SUMIFS('BASE EXEC. Q.L'!N:N,'BASE EXEC. Q.L'!B:B,VOOS!A24)</f>
        <v>0</v>
      </c>
      <c r="H24" s="15" t="str">
        <f>IFERROR(_xlfn.XLOOKUP(A24,'BASE SQL PLANTIO'!B:B,'BASE SQL PLANTIO'!T:T,"verificar",0),"")</f>
        <v>RB97 5242</v>
      </c>
      <c r="I24" s="77">
        <f>IF(_xlfn.MINIFS('BASE SQL PLANTIO'!E:E,'BASE SQL PLANTIO'!B:B,VOOS!A24)=0/1/1900,"",_xlfn.MINIFS('BASE SQL PLANTIO'!E:E,'BASE SQL PLANTIO'!B:B,VOOS!A24))</f>
        <v>46125</v>
      </c>
      <c r="J24" s="22" t="s">
        <v>96</v>
      </c>
      <c r="K24" s="34">
        <f t="shared" ca="1" si="1"/>
        <v>38</v>
      </c>
      <c r="L24" s="35">
        <f t="shared" ca="1" si="2"/>
        <v>38</v>
      </c>
      <c r="M24" s="14"/>
      <c r="N24" s="16"/>
    </row>
    <row r="25" spans="1:14" ht="15.6" x14ac:dyDescent="0.3">
      <c r="A25" s="13" t="str">
        <f t="shared" si="0"/>
        <v>200518-29</v>
      </c>
      <c r="B25" s="24">
        <v>200518</v>
      </c>
      <c r="C25" s="25" t="s">
        <v>31</v>
      </c>
      <c r="D25" s="23" t="s">
        <v>94</v>
      </c>
      <c r="E25" s="25">
        <v>29</v>
      </c>
      <c r="F25" s="22">
        <v>27.68</v>
      </c>
      <c r="G25" s="34">
        <f>SUMIFS('BASE EXEC. Q.L'!N:N,'BASE EXEC. Q.L'!B:B,VOOS!A25)</f>
        <v>0</v>
      </c>
      <c r="H25" s="15" t="str">
        <f>IFERROR(_xlfn.XLOOKUP(A25,'BASE SQL PLANTIO'!B:B,'BASE SQL PLANTIO'!T:T,"verificar",0),"")</f>
        <v>CTC 9008</v>
      </c>
      <c r="I25" s="77">
        <f>IF(_xlfn.MINIFS('BASE SQL PLANTIO'!E:E,'BASE SQL PLANTIO'!B:B,VOOS!A25)=0/1/1900,"",_xlfn.MINIFS('BASE SQL PLANTIO'!E:E,'BASE SQL PLANTIO'!B:B,VOOS!A25))</f>
        <v>46144</v>
      </c>
      <c r="J25" s="22" t="s">
        <v>96</v>
      </c>
      <c r="K25" s="34">
        <f t="shared" ca="1" si="1"/>
        <v>19</v>
      </c>
      <c r="L25" s="35">
        <f t="shared" ca="1" si="2"/>
        <v>19</v>
      </c>
      <c r="M25" s="14"/>
      <c r="N25" s="16"/>
    </row>
    <row r="26" spans="1:14" ht="15.6" x14ac:dyDescent="0.3">
      <c r="A26" s="13" t="str">
        <f t="shared" si="0"/>
        <v>200518-34</v>
      </c>
      <c r="B26" s="24">
        <v>200518</v>
      </c>
      <c r="C26" s="25" t="s">
        <v>31</v>
      </c>
      <c r="D26" s="23" t="s">
        <v>94</v>
      </c>
      <c r="E26" s="25">
        <v>34</v>
      </c>
      <c r="F26" s="22">
        <v>17.350000000000001</v>
      </c>
      <c r="G26" s="34">
        <f>SUMIFS('BASE EXEC. Q.L'!N:N,'BASE EXEC. Q.L'!B:B,VOOS!A26)</f>
        <v>0</v>
      </c>
      <c r="H26" s="15" t="str">
        <f>IFERROR(_xlfn.XLOOKUP(A26,'BASE SQL PLANTIO'!B:B,'BASE SQL PLANTIO'!T:T,"verificar",0),"")</f>
        <v>RB97 5242</v>
      </c>
      <c r="I26" s="77">
        <f>IF(_xlfn.MINIFS('BASE SQL PLANTIO'!E:E,'BASE SQL PLANTIO'!B:B,VOOS!A26)=0/1/1900,"",_xlfn.MINIFS('BASE SQL PLANTIO'!E:E,'BASE SQL PLANTIO'!B:B,VOOS!A26))</f>
        <v>46147</v>
      </c>
      <c r="J26" s="22" t="s">
        <v>96</v>
      </c>
      <c r="K26" s="34">
        <f t="shared" ca="1" si="1"/>
        <v>16</v>
      </c>
      <c r="L26" s="35">
        <f t="shared" ca="1" si="2"/>
        <v>16</v>
      </c>
      <c r="M26" s="14"/>
      <c r="N26" s="16"/>
    </row>
    <row r="27" spans="1:14" ht="15.6" x14ac:dyDescent="0.3">
      <c r="A27" s="13" t="str">
        <f t="shared" si="0"/>
        <v>200518-35</v>
      </c>
      <c r="B27" s="25">
        <v>200518</v>
      </c>
      <c r="C27" s="25" t="s">
        <v>31</v>
      </c>
      <c r="D27" s="23" t="s">
        <v>94</v>
      </c>
      <c r="E27" s="25">
        <v>35</v>
      </c>
      <c r="F27" s="22">
        <v>19.420000000000002</v>
      </c>
      <c r="G27" s="34">
        <f>SUMIFS('BASE EXEC. Q.L'!N:N,'BASE EXEC. Q.L'!B:B,VOOS!A27)</f>
        <v>0</v>
      </c>
      <c r="H27" s="15" t="str">
        <f>IFERROR(_xlfn.XLOOKUP(A27,'BASE SQL PLANTIO'!B:B,'BASE SQL PLANTIO'!T:T,"verificar",0),"")</f>
        <v>CTC-4</v>
      </c>
      <c r="I27" s="77">
        <f>IF(_xlfn.MINIFS('BASE SQL PLANTIO'!E:E,'BASE SQL PLANTIO'!B:B,VOOS!A27)=0/1/1900,"",_xlfn.MINIFS('BASE SQL PLANTIO'!E:E,'BASE SQL PLANTIO'!B:B,VOOS!A27))</f>
        <v>46148</v>
      </c>
      <c r="J27" s="22" t="s">
        <v>96</v>
      </c>
      <c r="K27" s="34">
        <f t="shared" ca="1" si="1"/>
        <v>15</v>
      </c>
      <c r="L27" s="35">
        <f t="shared" ca="1" si="2"/>
        <v>15</v>
      </c>
      <c r="M27" s="14"/>
      <c r="N27" s="16"/>
    </row>
    <row r="28" spans="1:14" ht="15.6" x14ac:dyDescent="0.3">
      <c r="A28" s="13" t="str">
        <f t="shared" si="0"/>
        <v>200518-36</v>
      </c>
      <c r="B28" s="25">
        <v>200518</v>
      </c>
      <c r="C28" s="25" t="s">
        <v>31</v>
      </c>
      <c r="D28" s="23" t="s">
        <v>94</v>
      </c>
      <c r="E28" s="25">
        <v>36</v>
      </c>
      <c r="F28" s="22">
        <v>22.27</v>
      </c>
      <c r="G28" s="34">
        <f>SUMIFS('BASE EXEC. Q.L'!N:N,'BASE EXEC. Q.L'!B:B,VOOS!A28)</f>
        <v>0</v>
      </c>
      <c r="H28" s="15" t="str">
        <f>IFERROR(_xlfn.XLOOKUP(A28,'BASE SQL PLANTIO'!B:B,'BASE SQL PLANTIO'!T:T,"verificar",0),"")</f>
        <v>CTC 9008</v>
      </c>
      <c r="I28" s="77">
        <f>IF(_xlfn.MINIFS('BASE SQL PLANTIO'!E:E,'BASE SQL PLANTIO'!B:B,VOOS!A28)=0/1/1900,"",_xlfn.MINIFS('BASE SQL PLANTIO'!E:E,'BASE SQL PLANTIO'!B:B,VOOS!A28))</f>
        <v>46149</v>
      </c>
      <c r="J28" s="22" t="s">
        <v>96</v>
      </c>
      <c r="K28" s="34">
        <f t="shared" ca="1" si="1"/>
        <v>14</v>
      </c>
      <c r="L28" s="35">
        <f t="shared" ca="1" si="2"/>
        <v>14</v>
      </c>
      <c r="M28" s="14"/>
      <c r="N28" s="16"/>
    </row>
    <row r="29" spans="1:14" ht="15.6" x14ac:dyDescent="0.3">
      <c r="A29" s="13" t="str">
        <f t="shared" si="0"/>
        <v>200560-6</v>
      </c>
      <c r="B29" s="21">
        <v>200560</v>
      </c>
      <c r="C29" s="26" t="s">
        <v>33</v>
      </c>
      <c r="D29" s="23" t="s">
        <v>94</v>
      </c>
      <c r="E29" s="26">
        <v>6</v>
      </c>
      <c r="F29" s="22">
        <v>26.07</v>
      </c>
      <c r="G29" s="34">
        <f>SUMIFS('BASE EXEC. Q.L'!N:N,'BASE EXEC. Q.L'!B:B,VOOS!A29)</f>
        <v>0</v>
      </c>
      <c r="H29" s="15" t="str">
        <f>IFERROR(_xlfn.XLOOKUP(A29,'BASE SQL PLANTIO'!B:B,'BASE SQL PLANTIO'!T:T,"verificar",0),"")</f>
        <v>CTC 9008</v>
      </c>
      <c r="I29" s="77">
        <f>IF(_xlfn.MINIFS('BASE SQL PLANTIO'!E:E,'BASE SQL PLANTIO'!B:B,VOOS!A29)=0/1/1900,"",_xlfn.MINIFS('BASE SQL PLANTIO'!E:E,'BASE SQL PLANTIO'!B:B,VOOS!A29))</f>
        <v>46139</v>
      </c>
      <c r="J29" s="22" t="s">
        <v>96</v>
      </c>
      <c r="K29" s="34">
        <f t="shared" ca="1" si="1"/>
        <v>24</v>
      </c>
      <c r="L29" s="35">
        <f t="shared" ca="1" si="2"/>
        <v>24</v>
      </c>
      <c r="M29" s="14"/>
      <c r="N29" s="17"/>
    </row>
    <row r="30" spans="1:14" ht="15.6" x14ac:dyDescent="0.3">
      <c r="A30" s="13" t="str">
        <f t="shared" si="0"/>
        <v>200560-9</v>
      </c>
      <c r="B30" s="21">
        <v>200560</v>
      </c>
      <c r="C30" s="26" t="s">
        <v>33</v>
      </c>
      <c r="D30" s="23" t="s">
        <v>94</v>
      </c>
      <c r="E30" s="26">
        <v>9</v>
      </c>
      <c r="F30" s="22">
        <v>11.65</v>
      </c>
      <c r="G30" s="34">
        <f>SUMIFS('BASE EXEC. Q.L'!N:N,'BASE EXEC. Q.L'!B:B,VOOS!A30)</f>
        <v>0</v>
      </c>
      <c r="H30" s="15" t="str">
        <f>IFERROR(_xlfn.XLOOKUP(A30,'BASE SQL PLANTIO'!B:B,'BASE SQL PLANTIO'!T:T,"verificar",0),"")</f>
        <v>CTC 9008</v>
      </c>
      <c r="I30" s="77">
        <f>IF(_xlfn.MINIFS('BASE SQL PLANTIO'!E:E,'BASE SQL PLANTIO'!B:B,VOOS!A30)=0/1/1900,"",_xlfn.MINIFS('BASE SQL PLANTIO'!E:E,'BASE SQL PLANTIO'!B:B,VOOS!A30))</f>
        <v>46140</v>
      </c>
      <c r="J30" s="22" t="s">
        <v>96</v>
      </c>
      <c r="K30" s="34">
        <f t="shared" ca="1" si="1"/>
        <v>23</v>
      </c>
      <c r="L30" s="35">
        <f t="shared" ca="1" si="2"/>
        <v>23</v>
      </c>
      <c r="M30" s="14"/>
      <c r="N30" s="16"/>
    </row>
    <row r="31" spans="1:14" ht="15.6" x14ac:dyDescent="0.3">
      <c r="A31" s="13" t="str">
        <f t="shared" si="0"/>
        <v>201276-1</v>
      </c>
      <c r="B31" s="21">
        <v>201276</v>
      </c>
      <c r="C31" s="26" t="s">
        <v>35</v>
      </c>
      <c r="D31" s="23" t="s">
        <v>94</v>
      </c>
      <c r="E31" s="26">
        <v>1</v>
      </c>
      <c r="F31" s="22">
        <v>1.1499999999999999</v>
      </c>
      <c r="G31" s="34">
        <f>SUMIFS('BASE EXEC. Q.L'!N:N,'BASE EXEC. Q.L'!B:B,VOOS!A31)</f>
        <v>0</v>
      </c>
      <c r="H31" s="15" t="str">
        <f>IFERROR(_xlfn.XLOOKUP(A31,'BASE SQL PLANTIO'!B:B,'BASE SQL PLANTIO'!T:T,"verificar",0),"")</f>
        <v>CTC 9008</v>
      </c>
      <c r="I31" s="77">
        <f>IF(_xlfn.MINIFS('BASE SQL PLANTIO'!E:E,'BASE SQL PLANTIO'!B:B,VOOS!A31)=0/1/1900,"",_xlfn.MINIFS('BASE SQL PLANTIO'!E:E,'BASE SQL PLANTIO'!B:B,VOOS!A31))</f>
        <v>46151</v>
      </c>
      <c r="J31" s="22" t="s">
        <v>96</v>
      </c>
      <c r="K31" s="34">
        <f t="shared" ca="1" si="1"/>
        <v>12</v>
      </c>
      <c r="L31" s="35">
        <f t="shared" ca="1" si="2"/>
        <v>12</v>
      </c>
      <c r="M31" s="14"/>
      <c r="N31" s="16"/>
    </row>
    <row r="32" spans="1:14" ht="15.6" x14ac:dyDescent="0.3">
      <c r="A32" s="13" t="str">
        <f t="shared" si="0"/>
        <v>201276-2</v>
      </c>
      <c r="B32" s="21">
        <v>201276</v>
      </c>
      <c r="C32" s="26" t="s">
        <v>35</v>
      </c>
      <c r="D32" s="23" t="s">
        <v>94</v>
      </c>
      <c r="E32" s="26">
        <v>2</v>
      </c>
      <c r="F32" s="22">
        <v>4.08</v>
      </c>
      <c r="G32" s="34">
        <f>SUMIFS('BASE EXEC. Q.L'!N:N,'BASE EXEC. Q.L'!B:B,VOOS!A32)</f>
        <v>0</v>
      </c>
      <c r="H32" s="15" t="str">
        <f>IFERROR(_xlfn.XLOOKUP(A32,'BASE SQL PLANTIO'!B:B,'BASE SQL PLANTIO'!T:T,"verificar",0),"")</f>
        <v>CTC 9008</v>
      </c>
      <c r="I32" s="77">
        <f>IF(_xlfn.MINIFS('BASE SQL PLANTIO'!E:E,'BASE SQL PLANTIO'!B:B,VOOS!A32)=0/1/1900,"",_xlfn.MINIFS('BASE SQL PLANTIO'!E:E,'BASE SQL PLANTIO'!B:B,VOOS!A32))</f>
        <v>46151</v>
      </c>
      <c r="J32" s="22" t="s">
        <v>96</v>
      </c>
      <c r="K32" s="34">
        <f t="shared" ca="1" si="1"/>
        <v>12</v>
      </c>
      <c r="L32" s="35">
        <f t="shared" ca="1" si="2"/>
        <v>12</v>
      </c>
      <c r="M32" s="14"/>
      <c r="N32" s="16"/>
    </row>
    <row r="33" spans="1:14" ht="15.6" x14ac:dyDescent="0.3">
      <c r="A33" s="13" t="str">
        <f t="shared" si="0"/>
        <v>201276-3</v>
      </c>
      <c r="B33" s="21">
        <v>201276</v>
      </c>
      <c r="C33" s="26" t="s">
        <v>35</v>
      </c>
      <c r="D33" s="23" t="s">
        <v>94</v>
      </c>
      <c r="E33" s="26">
        <v>3</v>
      </c>
      <c r="F33" s="22">
        <v>5.17</v>
      </c>
      <c r="G33" s="34">
        <f>SUMIFS('BASE EXEC. Q.L'!N:N,'BASE EXEC. Q.L'!B:B,VOOS!A33)</f>
        <v>0</v>
      </c>
      <c r="H33" s="15" t="str">
        <f>IFERROR(_xlfn.XLOOKUP(A33,'BASE SQL PLANTIO'!B:B,'BASE SQL PLANTIO'!T:T,"verificar",0),"")</f>
        <v>CTC 9008</v>
      </c>
      <c r="I33" s="77">
        <f>IF(_xlfn.MINIFS('BASE SQL PLANTIO'!E:E,'BASE SQL PLANTIO'!B:B,VOOS!A33)=0/1/1900,"",_xlfn.MINIFS('BASE SQL PLANTIO'!E:E,'BASE SQL PLANTIO'!B:B,VOOS!A33))</f>
        <v>46151</v>
      </c>
      <c r="J33" s="22" t="s">
        <v>96</v>
      </c>
      <c r="K33" s="34">
        <f t="shared" ca="1" si="1"/>
        <v>12</v>
      </c>
      <c r="L33" s="35">
        <f t="shared" ca="1" si="2"/>
        <v>12</v>
      </c>
      <c r="M33" s="14"/>
      <c r="N33" s="16"/>
    </row>
    <row r="34" spans="1:14" ht="15.6" x14ac:dyDescent="0.3">
      <c r="A34" s="13" t="str">
        <f t="shared" si="0"/>
        <v>202001-1</v>
      </c>
      <c r="B34" s="21">
        <v>202001</v>
      </c>
      <c r="C34" s="26" t="s">
        <v>36</v>
      </c>
      <c r="D34" s="23" t="s">
        <v>94</v>
      </c>
      <c r="E34" s="26">
        <v>1</v>
      </c>
      <c r="F34" s="22">
        <v>2.17</v>
      </c>
      <c r="G34" s="34">
        <f>SUMIFS('BASE EXEC. Q.L'!N:N,'BASE EXEC. Q.L'!B:B,VOOS!A34)</f>
        <v>0</v>
      </c>
      <c r="H34" s="15" t="str">
        <f>IFERROR(_xlfn.XLOOKUP(A34,'BASE SQL PLANTIO'!B:B,'BASE SQL PLANTIO'!T:T,"verificar",0),"")</f>
        <v>RB97 5201</v>
      </c>
      <c r="I34" s="77">
        <f>IF(_xlfn.MINIFS('BASE SQL PLANTIO'!E:E,'BASE SQL PLANTIO'!B:B,VOOS!A34)=0/1/1900,"",_xlfn.MINIFS('BASE SQL PLANTIO'!E:E,'BASE SQL PLANTIO'!B:B,VOOS!A34))</f>
        <v>46159</v>
      </c>
      <c r="J34" s="22" t="s">
        <v>96</v>
      </c>
      <c r="K34" s="34">
        <f t="shared" ca="1" si="1"/>
        <v>4</v>
      </c>
      <c r="L34" s="35">
        <f t="shared" ca="1" si="2"/>
        <v>4</v>
      </c>
      <c r="M34" s="14"/>
      <c r="N34" s="16"/>
    </row>
    <row r="35" spans="1:14" ht="15.6" x14ac:dyDescent="0.3">
      <c r="A35" s="13" t="str">
        <f t="shared" si="0"/>
        <v>202303-1</v>
      </c>
      <c r="B35" s="21">
        <v>202303</v>
      </c>
      <c r="C35" s="26" t="s">
        <v>37</v>
      </c>
      <c r="D35" s="23" t="s">
        <v>94</v>
      </c>
      <c r="E35" s="26">
        <v>1</v>
      </c>
      <c r="F35" s="22">
        <v>10.09</v>
      </c>
      <c r="G35" s="34">
        <f>SUMIFS('BASE EXEC. Q.L'!N:N,'BASE EXEC. Q.L'!B:B,VOOS!A35)</f>
        <v>0</v>
      </c>
      <c r="H35" s="15" t="str">
        <f>IFERROR(_xlfn.XLOOKUP(A35,'BASE SQL PLANTIO'!B:B,'BASE SQL PLANTIO'!T:T,"verificar",0),"")</f>
        <v>CTC 9008</v>
      </c>
      <c r="I35" s="77">
        <f>IF(_xlfn.MINIFS('BASE SQL PLANTIO'!E:E,'BASE SQL PLANTIO'!B:B,VOOS!A35)=0/1/1900,"",_xlfn.MINIFS('BASE SQL PLANTIO'!E:E,'BASE SQL PLANTIO'!B:B,VOOS!A35))</f>
        <v>46154</v>
      </c>
      <c r="J35" s="22" t="s">
        <v>96</v>
      </c>
      <c r="K35" s="34">
        <f t="shared" ca="1" si="1"/>
        <v>9</v>
      </c>
      <c r="L35" s="35">
        <f t="shared" ca="1" si="2"/>
        <v>9</v>
      </c>
      <c r="M35" s="14"/>
      <c r="N35" s="16"/>
    </row>
    <row r="36" spans="1:14" ht="15.6" x14ac:dyDescent="0.3">
      <c r="A36" s="13" t="str">
        <f t="shared" si="0"/>
        <v>202714-1</v>
      </c>
      <c r="B36" s="27">
        <v>202714</v>
      </c>
      <c r="C36" s="26" t="s">
        <v>38</v>
      </c>
      <c r="D36" s="23" t="s">
        <v>94</v>
      </c>
      <c r="E36" s="26">
        <v>1</v>
      </c>
      <c r="F36" s="22">
        <v>47.04</v>
      </c>
      <c r="G36" s="34">
        <f>SUMIFS('BASE EXEC. Q.L'!N:N,'BASE EXEC. Q.L'!B:B,VOOS!A36)</f>
        <v>0</v>
      </c>
      <c r="H36" s="15" t="str">
        <f>IFERROR(_xlfn.XLOOKUP(A36,'BASE SQL PLANTIO'!B:B,'BASE SQL PLANTIO'!T:T,"verificar",0),"")</f>
        <v>CTC 9008</v>
      </c>
      <c r="I36" s="77">
        <f>IF(_xlfn.MINIFS('BASE SQL PLANTIO'!E:E,'BASE SQL PLANTIO'!B:B,VOOS!A36)=0/1/1900,"",_xlfn.MINIFS('BASE SQL PLANTIO'!E:E,'BASE SQL PLANTIO'!B:B,VOOS!A36))</f>
        <v>46152</v>
      </c>
      <c r="J36" s="22" t="s">
        <v>96</v>
      </c>
      <c r="K36" s="34">
        <f t="shared" ca="1" si="1"/>
        <v>11</v>
      </c>
      <c r="L36" s="35">
        <f t="shared" ca="1" si="2"/>
        <v>11</v>
      </c>
      <c r="M36" s="14"/>
      <c r="N36" s="16"/>
    </row>
    <row r="37" spans="1:14" ht="15.6" x14ac:dyDescent="0.3">
      <c r="A37" s="13" t="str">
        <f t="shared" si="0"/>
        <v>202714-2</v>
      </c>
      <c r="B37" s="27">
        <v>202714</v>
      </c>
      <c r="C37" s="26" t="s">
        <v>38</v>
      </c>
      <c r="D37" s="23" t="s">
        <v>94</v>
      </c>
      <c r="E37" s="26">
        <v>2</v>
      </c>
      <c r="F37" s="22">
        <v>31.22</v>
      </c>
      <c r="G37" s="34">
        <f>SUMIFS('BASE EXEC. Q.L'!N:N,'BASE EXEC. Q.L'!B:B,VOOS!A37)</f>
        <v>0</v>
      </c>
      <c r="H37" s="15" t="str">
        <f>IFERROR(_xlfn.XLOOKUP(A37,'BASE SQL PLANTIO'!B:B,'BASE SQL PLANTIO'!T:T,"verificar",0),"")</f>
        <v>CTC 9008</v>
      </c>
      <c r="I37" s="77">
        <f>IF(_xlfn.MINIFS('BASE SQL PLANTIO'!E:E,'BASE SQL PLANTIO'!B:B,VOOS!A37)=0/1/1900,"",_xlfn.MINIFS('BASE SQL PLANTIO'!E:E,'BASE SQL PLANTIO'!B:B,VOOS!A37))</f>
        <v>46154</v>
      </c>
      <c r="J37" s="22" t="s">
        <v>96</v>
      </c>
      <c r="K37" s="34">
        <f t="shared" ca="1" si="1"/>
        <v>9</v>
      </c>
      <c r="L37" s="35">
        <f t="shared" ca="1" si="2"/>
        <v>9</v>
      </c>
      <c r="M37" s="14"/>
      <c r="N37" s="16"/>
    </row>
    <row r="38" spans="1:14" ht="15.6" x14ac:dyDescent="0.3">
      <c r="A38" s="13" t="str">
        <f t="shared" si="0"/>
        <v>202806-10</v>
      </c>
      <c r="B38" s="27">
        <v>202806</v>
      </c>
      <c r="C38" s="26" t="s">
        <v>39</v>
      </c>
      <c r="D38" s="23" t="s">
        <v>94</v>
      </c>
      <c r="E38" s="26">
        <v>10</v>
      </c>
      <c r="F38" s="22">
        <v>44.019999999999996</v>
      </c>
      <c r="G38" s="34">
        <f>SUMIFS('BASE EXEC. Q.L'!N:N,'BASE EXEC. Q.L'!B:B,VOOS!A38)</f>
        <v>0</v>
      </c>
      <c r="H38" s="15" t="str">
        <f>IFERROR(_xlfn.XLOOKUP(A38,'BASE SQL PLANTIO'!B:B,'BASE SQL PLANTIO'!T:T,"verificar",0),"")</f>
        <v>CTC 9008</v>
      </c>
      <c r="I38" s="77">
        <f>IF(_xlfn.MINIFS('BASE SQL PLANTIO'!E:E,'BASE SQL PLANTIO'!B:B,VOOS!A38)=0/1/1900,"",_xlfn.MINIFS('BASE SQL PLANTIO'!E:E,'BASE SQL PLANTIO'!B:B,VOOS!A38))</f>
        <v>46114</v>
      </c>
      <c r="J38" s="22" t="s">
        <v>96</v>
      </c>
      <c r="K38" s="34">
        <f t="shared" ca="1" si="1"/>
        <v>49</v>
      </c>
      <c r="L38" s="35">
        <f t="shared" ca="1" si="2"/>
        <v>49</v>
      </c>
      <c r="M38" s="14"/>
      <c r="N38" s="16"/>
    </row>
    <row r="39" spans="1:14" ht="15.6" x14ac:dyDescent="0.3">
      <c r="A39" s="13" t="str">
        <f t="shared" si="0"/>
        <v>202806-11</v>
      </c>
      <c r="B39" s="25">
        <v>202806</v>
      </c>
      <c r="C39" s="25" t="s">
        <v>39</v>
      </c>
      <c r="D39" s="23" t="s">
        <v>94</v>
      </c>
      <c r="E39" s="25">
        <v>11</v>
      </c>
      <c r="F39" s="22">
        <v>52.059999999999995</v>
      </c>
      <c r="G39" s="34">
        <f>SUMIFS('BASE EXEC. Q.L'!N:N,'BASE EXEC. Q.L'!B:B,VOOS!A39)</f>
        <v>0</v>
      </c>
      <c r="H39" s="15" t="str">
        <f>IFERROR(_xlfn.XLOOKUP(A39,'BASE SQL PLANTIO'!B:B,'BASE SQL PLANTIO'!T:T,"verificar",0),"")</f>
        <v>CTC 9008</v>
      </c>
      <c r="I39" s="77">
        <f>IF(_xlfn.MINIFS('BASE SQL PLANTIO'!E:E,'BASE SQL PLANTIO'!B:B,VOOS!A39)=0/1/1900,"",_xlfn.MINIFS('BASE SQL PLANTIO'!E:E,'BASE SQL PLANTIO'!B:B,VOOS!A39))</f>
        <v>46096</v>
      </c>
      <c r="J39" s="22" t="s">
        <v>96</v>
      </c>
      <c r="K39" s="34">
        <f t="shared" ca="1" si="1"/>
        <v>67</v>
      </c>
      <c r="L39" s="35">
        <f t="shared" ca="1" si="2"/>
        <v>67</v>
      </c>
      <c r="M39" s="14"/>
      <c r="N39" s="16"/>
    </row>
    <row r="40" spans="1:14" ht="15.6" x14ac:dyDescent="0.3">
      <c r="A40" s="13" t="str">
        <f t="shared" si="0"/>
        <v>202806-12</v>
      </c>
      <c r="B40" s="27">
        <v>202806</v>
      </c>
      <c r="C40" s="26" t="s">
        <v>39</v>
      </c>
      <c r="D40" s="23" t="s">
        <v>94</v>
      </c>
      <c r="E40" s="26">
        <v>12</v>
      </c>
      <c r="F40" s="22">
        <v>60.000000000000007</v>
      </c>
      <c r="G40" s="34">
        <f>SUMIFS('BASE EXEC. Q.L'!N:N,'BASE EXEC. Q.L'!B:B,VOOS!A40)</f>
        <v>0</v>
      </c>
      <c r="H40" s="15" t="str">
        <f>IFERROR(_xlfn.XLOOKUP(A40,'BASE SQL PLANTIO'!B:B,'BASE SQL PLANTIO'!T:T,"verificar",0),"")</f>
        <v>CTC 9008</v>
      </c>
      <c r="I40" s="77">
        <f>IF(_xlfn.MINIFS('BASE SQL PLANTIO'!E:E,'BASE SQL PLANTIO'!B:B,VOOS!A40)=0/1/1900,"",_xlfn.MINIFS('BASE SQL PLANTIO'!E:E,'BASE SQL PLANTIO'!B:B,VOOS!A40))</f>
        <v>46087</v>
      </c>
      <c r="J40" s="22" t="s">
        <v>96</v>
      </c>
      <c r="K40" s="34">
        <f t="shared" ca="1" si="1"/>
        <v>76</v>
      </c>
      <c r="L40" s="35">
        <f t="shared" ca="1" si="2"/>
        <v>76</v>
      </c>
      <c r="M40" s="14"/>
      <c r="N40" s="16"/>
    </row>
    <row r="41" spans="1:14" ht="15.6" x14ac:dyDescent="0.3">
      <c r="A41" s="13" t="str">
        <f t="shared" si="0"/>
        <v>202806-13</v>
      </c>
      <c r="B41" s="27">
        <v>202806</v>
      </c>
      <c r="C41" s="26" t="s">
        <v>39</v>
      </c>
      <c r="D41" s="23" t="s">
        <v>94</v>
      </c>
      <c r="E41" s="26">
        <v>13</v>
      </c>
      <c r="F41" s="22">
        <v>35.450000000000003</v>
      </c>
      <c r="G41" s="34">
        <f>SUMIFS('BASE EXEC. Q.L'!N:N,'BASE EXEC. Q.L'!B:B,VOOS!A41)</f>
        <v>22</v>
      </c>
      <c r="H41" s="15" t="str">
        <f>IFERROR(_xlfn.XLOOKUP(A41,'BASE SQL PLANTIO'!B:B,'BASE SQL PLANTIO'!T:T,"verificar",0),"")</f>
        <v>CTC 9008</v>
      </c>
      <c r="I41" s="77">
        <f>IF(_xlfn.MINIFS('BASE SQL PLANTIO'!E:E,'BASE SQL PLANTIO'!B:B,VOOS!A41)=0/1/1900,"",_xlfn.MINIFS('BASE SQL PLANTIO'!E:E,'BASE SQL PLANTIO'!B:B,VOOS!A41))</f>
        <v>46085</v>
      </c>
      <c r="J41" s="22" t="s">
        <v>96</v>
      </c>
      <c r="K41" s="34">
        <f t="shared" ca="1" si="1"/>
        <v>78</v>
      </c>
      <c r="L41" s="35">
        <f t="shared" ca="1" si="2"/>
        <v>78</v>
      </c>
      <c r="M41" s="14"/>
      <c r="N41" s="17"/>
    </row>
    <row r="42" spans="1:14" ht="15.6" x14ac:dyDescent="0.3">
      <c r="A42" s="13" t="str">
        <f t="shared" si="0"/>
        <v>202806-14</v>
      </c>
      <c r="B42" s="27">
        <v>202806</v>
      </c>
      <c r="C42" s="26" t="s">
        <v>39</v>
      </c>
      <c r="D42" s="23" t="s">
        <v>94</v>
      </c>
      <c r="E42" s="26">
        <v>14</v>
      </c>
      <c r="F42" s="22">
        <v>35.270000000000003</v>
      </c>
      <c r="G42" s="34">
        <f>SUMIFS('BASE EXEC. Q.L'!N:N,'BASE EXEC. Q.L'!B:B,VOOS!A42)</f>
        <v>3</v>
      </c>
      <c r="H42" s="15" t="str">
        <f>IFERROR(_xlfn.XLOOKUP(A42,'BASE SQL PLANTIO'!B:B,'BASE SQL PLANTIO'!T:T,"verificar",0),"")</f>
        <v>CTC 3445</v>
      </c>
      <c r="I42" s="77">
        <f>IF(_xlfn.MINIFS('BASE SQL PLANTIO'!E:E,'BASE SQL PLANTIO'!B:B,VOOS!A42)=0/1/1900,"",_xlfn.MINIFS('BASE SQL PLANTIO'!E:E,'BASE SQL PLANTIO'!B:B,VOOS!A42))</f>
        <v>46082</v>
      </c>
      <c r="J42" s="22" t="s">
        <v>96</v>
      </c>
      <c r="K42" s="34">
        <f t="shared" ca="1" si="1"/>
        <v>81</v>
      </c>
      <c r="L42" s="35">
        <f t="shared" ca="1" si="2"/>
        <v>81</v>
      </c>
      <c r="M42" s="14"/>
      <c r="N42" s="16"/>
    </row>
    <row r="43" spans="1:14" ht="15.6" x14ac:dyDescent="0.3">
      <c r="A43" s="13" t="str">
        <f t="shared" si="0"/>
        <v>202806-15</v>
      </c>
      <c r="B43" s="27">
        <v>202806</v>
      </c>
      <c r="C43" s="26" t="s">
        <v>39</v>
      </c>
      <c r="D43" s="23" t="s">
        <v>94</v>
      </c>
      <c r="E43" s="26">
        <v>15</v>
      </c>
      <c r="F43" s="22">
        <v>42.03</v>
      </c>
      <c r="G43" s="34">
        <f>SUMIFS('BASE EXEC. Q.L'!N:N,'BASE EXEC. Q.L'!B:B,VOOS!A43)</f>
        <v>32</v>
      </c>
      <c r="H43" s="15" t="str">
        <f>IFERROR(_xlfn.XLOOKUP(A43,'BASE SQL PLANTIO'!B:B,'BASE SQL PLANTIO'!T:T,"verificar",0),"")</f>
        <v>CTC 3445</v>
      </c>
      <c r="I43" s="77">
        <f>IF(_xlfn.MINIFS('BASE SQL PLANTIO'!E:E,'BASE SQL PLANTIO'!B:B,VOOS!A43)=0/1/1900,"",_xlfn.MINIFS('BASE SQL PLANTIO'!E:E,'BASE SQL PLANTIO'!B:B,VOOS!A43))</f>
        <v>46082</v>
      </c>
      <c r="J43" s="22" t="s">
        <v>96</v>
      </c>
      <c r="K43" s="34">
        <f t="shared" ca="1" si="1"/>
        <v>81</v>
      </c>
      <c r="L43" s="35">
        <f t="shared" ca="1" si="2"/>
        <v>81</v>
      </c>
      <c r="M43" s="14"/>
      <c r="N43" s="16"/>
    </row>
    <row r="44" spans="1:14" ht="15.6" x14ac:dyDescent="0.3">
      <c r="A44" s="13" t="str">
        <f t="shared" si="0"/>
        <v>202806-16</v>
      </c>
      <c r="B44" s="27">
        <v>202806</v>
      </c>
      <c r="C44" s="26" t="s">
        <v>39</v>
      </c>
      <c r="D44" s="23" t="s">
        <v>94</v>
      </c>
      <c r="E44" s="26">
        <v>16</v>
      </c>
      <c r="F44" s="22">
        <v>39.75</v>
      </c>
      <c r="G44" s="34">
        <f>SUMIFS('BASE EXEC. Q.L'!N:N,'BASE EXEC. Q.L'!B:B,VOOS!A44)</f>
        <v>10</v>
      </c>
      <c r="H44" s="15" t="str">
        <f>IFERROR(_xlfn.XLOOKUP(A44,'BASE SQL PLANTIO'!B:B,'BASE SQL PLANTIO'!T:T,"verificar",0),"")</f>
        <v>RB97 5242</v>
      </c>
      <c r="I44" s="77">
        <f>IF(_xlfn.MINIFS('BASE SQL PLANTIO'!E:E,'BASE SQL PLANTIO'!B:B,VOOS!A44)=0/1/1900,"",_xlfn.MINIFS('BASE SQL PLANTIO'!E:E,'BASE SQL PLANTIO'!B:B,VOOS!A44))</f>
        <v>46084</v>
      </c>
      <c r="J44" s="22" t="s">
        <v>96</v>
      </c>
      <c r="K44" s="34">
        <f t="shared" ca="1" si="1"/>
        <v>79</v>
      </c>
      <c r="L44" s="35">
        <f t="shared" ca="1" si="2"/>
        <v>79</v>
      </c>
      <c r="M44" s="14"/>
      <c r="N44" s="15"/>
    </row>
    <row r="45" spans="1:14" ht="15.6" x14ac:dyDescent="0.3">
      <c r="A45" s="13" t="str">
        <f t="shared" si="0"/>
        <v>202806-17</v>
      </c>
      <c r="B45" s="27">
        <v>202806</v>
      </c>
      <c r="C45" s="26" t="s">
        <v>39</v>
      </c>
      <c r="D45" s="23" t="s">
        <v>94</v>
      </c>
      <c r="E45" s="26">
        <v>17</v>
      </c>
      <c r="F45" s="22">
        <v>47.949999999999996</v>
      </c>
      <c r="G45" s="34">
        <f>SUMIFS('BASE EXEC. Q.L'!N:N,'BASE EXEC. Q.L'!B:B,VOOS!A45)</f>
        <v>0</v>
      </c>
      <c r="H45" s="15" t="str">
        <f>IFERROR(_xlfn.XLOOKUP(A45,'BASE SQL PLANTIO'!B:B,'BASE SQL PLANTIO'!T:T,"verificar",0),"")</f>
        <v>CTC 9008</v>
      </c>
      <c r="I45" s="77">
        <f>IF(_xlfn.MINIFS('BASE SQL PLANTIO'!E:E,'BASE SQL PLANTIO'!B:B,VOOS!A45)=0/1/1900,"",_xlfn.MINIFS('BASE SQL PLANTIO'!E:E,'BASE SQL PLANTIO'!B:B,VOOS!A45))</f>
        <v>46096</v>
      </c>
      <c r="J45" s="22" t="s">
        <v>96</v>
      </c>
      <c r="K45" s="34">
        <f t="shared" ca="1" si="1"/>
        <v>67</v>
      </c>
      <c r="L45" s="35">
        <f t="shared" ca="1" si="2"/>
        <v>67</v>
      </c>
      <c r="M45" s="14"/>
      <c r="N45" s="16"/>
    </row>
    <row r="46" spans="1:14" ht="15.6" x14ac:dyDescent="0.3">
      <c r="A46" s="13" t="str">
        <f t="shared" si="0"/>
        <v>202807-10</v>
      </c>
      <c r="B46" s="25">
        <v>202807</v>
      </c>
      <c r="C46" s="25" t="s">
        <v>42</v>
      </c>
      <c r="D46" s="23" t="s">
        <v>94</v>
      </c>
      <c r="E46" s="25">
        <v>10</v>
      </c>
      <c r="F46" s="22">
        <v>43.28</v>
      </c>
      <c r="G46" s="34">
        <f>SUMIFS('BASE EXEC. Q.L'!N:N,'BASE EXEC. Q.L'!B:B,VOOS!A46)</f>
        <v>0</v>
      </c>
      <c r="H46" s="15" t="str">
        <f>IFERROR(_xlfn.XLOOKUP(A46,'BASE SQL PLANTIO'!B:B,'BASE SQL PLANTIO'!T:T,"verificar",0),"")</f>
        <v>RB07 5322</v>
      </c>
      <c r="I46" s="77">
        <f>IF(_xlfn.MINIFS('BASE SQL PLANTIO'!E:E,'BASE SQL PLANTIO'!B:B,VOOS!A46)=0/1/1900,"",_xlfn.MINIFS('BASE SQL PLANTIO'!E:E,'BASE SQL PLANTIO'!B:B,VOOS!A46))</f>
        <v>46124</v>
      </c>
      <c r="J46" s="22" t="s">
        <v>96</v>
      </c>
      <c r="K46" s="34">
        <f t="shared" ca="1" si="1"/>
        <v>39</v>
      </c>
      <c r="L46" s="35">
        <f t="shared" ca="1" si="2"/>
        <v>39</v>
      </c>
      <c r="M46" s="14"/>
      <c r="N46" s="16"/>
    </row>
    <row r="47" spans="1:14" ht="15.6" x14ac:dyDescent="0.3">
      <c r="A47" s="13" t="str">
        <f t="shared" si="0"/>
        <v>202807-20</v>
      </c>
      <c r="B47" s="25">
        <v>202807</v>
      </c>
      <c r="C47" s="29" t="s">
        <v>42</v>
      </c>
      <c r="D47" s="23" t="s">
        <v>94</v>
      </c>
      <c r="E47" s="30">
        <v>20</v>
      </c>
      <c r="F47" s="22">
        <v>7.72</v>
      </c>
      <c r="G47" s="34">
        <f>SUMIFS('BASE EXEC. Q.L'!N:N,'BASE EXEC. Q.L'!B:B,VOOS!A47)</f>
        <v>0</v>
      </c>
      <c r="H47" s="15" t="str">
        <f>IFERROR(_xlfn.XLOOKUP(A47,'BASE SQL PLANTIO'!B:B,'BASE SQL PLANTIO'!T:T,"verificar",0),"")</f>
        <v>CTC 9008</v>
      </c>
      <c r="I47" s="77">
        <f>IF(_xlfn.MINIFS('BASE SQL PLANTIO'!E:E,'BASE SQL PLANTIO'!B:B,VOOS!A47)=0/1/1900,"",_xlfn.MINIFS('BASE SQL PLANTIO'!E:E,'BASE SQL PLANTIO'!B:B,VOOS!A47))</f>
        <v>46123</v>
      </c>
      <c r="J47" s="22" t="s">
        <v>96</v>
      </c>
      <c r="K47" s="34">
        <f t="shared" ca="1" si="1"/>
        <v>40</v>
      </c>
      <c r="L47" s="35">
        <f t="shared" ca="1" si="2"/>
        <v>40</v>
      </c>
      <c r="M47" s="14"/>
      <c r="N47" s="16"/>
    </row>
    <row r="48" spans="1:14" ht="15.6" x14ac:dyDescent="0.3">
      <c r="A48" s="13" t="str">
        <f t="shared" si="0"/>
        <v>202807-21</v>
      </c>
      <c r="B48" s="25">
        <v>202807</v>
      </c>
      <c r="C48" s="25" t="s">
        <v>42</v>
      </c>
      <c r="D48" s="23" t="s">
        <v>94</v>
      </c>
      <c r="E48" s="25">
        <v>21</v>
      </c>
      <c r="F48" s="22">
        <v>35.21</v>
      </c>
      <c r="G48" s="34">
        <f>SUMIFS('BASE EXEC. Q.L'!N:N,'BASE EXEC. Q.L'!B:B,VOOS!A48)</f>
        <v>0</v>
      </c>
      <c r="H48" s="15" t="str">
        <f>IFERROR(_xlfn.XLOOKUP(A48,'BASE SQL PLANTIO'!B:B,'BASE SQL PLANTIO'!T:T,"verificar",0),"")</f>
        <v>CTC 9008</v>
      </c>
      <c r="I48" s="77">
        <f>IF(_xlfn.MINIFS('BASE SQL PLANTIO'!E:E,'BASE SQL PLANTIO'!B:B,VOOS!A48)=0/1/1900,"",_xlfn.MINIFS('BASE SQL PLANTIO'!E:E,'BASE SQL PLANTIO'!B:B,VOOS!A48))</f>
        <v>46123</v>
      </c>
      <c r="J48" s="22" t="s">
        <v>96</v>
      </c>
      <c r="K48" s="34">
        <f t="shared" ca="1" si="1"/>
        <v>40</v>
      </c>
      <c r="L48" s="35">
        <f t="shared" ca="1" si="2"/>
        <v>40</v>
      </c>
      <c r="M48" s="14"/>
      <c r="N48" s="16"/>
    </row>
    <row r="49" spans="1:14" ht="15.6" x14ac:dyDescent="0.3">
      <c r="A49" s="13" t="str">
        <f t="shared" si="0"/>
        <v>207749-1</v>
      </c>
      <c r="B49" s="27">
        <v>207749</v>
      </c>
      <c r="C49" s="26" t="s">
        <v>45</v>
      </c>
      <c r="D49" s="23" t="s">
        <v>94</v>
      </c>
      <c r="E49" s="26">
        <v>1</v>
      </c>
      <c r="F49" s="22">
        <v>43.32</v>
      </c>
      <c r="G49" s="34">
        <f>SUMIFS('BASE EXEC. Q.L'!N:N,'BASE EXEC. Q.L'!B:B,VOOS!A49)</f>
        <v>0</v>
      </c>
      <c r="H49" s="15" t="str">
        <f>IFERROR(_xlfn.XLOOKUP(A49,'BASE SQL PLANTIO'!B:B,'BASE SQL PLANTIO'!T:T,"verificar",0),"")</f>
        <v>CTC 9008</v>
      </c>
      <c r="I49" s="77">
        <f>IF(_xlfn.MINIFS('BASE SQL PLANTIO'!E:E,'BASE SQL PLANTIO'!B:B,VOOS!A49)=0/1/1900,"",_xlfn.MINIFS('BASE SQL PLANTIO'!E:E,'BASE SQL PLANTIO'!B:B,VOOS!A49))</f>
        <v>46141</v>
      </c>
      <c r="J49" s="22" t="s">
        <v>96</v>
      </c>
      <c r="K49" s="34">
        <f t="shared" ca="1" si="1"/>
        <v>22</v>
      </c>
      <c r="L49" s="35">
        <f t="shared" ca="1" si="2"/>
        <v>22</v>
      </c>
      <c r="M49" s="14"/>
      <c r="N49" s="16"/>
    </row>
    <row r="50" spans="1:14" ht="15.6" x14ac:dyDescent="0.3">
      <c r="A50" s="13" t="str">
        <f t="shared" si="0"/>
        <v>207749-2</v>
      </c>
      <c r="B50" s="27">
        <v>207749</v>
      </c>
      <c r="C50" s="26" t="s">
        <v>45</v>
      </c>
      <c r="D50" s="23" t="s">
        <v>94</v>
      </c>
      <c r="E50" s="26">
        <v>2</v>
      </c>
      <c r="F50" s="22">
        <v>33</v>
      </c>
      <c r="G50" s="34">
        <f>SUMIFS('BASE EXEC. Q.L'!N:N,'BASE EXEC. Q.L'!B:B,VOOS!A50)</f>
        <v>0</v>
      </c>
      <c r="H50" s="15" t="str">
        <f>IFERROR(_xlfn.XLOOKUP(A50,'BASE SQL PLANTIO'!B:B,'BASE SQL PLANTIO'!T:T,"verificar",0),"")</f>
        <v>CTC 9008</v>
      </c>
      <c r="I50" s="77">
        <f>IF(_xlfn.MINIFS('BASE SQL PLANTIO'!E:E,'BASE SQL PLANTIO'!B:B,VOOS!A50)=0/1/1900,"",_xlfn.MINIFS('BASE SQL PLANTIO'!E:E,'BASE SQL PLANTIO'!B:B,VOOS!A50))</f>
        <v>46143</v>
      </c>
      <c r="J50" s="22" t="s">
        <v>96</v>
      </c>
      <c r="K50" s="34">
        <f t="shared" ca="1" si="1"/>
        <v>20</v>
      </c>
      <c r="L50" s="35">
        <f t="shared" ca="1" si="2"/>
        <v>20</v>
      </c>
      <c r="M50" s="14"/>
      <c r="N50" s="16"/>
    </row>
    <row r="51" spans="1:14" ht="15.6" x14ac:dyDescent="0.3">
      <c r="A51" s="13" t="str">
        <f t="shared" si="0"/>
        <v>207749-3</v>
      </c>
      <c r="B51" s="27">
        <v>207749</v>
      </c>
      <c r="C51" s="26" t="s">
        <v>45</v>
      </c>
      <c r="D51" s="23" t="s">
        <v>94</v>
      </c>
      <c r="E51" s="26">
        <v>3</v>
      </c>
      <c r="F51" s="22">
        <v>45.459999999999994</v>
      </c>
      <c r="G51" s="34">
        <f>SUMIFS('BASE EXEC. Q.L'!N:N,'BASE EXEC. Q.L'!B:B,VOOS!A51)</f>
        <v>0</v>
      </c>
      <c r="H51" s="15" t="str">
        <f>IFERROR(_xlfn.XLOOKUP(A51,'BASE SQL PLANTIO'!B:B,'BASE SQL PLANTIO'!T:T,"verificar",0),"")</f>
        <v>CTC 9008</v>
      </c>
      <c r="I51" s="77">
        <f>IF(_xlfn.MINIFS('BASE SQL PLANTIO'!E:E,'BASE SQL PLANTIO'!B:B,VOOS!A51)=0/1/1900,"",_xlfn.MINIFS('BASE SQL PLANTIO'!E:E,'BASE SQL PLANTIO'!B:B,VOOS!A51))</f>
        <v>46145</v>
      </c>
      <c r="J51" s="22" t="s">
        <v>96</v>
      </c>
      <c r="K51" s="34">
        <f t="shared" ca="1" si="1"/>
        <v>18</v>
      </c>
      <c r="L51" s="35">
        <f t="shared" ca="1" si="2"/>
        <v>18</v>
      </c>
      <c r="M51" s="14"/>
      <c r="N51" s="16"/>
    </row>
    <row r="52" spans="1:14" ht="15.6" x14ac:dyDescent="0.3">
      <c r="A52" s="13" t="str">
        <f t="shared" si="0"/>
        <v>207749-4</v>
      </c>
      <c r="B52" s="27">
        <v>207749</v>
      </c>
      <c r="C52" s="26" t="s">
        <v>45</v>
      </c>
      <c r="D52" s="23" t="s">
        <v>94</v>
      </c>
      <c r="E52" s="26">
        <v>4</v>
      </c>
      <c r="F52" s="22">
        <v>35.019999999999996</v>
      </c>
      <c r="G52" s="34">
        <f>SUMIFS('BASE EXEC. Q.L'!N:N,'BASE EXEC. Q.L'!B:B,VOOS!A52)</f>
        <v>0</v>
      </c>
      <c r="H52" s="15" t="str">
        <f>IFERROR(_xlfn.XLOOKUP(A52,'BASE SQL PLANTIO'!B:B,'BASE SQL PLANTIO'!T:T,"verificar",0),"")</f>
        <v>CTC 9008</v>
      </c>
      <c r="I52" s="77">
        <f>IF(_xlfn.MINIFS('BASE SQL PLANTIO'!E:E,'BASE SQL PLANTIO'!B:B,VOOS!A52)=0/1/1900,"",_xlfn.MINIFS('BASE SQL PLANTIO'!E:E,'BASE SQL PLANTIO'!B:B,VOOS!A52))</f>
        <v>46144</v>
      </c>
      <c r="J52" s="22" t="s">
        <v>96</v>
      </c>
      <c r="K52" s="34">
        <f t="shared" ca="1" si="1"/>
        <v>19</v>
      </c>
      <c r="L52" s="35">
        <f t="shared" ca="1" si="2"/>
        <v>19</v>
      </c>
      <c r="M52" s="14"/>
      <c r="N52" s="16"/>
    </row>
    <row r="53" spans="1:14" ht="15.6" x14ac:dyDescent="0.3">
      <c r="A53" s="13" t="str">
        <f t="shared" si="0"/>
        <v>207749-5</v>
      </c>
      <c r="B53" s="27">
        <v>207749</v>
      </c>
      <c r="C53" s="26" t="s">
        <v>45</v>
      </c>
      <c r="D53" s="23" t="s">
        <v>94</v>
      </c>
      <c r="E53" s="26">
        <v>5</v>
      </c>
      <c r="F53" s="22">
        <v>27.439999999999998</v>
      </c>
      <c r="G53" s="34">
        <f>SUMIFS('BASE EXEC. Q.L'!N:N,'BASE EXEC. Q.L'!B:B,VOOS!A53)</f>
        <v>0</v>
      </c>
      <c r="H53" s="15" t="str">
        <f>IFERROR(_xlfn.XLOOKUP(A53,'BASE SQL PLANTIO'!B:B,'BASE SQL PLANTIO'!T:T,"verificar",0),"")</f>
        <v>CTC 9008</v>
      </c>
      <c r="I53" s="77">
        <f>IF(_xlfn.MINIFS('BASE SQL PLANTIO'!E:E,'BASE SQL PLANTIO'!B:B,VOOS!A53)=0/1/1900,"",_xlfn.MINIFS('BASE SQL PLANTIO'!E:E,'BASE SQL PLANTIO'!B:B,VOOS!A53))</f>
        <v>46148</v>
      </c>
      <c r="J53" s="22" t="s">
        <v>96</v>
      </c>
      <c r="K53" s="34">
        <f t="shared" ca="1" si="1"/>
        <v>15</v>
      </c>
      <c r="L53" s="35">
        <f t="shared" ca="1" si="2"/>
        <v>15</v>
      </c>
      <c r="M53" s="14"/>
      <c r="N53" s="16"/>
    </row>
    <row r="54" spans="1:14" ht="15.6" x14ac:dyDescent="0.3">
      <c r="A54" s="13" t="str">
        <f t="shared" si="0"/>
        <v>207870-1</v>
      </c>
      <c r="B54" s="27">
        <v>207870</v>
      </c>
      <c r="C54" s="26" t="s">
        <v>47</v>
      </c>
      <c r="D54" s="23" t="s">
        <v>94</v>
      </c>
      <c r="E54" s="26">
        <v>1</v>
      </c>
      <c r="F54" s="22">
        <v>25.79</v>
      </c>
      <c r="G54" s="34">
        <f>SUMIFS('BASE EXEC. Q.L'!N:N,'BASE EXEC. Q.L'!B:B,VOOS!A54)</f>
        <v>0</v>
      </c>
      <c r="H54" s="15" t="str">
        <f>IFERROR(_xlfn.XLOOKUP(A54,'BASE SQL PLANTIO'!B:B,'BASE SQL PLANTIO'!T:T,"verificar",0),"")</f>
        <v>CTC 9008</v>
      </c>
      <c r="I54" s="77">
        <f>IF(_xlfn.MINIFS('BASE SQL PLANTIO'!E:E,'BASE SQL PLANTIO'!B:B,VOOS!A54)=0/1/1900,"",_xlfn.MINIFS('BASE SQL PLANTIO'!E:E,'BASE SQL PLANTIO'!B:B,VOOS!A54))</f>
        <v>46137</v>
      </c>
      <c r="J54" s="22" t="s">
        <v>96</v>
      </c>
      <c r="K54" s="34">
        <f t="shared" ca="1" si="1"/>
        <v>26</v>
      </c>
      <c r="L54" s="35">
        <f t="shared" ca="1" si="2"/>
        <v>26</v>
      </c>
      <c r="M54" s="14"/>
      <c r="N54" s="16"/>
    </row>
    <row r="55" spans="1:14" ht="15.6" x14ac:dyDescent="0.3">
      <c r="A55" s="13" t="str">
        <f t="shared" si="0"/>
        <v>207870-3</v>
      </c>
      <c r="B55" s="25">
        <v>207870</v>
      </c>
      <c r="C55" s="25" t="s">
        <v>47</v>
      </c>
      <c r="D55" s="23" t="s">
        <v>94</v>
      </c>
      <c r="E55" s="25">
        <v>3</v>
      </c>
      <c r="F55" s="28">
        <v>23.75</v>
      </c>
      <c r="G55" s="34">
        <f>SUMIFS('BASE EXEC. Q.L'!N:N,'BASE EXEC. Q.L'!B:B,VOOS!A55)</f>
        <v>0</v>
      </c>
      <c r="H55" s="15" t="str">
        <f>IFERROR(_xlfn.XLOOKUP(A55,'BASE SQL PLANTIO'!B:B,'BASE SQL PLANTIO'!T:T,"verificar",0),"")</f>
        <v>CTC-4</v>
      </c>
      <c r="I55" s="77">
        <f>IF(_xlfn.MINIFS('BASE SQL PLANTIO'!E:E,'BASE SQL PLANTIO'!B:B,VOOS!A55)=0/1/1900,"",_xlfn.MINIFS('BASE SQL PLANTIO'!E:E,'BASE SQL PLANTIO'!B:B,VOOS!A55))</f>
        <v>46134</v>
      </c>
      <c r="J55" s="22" t="s">
        <v>96</v>
      </c>
      <c r="K55" s="34">
        <f t="shared" ca="1" si="1"/>
        <v>29</v>
      </c>
      <c r="L55" s="35">
        <f t="shared" ca="1" si="2"/>
        <v>29</v>
      </c>
      <c r="M55" s="14"/>
      <c r="N55" s="16"/>
    </row>
    <row r="56" spans="1:14" ht="15.6" x14ac:dyDescent="0.3">
      <c r="A56" s="13" t="str">
        <f t="shared" si="0"/>
        <v>207870-4</v>
      </c>
      <c r="B56" s="27">
        <v>207870</v>
      </c>
      <c r="C56" s="26" t="s">
        <v>47</v>
      </c>
      <c r="D56" s="23" t="s">
        <v>94</v>
      </c>
      <c r="E56" s="26">
        <v>4</v>
      </c>
      <c r="F56" s="22">
        <v>10.029999999999999</v>
      </c>
      <c r="G56" s="34">
        <f>SUMIFS('BASE EXEC. Q.L'!N:N,'BASE EXEC. Q.L'!B:B,VOOS!A56)</f>
        <v>0</v>
      </c>
      <c r="H56" s="15" t="str">
        <f>IFERROR(_xlfn.XLOOKUP(A56,'BASE SQL PLANTIO'!B:B,'BASE SQL PLANTIO'!T:T,"verificar",0),"")</f>
        <v>CTC 9008</v>
      </c>
      <c r="I56" s="77">
        <f>IF(_xlfn.MINIFS('BASE SQL PLANTIO'!E:E,'BASE SQL PLANTIO'!B:B,VOOS!A56)=0/1/1900,"",_xlfn.MINIFS('BASE SQL PLANTIO'!E:E,'BASE SQL PLANTIO'!B:B,VOOS!A56))</f>
        <v>46135</v>
      </c>
      <c r="J56" s="22" t="s">
        <v>96</v>
      </c>
      <c r="K56" s="34">
        <f t="shared" ca="1" si="1"/>
        <v>28</v>
      </c>
      <c r="L56" s="35">
        <f t="shared" ca="1" si="2"/>
        <v>28</v>
      </c>
      <c r="M56" s="14"/>
      <c r="N56" s="15"/>
    </row>
    <row r="57" spans="1:14" ht="15.6" x14ac:dyDescent="0.3">
      <c r="A57" s="13" t="str">
        <f t="shared" si="0"/>
        <v>207870-6</v>
      </c>
      <c r="B57" s="27">
        <v>207870</v>
      </c>
      <c r="C57" s="26" t="s">
        <v>47</v>
      </c>
      <c r="D57" s="23" t="s">
        <v>94</v>
      </c>
      <c r="E57" s="26">
        <v>6</v>
      </c>
      <c r="F57" s="22">
        <v>28.51</v>
      </c>
      <c r="G57" s="34">
        <f>SUMIFS('BASE EXEC. Q.L'!N:N,'BASE EXEC. Q.L'!B:B,VOOS!A57)</f>
        <v>0</v>
      </c>
      <c r="H57" s="15" t="str">
        <f>IFERROR(_xlfn.XLOOKUP(A57,'BASE SQL PLANTIO'!B:B,'BASE SQL PLANTIO'!T:T,"verificar",0),"")</f>
        <v>CTC 9008</v>
      </c>
      <c r="I57" s="77">
        <f>IF(_xlfn.MINIFS('BASE SQL PLANTIO'!E:E,'BASE SQL PLANTIO'!B:B,VOOS!A57)=0/1/1900,"",_xlfn.MINIFS('BASE SQL PLANTIO'!E:E,'BASE SQL PLANTIO'!B:B,VOOS!A57))</f>
        <v>46135</v>
      </c>
      <c r="J57" s="22" t="s">
        <v>96</v>
      </c>
      <c r="K57" s="34">
        <f t="shared" ca="1" si="1"/>
        <v>28</v>
      </c>
      <c r="L57" s="35">
        <f t="shared" ca="1" si="2"/>
        <v>28</v>
      </c>
      <c r="M57" s="14"/>
      <c r="N57" s="16"/>
    </row>
    <row r="58" spans="1:14" ht="15.6" x14ac:dyDescent="0.3">
      <c r="A58" s="13" t="str">
        <f t="shared" si="0"/>
        <v>207870-7</v>
      </c>
      <c r="B58" s="27">
        <v>207870</v>
      </c>
      <c r="C58" s="26" t="s">
        <v>47</v>
      </c>
      <c r="D58" s="23" t="s">
        <v>94</v>
      </c>
      <c r="E58" s="26">
        <v>7</v>
      </c>
      <c r="F58" s="22">
        <v>19.57</v>
      </c>
      <c r="G58" s="34">
        <f>SUMIFS('BASE EXEC. Q.L'!N:N,'BASE EXEC. Q.L'!B:B,VOOS!A58)</f>
        <v>0</v>
      </c>
      <c r="H58" s="15" t="str">
        <f>IFERROR(_xlfn.XLOOKUP(A58,'BASE SQL PLANTIO'!B:B,'BASE SQL PLANTIO'!T:T,"verificar",0),"")</f>
        <v>CTC 9008</v>
      </c>
      <c r="I58" s="77">
        <f>IF(_xlfn.MINIFS('BASE SQL PLANTIO'!E:E,'BASE SQL PLANTIO'!B:B,VOOS!A58)=0/1/1900,"",_xlfn.MINIFS('BASE SQL PLANTIO'!E:E,'BASE SQL PLANTIO'!B:B,VOOS!A58))</f>
        <v>46133</v>
      </c>
      <c r="J58" s="22" t="s">
        <v>96</v>
      </c>
      <c r="K58" s="34">
        <f t="shared" ca="1" si="1"/>
        <v>30</v>
      </c>
      <c r="L58" s="35">
        <f t="shared" ca="1" si="2"/>
        <v>30</v>
      </c>
      <c r="M58" s="14"/>
      <c r="N58" s="16"/>
    </row>
    <row r="59" spans="1:14" ht="15.6" x14ac:dyDescent="0.3">
      <c r="A59" s="13" t="str">
        <f t="shared" si="0"/>
        <v>207870-8</v>
      </c>
      <c r="B59" s="25">
        <v>207870</v>
      </c>
      <c r="C59" s="25" t="s">
        <v>47</v>
      </c>
      <c r="D59" s="23" t="s">
        <v>94</v>
      </c>
      <c r="E59" s="25">
        <v>8</v>
      </c>
      <c r="F59" s="28">
        <v>24.220000000000002</v>
      </c>
      <c r="G59" s="34">
        <f>SUMIFS('BASE EXEC. Q.L'!N:N,'BASE EXEC. Q.L'!B:B,VOOS!A59)</f>
        <v>0</v>
      </c>
      <c r="H59" s="15" t="str">
        <f>IFERROR(_xlfn.XLOOKUP(A59,'BASE SQL PLANTIO'!B:B,'BASE SQL PLANTIO'!T:T,"verificar",0),"")</f>
        <v>CTC 9008</v>
      </c>
      <c r="I59" s="77">
        <f>IF(_xlfn.MINIFS('BASE SQL PLANTIO'!E:E,'BASE SQL PLANTIO'!B:B,VOOS!A59)=0/1/1900,"",_xlfn.MINIFS('BASE SQL PLANTIO'!E:E,'BASE SQL PLANTIO'!B:B,VOOS!A59))</f>
        <v>46132</v>
      </c>
      <c r="J59" s="22" t="s">
        <v>96</v>
      </c>
      <c r="K59" s="34">
        <f t="shared" ca="1" si="1"/>
        <v>31</v>
      </c>
      <c r="L59" s="35">
        <f t="shared" ca="1" si="2"/>
        <v>31</v>
      </c>
      <c r="M59" s="14"/>
      <c r="N59" s="16"/>
    </row>
    <row r="60" spans="1:14" ht="15.6" x14ac:dyDescent="0.3">
      <c r="A60" s="13" t="str">
        <f t="shared" si="0"/>
        <v>207870-9</v>
      </c>
      <c r="B60" s="27">
        <v>207870</v>
      </c>
      <c r="C60" s="26" t="s">
        <v>47</v>
      </c>
      <c r="D60" s="23" t="s">
        <v>94</v>
      </c>
      <c r="E60" s="26">
        <v>9</v>
      </c>
      <c r="F60" s="22">
        <v>36.92</v>
      </c>
      <c r="G60" s="34">
        <f>SUMIFS('BASE EXEC. Q.L'!N:N,'BASE EXEC. Q.L'!B:B,VOOS!A60)</f>
        <v>0</v>
      </c>
      <c r="H60" s="15" t="str">
        <f>IFERROR(_xlfn.XLOOKUP(A60,'BASE SQL PLANTIO'!B:B,'BASE SQL PLANTIO'!T:T,"verificar",0),"")</f>
        <v>RB12 7825</v>
      </c>
      <c r="I60" s="77">
        <f>IF(_xlfn.MINIFS('BASE SQL PLANTIO'!E:E,'BASE SQL PLANTIO'!B:B,VOOS!A60)=0/1/1900,"",_xlfn.MINIFS('BASE SQL PLANTIO'!E:E,'BASE SQL PLANTIO'!B:B,VOOS!A60))</f>
        <v>46133</v>
      </c>
      <c r="J60" s="22" t="s">
        <v>96</v>
      </c>
      <c r="K60" s="34">
        <f t="shared" ca="1" si="1"/>
        <v>30</v>
      </c>
      <c r="L60" s="35">
        <f t="shared" ca="1" si="2"/>
        <v>30</v>
      </c>
      <c r="M60" s="14"/>
      <c r="N60" s="16"/>
    </row>
    <row r="61" spans="1:14" ht="15.6" x14ac:dyDescent="0.3">
      <c r="A61" s="13" t="str">
        <f t="shared" si="0"/>
        <v>207870-10</v>
      </c>
      <c r="B61" s="27">
        <v>207870</v>
      </c>
      <c r="C61" s="26" t="s">
        <v>47</v>
      </c>
      <c r="D61" s="23" t="s">
        <v>94</v>
      </c>
      <c r="E61" s="26">
        <v>10</v>
      </c>
      <c r="F61" s="22">
        <v>17.2</v>
      </c>
      <c r="G61" s="34">
        <f>SUMIFS('BASE EXEC. Q.L'!N:N,'BASE EXEC. Q.L'!B:B,VOOS!A61)</f>
        <v>0</v>
      </c>
      <c r="H61" s="15" t="str">
        <f>IFERROR(_xlfn.XLOOKUP(A61,'BASE SQL PLANTIO'!B:B,'BASE SQL PLANTIO'!T:T,"verificar",0),"")</f>
        <v>CTC 9008</v>
      </c>
      <c r="I61" s="77">
        <f>IF(_xlfn.MINIFS('BASE SQL PLANTIO'!E:E,'BASE SQL PLANTIO'!B:B,VOOS!A61)=0/1/1900,"",_xlfn.MINIFS('BASE SQL PLANTIO'!E:E,'BASE SQL PLANTIO'!B:B,VOOS!A61))</f>
        <v>46130</v>
      </c>
      <c r="J61" s="22" t="s">
        <v>96</v>
      </c>
      <c r="K61" s="34">
        <f t="shared" ca="1" si="1"/>
        <v>33</v>
      </c>
      <c r="L61" s="35">
        <f t="shared" ca="1" si="2"/>
        <v>33</v>
      </c>
      <c r="M61" s="14"/>
      <c r="N61" s="16"/>
    </row>
    <row r="62" spans="1:14" ht="15.6" x14ac:dyDescent="0.3">
      <c r="A62" s="13" t="str">
        <f t="shared" si="0"/>
        <v>207870-11</v>
      </c>
      <c r="B62" s="27">
        <v>207870</v>
      </c>
      <c r="C62" s="26" t="s">
        <v>47</v>
      </c>
      <c r="D62" s="23" t="s">
        <v>94</v>
      </c>
      <c r="E62" s="26">
        <v>11</v>
      </c>
      <c r="F62" s="22">
        <v>28.07</v>
      </c>
      <c r="G62" s="34">
        <f>SUMIFS('BASE EXEC. Q.L'!N:N,'BASE EXEC. Q.L'!B:B,VOOS!A62)</f>
        <v>0</v>
      </c>
      <c r="H62" s="15" t="str">
        <f>IFERROR(_xlfn.XLOOKUP(A62,'BASE SQL PLANTIO'!B:B,'BASE SQL PLANTIO'!T:T,"verificar",0),"")</f>
        <v>CTC 9008</v>
      </c>
      <c r="I62" s="77">
        <f>IF(_xlfn.MINIFS('BASE SQL PLANTIO'!E:E,'BASE SQL PLANTIO'!B:B,VOOS!A62)=0/1/1900,"",_xlfn.MINIFS('BASE SQL PLANTIO'!E:E,'BASE SQL PLANTIO'!B:B,VOOS!A62))</f>
        <v>46129</v>
      </c>
      <c r="J62" s="22" t="s">
        <v>96</v>
      </c>
      <c r="K62" s="34">
        <f t="shared" ca="1" si="1"/>
        <v>34</v>
      </c>
      <c r="L62" s="35">
        <f t="shared" ca="1" si="2"/>
        <v>34</v>
      </c>
      <c r="M62" s="14"/>
      <c r="N62" s="16"/>
    </row>
    <row r="63" spans="1:14" ht="15.6" x14ac:dyDescent="0.3">
      <c r="A63" s="13" t="str">
        <f t="shared" si="0"/>
        <v>207870-12</v>
      </c>
      <c r="B63" s="27">
        <v>207870</v>
      </c>
      <c r="C63" s="26" t="s">
        <v>47</v>
      </c>
      <c r="D63" s="23" t="s">
        <v>94</v>
      </c>
      <c r="E63" s="26">
        <v>12</v>
      </c>
      <c r="F63" s="22">
        <v>33.910000000000004</v>
      </c>
      <c r="G63" s="34">
        <f>SUMIFS('BASE EXEC. Q.L'!N:N,'BASE EXEC. Q.L'!B:B,VOOS!A63)</f>
        <v>0</v>
      </c>
      <c r="H63" s="15" t="str">
        <f>IFERROR(_xlfn.XLOOKUP(A63,'BASE SQL PLANTIO'!B:B,'BASE SQL PLANTIO'!T:T,"verificar",0),"")</f>
        <v>RB12 7825</v>
      </c>
      <c r="I63" s="77">
        <f>IF(_xlfn.MINIFS('BASE SQL PLANTIO'!E:E,'BASE SQL PLANTIO'!B:B,VOOS!A63)=0/1/1900,"",_xlfn.MINIFS('BASE SQL PLANTIO'!E:E,'BASE SQL PLANTIO'!B:B,VOOS!A63))</f>
        <v>46130</v>
      </c>
      <c r="J63" s="22" t="s">
        <v>96</v>
      </c>
      <c r="K63" s="34">
        <f t="shared" ca="1" si="1"/>
        <v>33</v>
      </c>
      <c r="L63" s="35">
        <f t="shared" ca="1" si="2"/>
        <v>33</v>
      </c>
      <c r="M63" s="14"/>
      <c r="N63" s="16"/>
    </row>
    <row r="64" spans="1:14" ht="15.6" x14ac:dyDescent="0.3">
      <c r="A64" s="13" t="str">
        <f t="shared" si="0"/>
        <v>207870-13</v>
      </c>
      <c r="B64" s="27">
        <v>207870</v>
      </c>
      <c r="C64" s="26" t="s">
        <v>47</v>
      </c>
      <c r="D64" s="23" t="s">
        <v>94</v>
      </c>
      <c r="E64" s="26">
        <v>13</v>
      </c>
      <c r="F64" s="22">
        <v>40.489999999999995</v>
      </c>
      <c r="G64" s="34">
        <f>SUMIFS('BASE EXEC. Q.L'!N:N,'BASE EXEC. Q.L'!B:B,VOOS!A64)</f>
        <v>0</v>
      </c>
      <c r="H64" s="15" t="str">
        <f>IFERROR(_xlfn.XLOOKUP(A64,'BASE SQL PLANTIO'!B:B,'BASE SQL PLANTIO'!T:T,"verificar",0),"")</f>
        <v>CTC 9008</v>
      </c>
      <c r="I64" s="77">
        <f>IF(_xlfn.MINIFS('BASE SQL PLANTIO'!E:E,'BASE SQL PLANTIO'!B:B,VOOS!A64)=0/1/1900,"",_xlfn.MINIFS('BASE SQL PLANTIO'!E:E,'BASE SQL PLANTIO'!B:B,VOOS!A64))</f>
        <v>46131</v>
      </c>
      <c r="J64" s="22" t="s">
        <v>96</v>
      </c>
      <c r="K64" s="34">
        <f t="shared" ca="1" si="1"/>
        <v>32</v>
      </c>
      <c r="L64" s="35">
        <f t="shared" ca="1" si="2"/>
        <v>32</v>
      </c>
      <c r="M64" s="14"/>
      <c r="N64" s="16"/>
    </row>
    <row r="65" spans="1:14" ht="15.6" x14ac:dyDescent="0.3">
      <c r="A65" s="13" t="str">
        <f t="shared" si="0"/>
        <v>207870-14</v>
      </c>
      <c r="B65" s="27">
        <v>207870</v>
      </c>
      <c r="C65" s="26" t="s">
        <v>47</v>
      </c>
      <c r="D65" s="23" t="s">
        <v>94</v>
      </c>
      <c r="E65" s="26">
        <v>14</v>
      </c>
      <c r="F65" s="22">
        <v>29.16</v>
      </c>
      <c r="G65" s="34">
        <f>SUMIFS('BASE EXEC. Q.L'!N:N,'BASE EXEC. Q.L'!B:B,VOOS!A65)</f>
        <v>0</v>
      </c>
      <c r="H65" s="15" t="str">
        <f>IFERROR(_xlfn.XLOOKUP(A65,'BASE SQL PLANTIO'!B:B,'BASE SQL PLANTIO'!T:T,"verificar",0),"")</f>
        <v>RB12 7825</v>
      </c>
      <c r="I65" s="77">
        <f>IF(_xlfn.MINIFS('BASE SQL PLANTIO'!E:E,'BASE SQL PLANTIO'!B:B,VOOS!A65)=0/1/1900,"",_xlfn.MINIFS('BASE SQL PLANTIO'!E:E,'BASE SQL PLANTIO'!B:B,VOOS!A65))</f>
        <v>46132</v>
      </c>
      <c r="J65" s="22" t="s">
        <v>96</v>
      </c>
      <c r="K65" s="34">
        <f t="shared" ca="1" si="1"/>
        <v>31</v>
      </c>
      <c r="L65" s="35">
        <f t="shared" ca="1" si="2"/>
        <v>31</v>
      </c>
      <c r="M65" s="14"/>
      <c r="N65" s="16"/>
    </row>
    <row r="66" spans="1:14" ht="15.6" x14ac:dyDescent="0.3">
      <c r="A66" s="13" t="str">
        <f t="shared" si="0"/>
        <v>207870-15</v>
      </c>
      <c r="B66" s="27">
        <v>207870</v>
      </c>
      <c r="C66" s="26" t="s">
        <v>47</v>
      </c>
      <c r="D66" s="23" t="s">
        <v>94</v>
      </c>
      <c r="E66" s="26">
        <v>15</v>
      </c>
      <c r="F66" s="22">
        <v>22.73</v>
      </c>
      <c r="G66" s="34">
        <f>SUMIFS('BASE EXEC. Q.L'!N:N,'BASE EXEC. Q.L'!B:B,VOOS!A66)</f>
        <v>0</v>
      </c>
      <c r="H66" s="15" t="str">
        <f>IFERROR(_xlfn.XLOOKUP(A66,'BASE SQL PLANTIO'!B:B,'BASE SQL PLANTIO'!T:T,"verificar",0),"")</f>
        <v>CTC 9008</v>
      </c>
      <c r="I66" s="77">
        <f>IF(_xlfn.MINIFS('BASE SQL PLANTIO'!E:E,'BASE SQL PLANTIO'!B:B,VOOS!A66)=0/1/1900,"",_xlfn.MINIFS('BASE SQL PLANTIO'!E:E,'BASE SQL PLANTIO'!B:B,VOOS!A66))</f>
        <v>46130</v>
      </c>
      <c r="J66" s="22" t="s">
        <v>96</v>
      </c>
      <c r="K66" s="34">
        <f t="shared" ca="1" si="1"/>
        <v>33</v>
      </c>
      <c r="L66" s="35">
        <f t="shared" ca="1" si="2"/>
        <v>33</v>
      </c>
      <c r="M66" s="14"/>
      <c r="N66" s="16"/>
    </row>
    <row r="67" spans="1:14" ht="15.6" x14ac:dyDescent="0.3">
      <c r="A67" s="13" t="str">
        <f t="shared" si="0"/>
        <v>207870-16</v>
      </c>
      <c r="B67" s="25">
        <v>207870</v>
      </c>
      <c r="C67" s="25" t="s">
        <v>47</v>
      </c>
      <c r="D67" s="23" t="s">
        <v>94</v>
      </c>
      <c r="E67" s="25">
        <v>16</v>
      </c>
      <c r="F67" s="28">
        <v>4.7</v>
      </c>
      <c r="G67" s="34">
        <f>SUMIFS('BASE EXEC. Q.L'!N:N,'BASE EXEC. Q.L'!B:B,VOOS!A67)</f>
        <v>0</v>
      </c>
      <c r="H67" s="15" t="str">
        <f>IFERROR(_xlfn.XLOOKUP(A67,'BASE SQL PLANTIO'!B:B,'BASE SQL PLANTIO'!T:T,"verificar",0),"")</f>
        <v>RB12 7825</v>
      </c>
      <c r="I67" s="77">
        <f>IF(_xlfn.MINIFS('BASE SQL PLANTIO'!E:E,'BASE SQL PLANTIO'!B:B,VOOS!A67)=0/1/1900,"",_xlfn.MINIFS('BASE SQL PLANTIO'!E:E,'BASE SQL PLANTIO'!B:B,VOOS!A67))</f>
        <v>46131</v>
      </c>
      <c r="J67" s="22" t="s">
        <v>96</v>
      </c>
      <c r="K67" s="34">
        <f t="shared" ca="1" si="1"/>
        <v>32</v>
      </c>
      <c r="L67" s="35">
        <f t="shared" ca="1" si="2"/>
        <v>32</v>
      </c>
      <c r="M67" s="14"/>
      <c r="N67" s="16"/>
    </row>
    <row r="68" spans="1:14" ht="15.6" x14ac:dyDescent="0.3">
      <c r="A68" s="13" t="str">
        <f t="shared" si="0"/>
        <v>207875-1</v>
      </c>
      <c r="B68" s="25">
        <v>207875</v>
      </c>
      <c r="C68" s="25" t="s">
        <v>49</v>
      </c>
      <c r="D68" s="23" t="s">
        <v>94</v>
      </c>
      <c r="E68" s="25">
        <v>1</v>
      </c>
      <c r="F68" s="28">
        <v>4.3600000000000003</v>
      </c>
      <c r="G68" s="34">
        <f>SUMIFS('BASE EXEC. Q.L'!N:N,'BASE EXEC. Q.L'!B:B,VOOS!A68)</f>
        <v>0</v>
      </c>
      <c r="H68" s="15" t="str">
        <f>IFERROR(_xlfn.XLOOKUP(A68,'BASE SQL PLANTIO'!B:B,'BASE SQL PLANTIO'!T:T,"verificar",0),"")</f>
        <v>CTC 9008</v>
      </c>
      <c r="I68" s="77">
        <f>IF(_xlfn.MINIFS('BASE SQL PLANTIO'!E:E,'BASE SQL PLANTIO'!B:B,VOOS!A68)=0/1/1900,"",_xlfn.MINIFS('BASE SQL PLANTIO'!E:E,'BASE SQL PLANTIO'!B:B,VOOS!A68))</f>
        <v>46149</v>
      </c>
      <c r="J68" s="22" t="s">
        <v>96</v>
      </c>
      <c r="K68" s="34">
        <f t="shared" ca="1" si="1"/>
        <v>14</v>
      </c>
      <c r="L68" s="35">
        <f t="shared" ca="1" si="2"/>
        <v>14</v>
      </c>
      <c r="M68" s="14"/>
      <c r="N68" s="16"/>
    </row>
    <row r="69" spans="1:14" ht="15.6" x14ac:dyDescent="0.3">
      <c r="A69" s="13" t="str">
        <f t="shared" ref="A69:A132" si="3">CONCATENATE(B69,"-",E69)</f>
        <v>207875-2</v>
      </c>
      <c r="B69" s="25">
        <v>207875</v>
      </c>
      <c r="C69" s="25" t="s">
        <v>49</v>
      </c>
      <c r="D69" s="23" t="s">
        <v>94</v>
      </c>
      <c r="E69" s="25">
        <v>2</v>
      </c>
      <c r="F69" s="28">
        <v>19.61</v>
      </c>
      <c r="G69" s="34">
        <f>SUMIFS('BASE EXEC. Q.L'!N:N,'BASE EXEC. Q.L'!B:B,VOOS!A69)</f>
        <v>0</v>
      </c>
      <c r="H69" s="15" t="str">
        <f>IFERROR(_xlfn.XLOOKUP(A69,'BASE SQL PLANTIO'!B:B,'BASE SQL PLANTIO'!T:T,"verificar",0),"")</f>
        <v>CTC-4</v>
      </c>
      <c r="I69" s="77">
        <f>IF(_xlfn.MINIFS('BASE SQL PLANTIO'!E:E,'BASE SQL PLANTIO'!B:B,VOOS!A69)=0/1/1900,"",_xlfn.MINIFS('BASE SQL PLANTIO'!E:E,'BASE SQL PLANTIO'!B:B,VOOS!A69))</f>
        <v>46149</v>
      </c>
      <c r="J69" s="22" t="s">
        <v>96</v>
      </c>
      <c r="K69" s="34">
        <f t="shared" ref="K69:K132" ca="1" si="4">IF(I69="","",$K$3-I69)</f>
        <v>14</v>
      </c>
      <c r="L69" s="35">
        <f t="shared" ref="L69:L132" ca="1" si="5">K69</f>
        <v>14</v>
      </c>
      <c r="M69" s="14"/>
      <c r="N69" s="16"/>
    </row>
    <row r="70" spans="1:14" ht="15.6" x14ac:dyDescent="0.3">
      <c r="A70" s="13" t="str">
        <f t="shared" si="3"/>
        <v>207875-3</v>
      </c>
      <c r="B70" s="27">
        <v>207875</v>
      </c>
      <c r="C70" s="26" t="s">
        <v>49</v>
      </c>
      <c r="D70" s="23" t="s">
        <v>94</v>
      </c>
      <c r="E70" s="26">
        <v>3</v>
      </c>
      <c r="F70" s="22">
        <v>11</v>
      </c>
      <c r="G70" s="34">
        <f>SUMIFS('BASE EXEC. Q.L'!N:N,'BASE EXEC. Q.L'!B:B,VOOS!A70)</f>
        <v>0</v>
      </c>
      <c r="H70" s="15" t="str">
        <f>IFERROR(_xlfn.XLOOKUP(A70,'BASE SQL PLANTIO'!B:B,'BASE SQL PLANTIO'!T:T,"verificar",0),"")</f>
        <v>CTC 9008</v>
      </c>
      <c r="I70" s="77">
        <f>IF(_xlfn.MINIFS('BASE SQL PLANTIO'!E:E,'BASE SQL PLANTIO'!B:B,VOOS!A70)=0/1/1900,"",_xlfn.MINIFS('BASE SQL PLANTIO'!E:E,'BASE SQL PLANTIO'!B:B,VOOS!A70))</f>
        <v>46150</v>
      </c>
      <c r="J70" s="22" t="s">
        <v>96</v>
      </c>
      <c r="K70" s="34">
        <f t="shared" ca="1" si="4"/>
        <v>13</v>
      </c>
      <c r="L70" s="35">
        <f t="shared" ca="1" si="5"/>
        <v>13</v>
      </c>
      <c r="M70" s="14"/>
      <c r="N70" s="16"/>
    </row>
    <row r="71" spans="1:14" ht="15.6" x14ac:dyDescent="0.3">
      <c r="A71" s="13" t="str">
        <f t="shared" si="3"/>
        <v>207875-4</v>
      </c>
      <c r="B71" s="25">
        <v>207875</v>
      </c>
      <c r="C71" s="25" t="s">
        <v>49</v>
      </c>
      <c r="D71" s="23" t="s">
        <v>94</v>
      </c>
      <c r="E71" s="25">
        <v>4</v>
      </c>
      <c r="F71" s="22">
        <v>12.97</v>
      </c>
      <c r="G71" s="34">
        <f>SUMIFS('BASE EXEC. Q.L'!N:N,'BASE EXEC. Q.L'!B:B,VOOS!A71)</f>
        <v>0</v>
      </c>
      <c r="H71" s="15" t="str">
        <f>IFERROR(_xlfn.XLOOKUP(A71,'BASE SQL PLANTIO'!B:B,'BASE SQL PLANTIO'!T:T,"verificar",0),"")</f>
        <v>CTC 9008</v>
      </c>
      <c r="I71" s="77">
        <f>IF(_xlfn.MINIFS('BASE SQL PLANTIO'!E:E,'BASE SQL PLANTIO'!B:B,VOOS!A71)=0/1/1900,"",_xlfn.MINIFS('BASE SQL PLANTIO'!E:E,'BASE SQL PLANTIO'!B:B,VOOS!A71))</f>
        <v>46151</v>
      </c>
      <c r="J71" s="22" t="s">
        <v>96</v>
      </c>
      <c r="K71" s="34">
        <f t="shared" ca="1" si="4"/>
        <v>12</v>
      </c>
      <c r="L71" s="35">
        <f t="shared" ca="1" si="5"/>
        <v>12</v>
      </c>
      <c r="M71" s="14"/>
      <c r="N71" s="16"/>
    </row>
    <row r="72" spans="1:14" ht="15.6" x14ac:dyDescent="0.3">
      <c r="A72" s="13" t="str">
        <f t="shared" si="3"/>
        <v>207968-3</v>
      </c>
      <c r="B72" s="25">
        <v>207968</v>
      </c>
      <c r="C72" s="29" t="s">
        <v>45</v>
      </c>
      <c r="D72" s="23" t="s">
        <v>94</v>
      </c>
      <c r="E72" s="30">
        <v>3</v>
      </c>
      <c r="F72" s="22">
        <v>39.17</v>
      </c>
      <c r="G72" s="34">
        <f>SUMIFS('BASE EXEC. Q.L'!N:N,'BASE EXEC. Q.L'!B:B,VOOS!A72)</f>
        <v>0</v>
      </c>
      <c r="H72" s="15" t="str">
        <f>IFERROR(_xlfn.XLOOKUP(A72,'BASE SQL PLANTIO'!B:B,'BASE SQL PLANTIO'!T:T,"verificar",0),"")</f>
        <v>RB97 5242</v>
      </c>
      <c r="I72" s="77">
        <f>IF(_xlfn.MINIFS('BASE SQL PLANTIO'!E:E,'BASE SQL PLANTIO'!B:B,VOOS!A72)=0/1/1900,"",_xlfn.MINIFS('BASE SQL PLANTIO'!E:E,'BASE SQL PLANTIO'!B:B,VOOS!A72))</f>
        <v>46155</v>
      </c>
      <c r="J72" s="22" t="s">
        <v>96</v>
      </c>
      <c r="K72" s="34">
        <f t="shared" ca="1" si="4"/>
        <v>8</v>
      </c>
      <c r="L72" s="35">
        <f t="shared" ca="1" si="5"/>
        <v>8</v>
      </c>
      <c r="M72" s="14"/>
      <c r="N72" s="16"/>
    </row>
    <row r="73" spans="1:14" ht="15.6" x14ac:dyDescent="0.3">
      <c r="A73" s="13" t="str">
        <f t="shared" si="3"/>
        <v>207968-4</v>
      </c>
      <c r="B73" s="25">
        <v>207968</v>
      </c>
      <c r="C73" s="25" t="s">
        <v>45</v>
      </c>
      <c r="D73" s="23" t="s">
        <v>94</v>
      </c>
      <c r="E73" s="25">
        <v>4</v>
      </c>
      <c r="F73" s="22">
        <v>33.879999999999995</v>
      </c>
      <c r="G73" s="34">
        <f>SUMIFS('BASE EXEC. Q.L'!N:N,'BASE EXEC. Q.L'!B:B,VOOS!A73)</f>
        <v>0</v>
      </c>
      <c r="H73" s="15" t="str">
        <f>IFERROR(_xlfn.XLOOKUP(A73,'BASE SQL PLANTIO'!B:B,'BASE SQL PLANTIO'!T:T,"verificar",0),"")</f>
        <v>RB97 5242</v>
      </c>
      <c r="I73" s="77">
        <f>IF(_xlfn.MINIFS('BASE SQL PLANTIO'!E:E,'BASE SQL PLANTIO'!B:B,VOOS!A73)=0/1/1900,"",_xlfn.MINIFS('BASE SQL PLANTIO'!E:E,'BASE SQL PLANTIO'!B:B,VOOS!A73))</f>
        <v>46156</v>
      </c>
      <c r="J73" s="22" t="s">
        <v>96</v>
      </c>
      <c r="K73" s="34">
        <f t="shared" ca="1" si="4"/>
        <v>7</v>
      </c>
      <c r="L73" s="35">
        <f t="shared" ca="1" si="5"/>
        <v>7</v>
      </c>
      <c r="M73" s="14"/>
      <c r="N73" s="16"/>
    </row>
    <row r="74" spans="1:14" ht="15.6" x14ac:dyDescent="0.3">
      <c r="A74" s="13" t="str">
        <f t="shared" si="3"/>
        <v>207982-1</v>
      </c>
      <c r="B74" s="27">
        <v>207982</v>
      </c>
      <c r="C74" s="26" t="s">
        <v>50</v>
      </c>
      <c r="D74" s="23" t="s">
        <v>94</v>
      </c>
      <c r="E74" s="26">
        <v>1</v>
      </c>
      <c r="F74" s="22">
        <v>17.439999999999998</v>
      </c>
      <c r="G74" s="34">
        <f>SUMIFS('BASE EXEC. Q.L'!N:N,'BASE EXEC. Q.L'!B:B,VOOS!A74)</f>
        <v>0</v>
      </c>
      <c r="H74" s="15" t="str">
        <f>IFERROR(_xlfn.XLOOKUP(A74,'BASE SQL PLANTIO'!B:B,'BASE SQL PLANTIO'!T:T,"verificar",0),"")</f>
        <v>CTC 3445</v>
      </c>
      <c r="I74" s="77">
        <f>IF(_xlfn.MINIFS('BASE SQL PLANTIO'!E:E,'BASE SQL PLANTIO'!B:B,VOOS!A74)=0/1/1900,"",_xlfn.MINIFS('BASE SQL PLANTIO'!E:E,'BASE SQL PLANTIO'!B:B,VOOS!A74))</f>
        <v>46128</v>
      </c>
      <c r="J74" s="22" t="s">
        <v>96</v>
      </c>
      <c r="K74" s="34">
        <f t="shared" ca="1" si="4"/>
        <v>35</v>
      </c>
      <c r="L74" s="35">
        <f t="shared" ca="1" si="5"/>
        <v>35</v>
      </c>
      <c r="M74" s="14"/>
      <c r="N74" s="16"/>
    </row>
    <row r="75" spans="1:14" ht="15.6" x14ac:dyDescent="0.3">
      <c r="A75" s="13" t="str">
        <f t="shared" si="3"/>
        <v>207982-2</v>
      </c>
      <c r="B75" s="27">
        <v>207982</v>
      </c>
      <c r="C75" s="26" t="s">
        <v>50</v>
      </c>
      <c r="D75" s="23" t="s">
        <v>94</v>
      </c>
      <c r="E75" s="26">
        <v>2</v>
      </c>
      <c r="F75" s="22">
        <v>25.66</v>
      </c>
      <c r="G75" s="34">
        <f>SUMIFS('BASE EXEC. Q.L'!N:N,'BASE EXEC. Q.L'!B:B,VOOS!A75)</f>
        <v>0</v>
      </c>
      <c r="H75" s="15" t="str">
        <f>IFERROR(_xlfn.XLOOKUP(A75,'BASE SQL PLANTIO'!B:B,'BASE SQL PLANTIO'!T:T,"verificar",0),"")</f>
        <v>RB97 5201</v>
      </c>
      <c r="I75" s="77">
        <f>IF(_xlfn.MINIFS('BASE SQL PLANTIO'!E:E,'BASE SQL PLANTIO'!B:B,VOOS!A75)=0/1/1900,"",_xlfn.MINIFS('BASE SQL PLANTIO'!E:E,'BASE SQL PLANTIO'!B:B,VOOS!A75))</f>
        <v>46116</v>
      </c>
      <c r="J75" s="22" t="s">
        <v>96</v>
      </c>
      <c r="K75" s="34">
        <f t="shared" ca="1" si="4"/>
        <v>47</v>
      </c>
      <c r="L75" s="35">
        <f t="shared" ca="1" si="5"/>
        <v>47</v>
      </c>
      <c r="M75" s="14"/>
      <c r="N75" s="16"/>
    </row>
    <row r="76" spans="1:14" ht="15.6" x14ac:dyDescent="0.3">
      <c r="A76" s="13" t="str">
        <f t="shared" si="3"/>
        <v>207982-3</v>
      </c>
      <c r="B76" s="27">
        <v>207982</v>
      </c>
      <c r="C76" s="26" t="s">
        <v>50</v>
      </c>
      <c r="D76" s="23" t="s">
        <v>94</v>
      </c>
      <c r="E76" s="26">
        <v>3</v>
      </c>
      <c r="F76" s="22">
        <v>14.13</v>
      </c>
      <c r="G76" s="34">
        <f>SUMIFS('BASE EXEC. Q.L'!N:N,'BASE EXEC. Q.L'!B:B,VOOS!A76)</f>
        <v>0</v>
      </c>
      <c r="H76" s="15" t="str">
        <f>IFERROR(_xlfn.XLOOKUP(A76,'BASE SQL PLANTIO'!B:B,'BASE SQL PLANTIO'!T:T,"verificar",0),"")</f>
        <v>CTC 9008</v>
      </c>
      <c r="I76" s="77">
        <f>IF(_xlfn.MINIFS('BASE SQL PLANTIO'!E:E,'BASE SQL PLANTIO'!B:B,VOOS!A76)=0/1/1900,"",_xlfn.MINIFS('BASE SQL PLANTIO'!E:E,'BASE SQL PLANTIO'!B:B,VOOS!A76))</f>
        <v>46117</v>
      </c>
      <c r="J76" s="22" t="s">
        <v>96</v>
      </c>
      <c r="K76" s="34">
        <f t="shared" ca="1" si="4"/>
        <v>46</v>
      </c>
      <c r="L76" s="35">
        <f t="shared" ca="1" si="5"/>
        <v>46</v>
      </c>
      <c r="M76" s="14"/>
      <c r="N76" s="16"/>
    </row>
    <row r="77" spans="1:14" ht="15.6" x14ac:dyDescent="0.3">
      <c r="A77" s="13" t="str">
        <f t="shared" si="3"/>
        <v>207982-4</v>
      </c>
      <c r="B77" s="27">
        <v>207982</v>
      </c>
      <c r="C77" s="26" t="s">
        <v>50</v>
      </c>
      <c r="D77" s="23" t="s">
        <v>94</v>
      </c>
      <c r="E77" s="26">
        <v>4</v>
      </c>
      <c r="F77" s="22">
        <v>14.549999999999999</v>
      </c>
      <c r="G77" s="34">
        <f>SUMIFS('BASE EXEC. Q.L'!N:N,'BASE EXEC. Q.L'!B:B,VOOS!A77)</f>
        <v>0</v>
      </c>
      <c r="H77" s="15" t="str">
        <f>IFERROR(_xlfn.XLOOKUP(A77,'BASE SQL PLANTIO'!B:B,'BASE SQL PLANTIO'!T:T,"verificar",0),"")</f>
        <v>CTC 9008</v>
      </c>
      <c r="I77" s="77">
        <f>IF(_xlfn.MINIFS('BASE SQL PLANTIO'!E:E,'BASE SQL PLANTIO'!B:B,VOOS!A77)=0/1/1900,"",_xlfn.MINIFS('BASE SQL PLANTIO'!E:E,'BASE SQL PLANTIO'!B:B,VOOS!A77))</f>
        <v>46116</v>
      </c>
      <c r="J77" s="22" t="s">
        <v>96</v>
      </c>
      <c r="K77" s="34">
        <f t="shared" ca="1" si="4"/>
        <v>47</v>
      </c>
      <c r="L77" s="35">
        <f t="shared" ca="1" si="5"/>
        <v>47</v>
      </c>
      <c r="M77" s="14"/>
      <c r="N77" s="16"/>
    </row>
    <row r="78" spans="1:14" ht="15.6" x14ac:dyDescent="0.3">
      <c r="A78" s="13" t="str">
        <f t="shared" si="3"/>
        <v>207982-5</v>
      </c>
      <c r="B78" s="27">
        <v>207982</v>
      </c>
      <c r="C78" s="26" t="s">
        <v>50</v>
      </c>
      <c r="D78" s="23" t="s">
        <v>94</v>
      </c>
      <c r="E78" s="26">
        <v>5</v>
      </c>
      <c r="F78" s="22">
        <v>7.67</v>
      </c>
      <c r="G78" s="34">
        <f>SUMIFS('BASE EXEC. Q.L'!N:N,'BASE EXEC. Q.L'!B:B,VOOS!A78)</f>
        <v>0</v>
      </c>
      <c r="H78" s="15" t="str">
        <f>IFERROR(_xlfn.XLOOKUP(A78,'BASE SQL PLANTIO'!B:B,'BASE SQL PLANTIO'!T:T,"verificar",0),"")</f>
        <v>CTC 9008</v>
      </c>
      <c r="I78" s="77">
        <f>IF(_xlfn.MINIFS('BASE SQL PLANTIO'!E:E,'BASE SQL PLANTIO'!B:B,VOOS!A78)=0/1/1900,"",_xlfn.MINIFS('BASE SQL PLANTIO'!E:E,'BASE SQL PLANTIO'!B:B,VOOS!A78))</f>
        <v>46115</v>
      </c>
      <c r="J78" s="22" t="s">
        <v>96</v>
      </c>
      <c r="K78" s="34">
        <f t="shared" ca="1" si="4"/>
        <v>48</v>
      </c>
      <c r="L78" s="35">
        <f t="shared" ca="1" si="5"/>
        <v>48</v>
      </c>
      <c r="M78" s="14"/>
      <c r="N78" s="16"/>
    </row>
    <row r="79" spans="1:14" ht="15.6" x14ac:dyDescent="0.3">
      <c r="A79" s="13" t="str">
        <f t="shared" si="3"/>
        <v>207982-6</v>
      </c>
      <c r="B79" s="27">
        <v>207982</v>
      </c>
      <c r="C79" s="26" t="s">
        <v>50</v>
      </c>
      <c r="D79" s="23" t="s">
        <v>94</v>
      </c>
      <c r="E79" s="26">
        <v>6</v>
      </c>
      <c r="F79" s="22">
        <v>15.02</v>
      </c>
      <c r="G79" s="34">
        <f>SUMIFS('BASE EXEC. Q.L'!N:N,'BASE EXEC. Q.L'!B:B,VOOS!A79)</f>
        <v>0</v>
      </c>
      <c r="H79" s="15" t="str">
        <f>IFERROR(_xlfn.XLOOKUP(A79,'BASE SQL PLANTIO'!B:B,'BASE SQL PLANTIO'!T:T,"verificar",0),"")</f>
        <v>RB97 5201</v>
      </c>
      <c r="I79" s="77">
        <f>IF(_xlfn.MINIFS('BASE SQL PLANTIO'!E:E,'BASE SQL PLANTIO'!B:B,VOOS!A79)=0/1/1900,"",_xlfn.MINIFS('BASE SQL PLANTIO'!E:E,'BASE SQL PLANTIO'!B:B,VOOS!A79))</f>
        <v>46118</v>
      </c>
      <c r="J79" s="22" t="s">
        <v>96</v>
      </c>
      <c r="K79" s="34">
        <f t="shared" ca="1" si="4"/>
        <v>45</v>
      </c>
      <c r="L79" s="35">
        <f t="shared" ca="1" si="5"/>
        <v>45</v>
      </c>
      <c r="M79" s="14"/>
      <c r="N79" s="16"/>
    </row>
    <row r="80" spans="1:14" ht="15.6" x14ac:dyDescent="0.3">
      <c r="A80" s="13" t="str">
        <f t="shared" si="3"/>
        <v>208066-1</v>
      </c>
      <c r="B80" s="27">
        <v>208066</v>
      </c>
      <c r="C80" s="26" t="s">
        <v>52</v>
      </c>
      <c r="D80" s="23" t="s">
        <v>94</v>
      </c>
      <c r="E80" s="26">
        <v>1</v>
      </c>
      <c r="F80" s="22">
        <v>10.71</v>
      </c>
      <c r="G80" s="34">
        <f>SUMIFS('BASE EXEC. Q.L'!N:N,'BASE EXEC. Q.L'!B:B,VOOS!A80)</f>
        <v>10.71</v>
      </c>
      <c r="H80" s="15" t="str">
        <f>IFERROR(_xlfn.XLOOKUP(A80,'BASE SQL PLANTIO'!B:B,'BASE SQL PLANTIO'!T:T,"verificar",0),"")</f>
        <v>CTC 9008</v>
      </c>
      <c r="I80" s="77">
        <f>IF(_xlfn.MINIFS('BASE SQL PLANTIO'!E:E,'BASE SQL PLANTIO'!B:B,VOOS!A80)=0/1/1900,"",_xlfn.MINIFS('BASE SQL PLANTIO'!E:E,'BASE SQL PLANTIO'!B:B,VOOS!A80))</f>
        <v>46082</v>
      </c>
      <c r="J80" s="22" t="s">
        <v>96</v>
      </c>
      <c r="K80" s="34">
        <f t="shared" ca="1" si="4"/>
        <v>81</v>
      </c>
      <c r="L80" s="35">
        <f t="shared" ca="1" si="5"/>
        <v>81</v>
      </c>
      <c r="M80" s="14"/>
      <c r="N80" s="15"/>
    </row>
    <row r="81" spans="1:14" ht="15.6" x14ac:dyDescent="0.3">
      <c r="A81" s="13" t="str">
        <f t="shared" si="3"/>
        <v>208066-3</v>
      </c>
      <c r="B81" s="27">
        <v>208066</v>
      </c>
      <c r="C81" s="26" t="s">
        <v>52</v>
      </c>
      <c r="D81" s="23" t="s">
        <v>94</v>
      </c>
      <c r="E81" s="26">
        <v>3</v>
      </c>
      <c r="F81" s="22">
        <v>4</v>
      </c>
      <c r="G81" s="34">
        <f>SUMIFS('BASE EXEC. Q.L'!N:N,'BASE EXEC. Q.L'!B:B,VOOS!A81)</f>
        <v>4</v>
      </c>
      <c r="H81" s="15" t="str">
        <f>IFERROR(_xlfn.XLOOKUP(A81,'BASE SQL PLANTIO'!B:B,'BASE SQL PLANTIO'!T:T,"verificar",0),"")</f>
        <v>CTC 9008</v>
      </c>
      <c r="I81" s="77">
        <f>IF(_xlfn.MINIFS('BASE SQL PLANTIO'!E:E,'BASE SQL PLANTIO'!B:B,VOOS!A81)=0/1/1900,"",_xlfn.MINIFS('BASE SQL PLANTIO'!E:E,'BASE SQL PLANTIO'!B:B,VOOS!A81))</f>
        <v>46082</v>
      </c>
      <c r="J81" s="22" t="s">
        <v>96</v>
      </c>
      <c r="K81" s="34">
        <f t="shared" ca="1" si="4"/>
        <v>81</v>
      </c>
      <c r="L81" s="35">
        <f t="shared" ca="1" si="5"/>
        <v>81</v>
      </c>
      <c r="M81" s="14"/>
      <c r="N81" s="16"/>
    </row>
    <row r="82" spans="1:14" ht="15.6" x14ac:dyDescent="0.3">
      <c r="A82" s="13" t="str">
        <f t="shared" si="3"/>
        <v>208097-1</v>
      </c>
      <c r="B82" s="27">
        <v>208097</v>
      </c>
      <c r="C82" s="26" t="s">
        <v>54</v>
      </c>
      <c r="D82" s="23" t="s">
        <v>94</v>
      </c>
      <c r="E82" s="26">
        <v>1</v>
      </c>
      <c r="F82" s="22">
        <v>19.149999999999999</v>
      </c>
      <c r="G82" s="34">
        <f>SUMIFS('BASE EXEC. Q.L'!N:N,'BASE EXEC. Q.L'!B:B,VOOS!A82)</f>
        <v>0</v>
      </c>
      <c r="H82" s="15" t="str">
        <f>IFERROR(_xlfn.XLOOKUP(A82,'BASE SQL PLANTIO'!B:B,'BASE SQL PLANTIO'!T:T,"verificar",0),"")</f>
        <v>CTC 3445</v>
      </c>
      <c r="I82" s="77">
        <f>IF(_xlfn.MINIFS('BASE SQL PLANTIO'!E:E,'BASE SQL PLANTIO'!B:B,VOOS!A82)=0/1/1900,"",_xlfn.MINIFS('BASE SQL PLANTIO'!E:E,'BASE SQL PLANTIO'!B:B,VOOS!A82))</f>
        <v>46112</v>
      </c>
      <c r="J82" s="22" t="s">
        <v>96</v>
      </c>
      <c r="K82" s="34">
        <f t="shared" ca="1" si="4"/>
        <v>51</v>
      </c>
      <c r="L82" s="35">
        <f t="shared" ca="1" si="5"/>
        <v>51</v>
      </c>
      <c r="M82" s="14"/>
      <c r="N82" s="16"/>
    </row>
    <row r="83" spans="1:14" ht="15.6" x14ac:dyDescent="0.3">
      <c r="A83" s="13" t="str">
        <f t="shared" si="3"/>
        <v>208097-2</v>
      </c>
      <c r="B83" s="27">
        <v>208097</v>
      </c>
      <c r="C83" s="26" t="s">
        <v>54</v>
      </c>
      <c r="D83" s="23" t="s">
        <v>94</v>
      </c>
      <c r="E83" s="26">
        <v>2</v>
      </c>
      <c r="F83" s="22">
        <v>24.93</v>
      </c>
      <c r="G83" s="34">
        <f>SUMIFS('BASE EXEC. Q.L'!N:N,'BASE EXEC. Q.L'!B:B,VOOS!A83)</f>
        <v>0</v>
      </c>
      <c r="H83" s="15" t="str">
        <f>IFERROR(_xlfn.XLOOKUP(A83,'BASE SQL PLANTIO'!B:B,'BASE SQL PLANTIO'!T:T,"verificar",0),"")</f>
        <v>RB97 5242</v>
      </c>
      <c r="I83" s="77">
        <f>IF(_xlfn.MINIFS('BASE SQL PLANTIO'!E:E,'BASE SQL PLANTIO'!B:B,VOOS!A83)=0/1/1900,"",_xlfn.MINIFS('BASE SQL PLANTIO'!E:E,'BASE SQL PLANTIO'!B:B,VOOS!A83))</f>
        <v>46107</v>
      </c>
      <c r="J83" s="22" t="s">
        <v>96</v>
      </c>
      <c r="K83" s="34">
        <f t="shared" ca="1" si="4"/>
        <v>56</v>
      </c>
      <c r="L83" s="35">
        <f t="shared" ca="1" si="5"/>
        <v>56</v>
      </c>
      <c r="M83" s="14"/>
      <c r="N83" s="16"/>
    </row>
    <row r="84" spans="1:14" ht="15.6" x14ac:dyDescent="0.3">
      <c r="A84" s="13" t="str">
        <f t="shared" si="3"/>
        <v>208097-3</v>
      </c>
      <c r="B84" s="27">
        <v>208097</v>
      </c>
      <c r="C84" s="26" t="s">
        <v>54</v>
      </c>
      <c r="D84" s="23" t="s">
        <v>94</v>
      </c>
      <c r="E84" s="26">
        <v>3</v>
      </c>
      <c r="F84" s="22">
        <v>17.329999999999998</v>
      </c>
      <c r="G84" s="34">
        <f>SUMIFS('BASE EXEC. Q.L'!N:N,'BASE EXEC. Q.L'!B:B,VOOS!A84)</f>
        <v>0</v>
      </c>
      <c r="H84" s="15" t="str">
        <f>IFERROR(_xlfn.XLOOKUP(A84,'BASE SQL PLANTIO'!B:B,'BASE SQL PLANTIO'!T:T,"verificar",0),"")</f>
        <v>RB97 5242</v>
      </c>
      <c r="I84" s="77">
        <f>IF(_xlfn.MINIFS('BASE SQL PLANTIO'!E:E,'BASE SQL PLANTIO'!B:B,VOOS!A84)=0/1/1900,"",_xlfn.MINIFS('BASE SQL PLANTIO'!E:E,'BASE SQL PLANTIO'!B:B,VOOS!A84))</f>
        <v>46111</v>
      </c>
      <c r="J84" s="22" t="s">
        <v>96</v>
      </c>
      <c r="K84" s="34">
        <f t="shared" ca="1" si="4"/>
        <v>52</v>
      </c>
      <c r="L84" s="35">
        <f t="shared" ca="1" si="5"/>
        <v>52</v>
      </c>
      <c r="M84" s="14"/>
      <c r="N84" s="16"/>
    </row>
    <row r="85" spans="1:14" ht="15.6" x14ac:dyDescent="0.3">
      <c r="A85" s="13" t="str">
        <f t="shared" si="3"/>
        <v>208097-4</v>
      </c>
      <c r="B85" s="27">
        <v>208097</v>
      </c>
      <c r="C85" s="26" t="s">
        <v>54</v>
      </c>
      <c r="D85" s="23" t="s">
        <v>94</v>
      </c>
      <c r="E85" s="26">
        <v>4</v>
      </c>
      <c r="F85" s="22">
        <v>25.779999999999998</v>
      </c>
      <c r="G85" s="34">
        <f>SUMIFS('BASE EXEC. Q.L'!N:N,'BASE EXEC. Q.L'!B:B,VOOS!A85)</f>
        <v>0</v>
      </c>
      <c r="H85" s="15" t="str">
        <f>IFERROR(_xlfn.XLOOKUP(A85,'BASE SQL PLANTIO'!B:B,'BASE SQL PLANTIO'!T:T,"verificar",0),"")</f>
        <v>RB97 5242</v>
      </c>
      <c r="I85" s="77">
        <f>IF(_xlfn.MINIFS('BASE SQL PLANTIO'!E:E,'BASE SQL PLANTIO'!B:B,VOOS!A85)=0/1/1900,"",_xlfn.MINIFS('BASE SQL PLANTIO'!E:E,'BASE SQL PLANTIO'!B:B,VOOS!A85))</f>
        <v>46110</v>
      </c>
      <c r="J85" s="22" t="s">
        <v>96</v>
      </c>
      <c r="K85" s="34">
        <f t="shared" ca="1" si="4"/>
        <v>53</v>
      </c>
      <c r="L85" s="35">
        <f t="shared" ca="1" si="5"/>
        <v>53</v>
      </c>
      <c r="M85" s="14"/>
      <c r="N85" s="16"/>
    </row>
    <row r="86" spans="1:14" ht="15.6" x14ac:dyDescent="0.3">
      <c r="A86" s="13" t="str">
        <f t="shared" si="3"/>
        <v>208097-5</v>
      </c>
      <c r="B86" s="27">
        <v>208097</v>
      </c>
      <c r="C86" s="26" t="s">
        <v>54</v>
      </c>
      <c r="D86" s="23" t="s">
        <v>94</v>
      </c>
      <c r="E86" s="26">
        <v>5</v>
      </c>
      <c r="F86" s="22">
        <v>36.409999999999997</v>
      </c>
      <c r="G86" s="34">
        <f>SUMIFS('BASE EXEC. Q.L'!N:N,'BASE EXEC. Q.L'!B:B,VOOS!A86)</f>
        <v>0</v>
      </c>
      <c r="H86" s="15" t="str">
        <f>IFERROR(_xlfn.XLOOKUP(A86,'BASE SQL PLANTIO'!B:B,'BASE SQL PLANTIO'!T:T,"verificar",0),"")</f>
        <v>CTC 9008</v>
      </c>
      <c r="I86" s="77">
        <f>IF(_xlfn.MINIFS('BASE SQL PLANTIO'!E:E,'BASE SQL PLANTIO'!B:B,VOOS!A86)=0/1/1900,"",_xlfn.MINIFS('BASE SQL PLANTIO'!E:E,'BASE SQL PLANTIO'!B:B,VOOS!A86))</f>
        <v>46107</v>
      </c>
      <c r="J86" s="22" t="s">
        <v>96</v>
      </c>
      <c r="K86" s="34">
        <f t="shared" ca="1" si="4"/>
        <v>56</v>
      </c>
      <c r="L86" s="35">
        <f t="shared" ca="1" si="5"/>
        <v>56</v>
      </c>
      <c r="M86" s="14"/>
      <c r="N86" s="16"/>
    </row>
    <row r="87" spans="1:14" ht="15.6" x14ac:dyDescent="0.3">
      <c r="A87" s="13" t="str">
        <f t="shared" si="3"/>
        <v>208097-6</v>
      </c>
      <c r="B87" s="27">
        <v>208097</v>
      </c>
      <c r="C87" s="26" t="s">
        <v>54</v>
      </c>
      <c r="D87" s="23" t="s">
        <v>94</v>
      </c>
      <c r="E87" s="26">
        <v>6</v>
      </c>
      <c r="F87" s="22">
        <v>26.229999999999997</v>
      </c>
      <c r="G87" s="34">
        <f>SUMIFS('BASE EXEC. Q.L'!N:N,'BASE EXEC. Q.L'!B:B,VOOS!A87)</f>
        <v>0</v>
      </c>
      <c r="H87" s="15" t="str">
        <f>IFERROR(_xlfn.XLOOKUP(A87,'BASE SQL PLANTIO'!B:B,'BASE SQL PLANTIO'!T:T,"verificar",0),"")</f>
        <v>RB97 5242</v>
      </c>
      <c r="I87" s="77">
        <f>IF(_xlfn.MINIFS('BASE SQL PLANTIO'!E:E,'BASE SQL PLANTIO'!B:B,VOOS!A87)=0/1/1900,"",_xlfn.MINIFS('BASE SQL PLANTIO'!E:E,'BASE SQL PLANTIO'!B:B,VOOS!A87))</f>
        <v>46098</v>
      </c>
      <c r="J87" s="22" t="s">
        <v>96</v>
      </c>
      <c r="K87" s="34">
        <f t="shared" ca="1" si="4"/>
        <v>65</v>
      </c>
      <c r="L87" s="35">
        <f t="shared" ca="1" si="5"/>
        <v>65</v>
      </c>
      <c r="M87" s="14"/>
      <c r="N87" s="16"/>
    </row>
    <row r="88" spans="1:14" ht="15.6" x14ac:dyDescent="0.3">
      <c r="A88" s="13" t="str">
        <f t="shared" si="3"/>
        <v>208097-7</v>
      </c>
      <c r="B88" s="27">
        <v>208097</v>
      </c>
      <c r="C88" s="26" t="s">
        <v>54</v>
      </c>
      <c r="D88" s="23" t="s">
        <v>94</v>
      </c>
      <c r="E88" s="26">
        <v>7</v>
      </c>
      <c r="F88" s="22">
        <v>38.119999999999997</v>
      </c>
      <c r="G88" s="34">
        <f>SUMIFS('BASE EXEC. Q.L'!N:N,'BASE EXEC. Q.L'!B:B,VOOS!A88)</f>
        <v>0</v>
      </c>
      <c r="H88" s="15" t="str">
        <f>IFERROR(_xlfn.XLOOKUP(A88,'BASE SQL PLANTIO'!B:B,'BASE SQL PLANTIO'!T:T,"verificar",0),"")</f>
        <v>RB97 5242</v>
      </c>
      <c r="I88" s="77">
        <f>IF(_xlfn.MINIFS('BASE SQL PLANTIO'!E:E,'BASE SQL PLANTIO'!B:B,VOOS!A88)=0/1/1900,"",_xlfn.MINIFS('BASE SQL PLANTIO'!E:E,'BASE SQL PLANTIO'!B:B,VOOS!A88))</f>
        <v>46097</v>
      </c>
      <c r="J88" s="22" t="s">
        <v>96</v>
      </c>
      <c r="K88" s="34">
        <f t="shared" ca="1" si="4"/>
        <v>66</v>
      </c>
      <c r="L88" s="35">
        <f t="shared" ca="1" si="5"/>
        <v>66</v>
      </c>
      <c r="M88" s="14"/>
      <c r="N88" s="16"/>
    </row>
    <row r="89" spans="1:14" ht="15.6" x14ac:dyDescent="0.3">
      <c r="A89" s="13" t="str">
        <f t="shared" si="3"/>
        <v>208097-8</v>
      </c>
      <c r="B89" s="25">
        <v>208097</v>
      </c>
      <c r="C89" s="25" t="s">
        <v>54</v>
      </c>
      <c r="D89" s="23" t="s">
        <v>94</v>
      </c>
      <c r="E89" s="25">
        <v>8</v>
      </c>
      <c r="F89" s="22">
        <v>43.17</v>
      </c>
      <c r="G89" s="34">
        <f>SUMIFS('BASE EXEC. Q.L'!N:N,'BASE EXEC. Q.L'!B:B,VOOS!A89)</f>
        <v>0</v>
      </c>
      <c r="H89" s="15" t="str">
        <f>IFERROR(_xlfn.XLOOKUP(A89,'BASE SQL PLANTIO'!B:B,'BASE SQL PLANTIO'!T:T,"verificar",0),"")</f>
        <v>RB97 5242</v>
      </c>
      <c r="I89" s="77">
        <f>IF(_xlfn.MINIFS('BASE SQL PLANTIO'!E:E,'BASE SQL PLANTIO'!B:B,VOOS!A89)=0/1/1900,"",_xlfn.MINIFS('BASE SQL PLANTIO'!E:E,'BASE SQL PLANTIO'!B:B,VOOS!A89))</f>
        <v>46103</v>
      </c>
      <c r="J89" s="22" t="s">
        <v>96</v>
      </c>
      <c r="K89" s="34">
        <f t="shared" ca="1" si="4"/>
        <v>60</v>
      </c>
      <c r="L89" s="35">
        <f t="shared" ca="1" si="5"/>
        <v>60</v>
      </c>
      <c r="M89" s="14"/>
      <c r="N89" s="16"/>
    </row>
    <row r="90" spans="1:14" ht="15.6" x14ac:dyDescent="0.3">
      <c r="A90" s="13" t="str">
        <f t="shared" si="3"/>
        <v>208097-9</v>
      </c>
      <c r="B90" s="25">
        <v>208097</v>
      </c>
      <c r="C90" s="25" t="s">
        <v>54</v>
      </c>
      <c r="D90" s="23" t="s">
        <v>94</v>
      </c>
      <c r="E90" s="25">
        <v>9</v>
      </c>
      <c r="F90" s="22">
        <v>3.28</v>
      </c>
      <c r="G90" s="34">
        <f>SUMIFS('BASE EXEC. Q.L'!N:N,'BASE EXEC. Q.L'!B:B,VOOS!A90)</f>
        <v>0</v>
      </c>
      <c r="H90" s="15" t="str">
        <f>IFERROR(_xlfn.XLOOKUP(A90,'BASE SQL PLANTIO'!B:B,'BASE SQL PLANTIO'!T:T,"verificar",0),"")</f>
        <v>CTC 9008</v>
      </c>
      <c r="I90" s="77">
        <f>IF(_xlfn.MINIFS('BASE SQL PLANTIO'!E:E,'BASE SQL PLANTIO'!B:B,VOOS!A90)=0/1/1900,"",_xlfn.MINIFS('BASE SQL PLANTIO'!E:E,'BASE SQL PLANTIO'!B:B,VOOS!A90))</f>
        <v>46112</v>
      </c>
      <c r="J90" s="22" t="s">
        <v>96</v>
      </c>
      <c r="K90" s="34">
        <f t="shared" ca="1" si="4"/>
        <v>51</v>
      </c>
      <c r="L90" s="35">
        <f t="shared" ca="1" si="5"/>
        <v>51</v>
      </c>
      <c r="M90" s="14"/>
      <c r="N90" s="16"/>
    </row>
    <row r="91" spans="1:14" ht="15.6" x14ac:dyDescent="0.3">
      <c r="A91" s="13" t="str">
        <f t="shared" si="3"/>
        <v>208097-10</v>
      </c>
      <c r="B91" s="27">
        <v>208097</v>
      </c>
      <c r="C91" s="26" t="s">
        <v>54</v>
      </c>
      <c r="D91" s="23" t="s">
        <v>94</v>
      </c>
      <c r="E91" s="26">
        <v>10</v>
      </c>
      <c r="F91" s="22">
        <v>20.93</v>
      </c>
      <c r="G91" s="34">
        <f>SUMIFS('BASE EXEC. Q.L'!N:N,'BASE EXEC. Q.L'!B:B,VOOS!A91)</f>
        <v>0</v>
      </c>
      <c r="H91" s="15" t="str">
        <f>IFERROR(_xlfn.XLOOKUP(A91,'BASE SQL PLANTIO'!B:B,'BASE SQL PLANTIO'!T:T,"verificar",0),"")</f>
        <v>SP83-2847</v>
      </c>
      <c r="I91" s="77">
        <f>IF(_xlfn.MINIFS('BASE SQL PLANTIO'!E:E,'BASE SQL PLANTIO'!B:B,VOOS!A91)=0/1/1900,"",_xlfn.MINIFS('BASE SQL PLANTIO'!E:E,'BASE SQL PLANTIO'!B:B,VOOS!A91))</f>
        <v>46107</v>
      </c>
      <c r="J91" s="22" t="s">
        <v>96</v>
      </c>
      <c r="K91" s="34">
        <f t="shared" ca="1" si="4"/>
        <v>56</v>
      </c>
      <c r="L91" s="35">
        <f t="shared" ca="1" si="5"/>
        <v>56</v>
      </c>
      <c r="M91" s="14"/>
      <c r="N91" s="16"/>
    </row>
    <row r="92" spans="1:14" ht="15.6" x14ac:dyDescent="0.3">
      <c r="A92" s="13" t="str">
        <f t="shared" si="3"/>
        <v>208097-11</v>
      </c>
      <c r="B92" s="27">
        <v>208097</v>
      </c>
      <c r="C92" s="26" t="s">
        <v>54</v>
      </c>
      <c r="D92" s="23" t="s">
        <v>94</v>
      </c>
      <c r="E92" s="26">
        <v>11</v>
      </c>
      <c r="F92" s="22">
        <v>29.86</v>
      </c>
      <c r="G92" s="34">
        <f>SUMIFS('BASE EXEC. Q.L'!N:N,'BASE EXEC. Q.L'!B:B,VOOS!A92)</f>
        <v>0</v>
      </c>
      <c r="H92" s="15" t="str">
        <f>IFERROR(_xlfn.XLOOKUP(A92,'BASE SQL PLANTIO'!B:B,'BASE SQL PLANTIO'!T:T,"verificar",0),"")</f>
        <v>SP83-2847</v>
      </c>
      <c r="I92" s="77">
        <f>IF(_xlfn.MINIFS('BASE SQL PLANTIO'!E:E,'BASE SQL PLANTIO'!B:B,VOOS!A92)=0/1/1900,"",_xlfn.MINIFS('BASE SQL PLANTIO'!E:E,'BASE SQL PLANTIO'!B:B,VOOS!A92))</f>
        <v>46103</v>
      </c>
      <c r="J92" s="22" t="s">
        <v>96</v>
      </c>
      <c r="K92" s="34">
        <f t="shared" ca="1" si="4"/>
        <v>60</v>
      </c>
      <c r="L92" s="35">
        <f t="shared" ca="1" si="5"/>
        <v>60</v>
      </c>
      <c r="M92" s="14"/>
      <c r="N92" s="15"/>
    </row>
    <row r="93" spans="1:14" ht="15.6" x14ac:dyDescent="0.3">
      <c r="A93" s="13" t="str">
        <f t="shared" si="3"/>
        <v>208097-12</v>
      </c>
      <c r="B93" s="27">
        <v>208097</v>
      </c>
      <c r="C93" s="26" t="s">
        <v>54</v>
      </c>
      <c r="D93" s="23" t="s">
        <v>94</v>
      </c>
      <c r="E93" s="26">
        <v>12</v>
      </c>
      <c r="F93" s="22">
        <v>22.599999999999998</v>
      </c>
      <c r="G93" s="34">
        <f>SUMIFS('BASE EXEC. Q.L'!N:N,'BASE EXEC. Q.L'!B:B,VOOS!A93)</f>
        <v>0</v>
      </c>
      <c r="H93" s="15" t="str">
        <f>IFERROR(_xlfn.XLOOKUP(A93,'BASE SQL PLANTIO'!B:B,'BASE SQL PLANTIO'!T:T,"verificar",0),"")</f>
        <v>RB97 5242</v>
      </c>
      <c r="I93" s="77">
        <f>IF(_xlfn.MINIFS('BASE SQL PLANTIO'!E:E,'BASE SQL PLANTIO'!B:B,VOOS!A93)=0/1/1900,"",_xlfn.MINIFS('BASE SQL PLANTIO'!E:E,'BASE SQL PLANTIO'!B:B,VOOS!A93))</f>
        <v>46098</v>
      </c>
      <c r="J93" s="22" t="s">
        <v>96</v>
      </c>
      <c r="K93" s="34">
        <f t="shared" ca="1" si="4"/>
        <v>65</v>
      </c>
      <c r="L93" s="35">
        <f t="shared" ca="1" si="5"/>
        <v>65</v>
      </c>
      <c r="M93" s="14"/>
      <c r="N93" s="16"/>
    </row>
    <row r="94" spans="1:14" ht="15.6" x14ac:dyDescent="0.3">
      <c r="A94" s="13" t="str">
        <f t="shared" si="3"/>
        <v>208097-13</v>
      </c>
      <c r="B94" s="27">
        <v>208097</v>
      </c>
      <c r="C94" s="26" t="s">
        <v>54</v>
      </c>
      <c r="D94" s="23" t="s">
        <v>94</v>
      </c>
      <c r="E94" s="26">
        <v>13</v>
      </c>
      <c r="F94" s="22">
        <v>18.869999999999997</v>
      </c>
      <c r="G94" s="34">
        <f>SUMIFS('BASE EXEC. Q.L'!N:N,'BASE EXEC. Q.L'!B:B,VOOS!A94)</f>
        <v>0</v>
      </c>
      <c r="H94" s="15" t="str">
        <f>IFERROR(_xlfn.XLOOKUP(A94,'BASE SQL PLANTIO'!B:B,'BASE SQL PLANTIO'!T:T,"verificar",0),"")</f>
        <v>RB97 5242</v>
      </c>
      <c r="I94" s="77">
        <f>IF(_xlfn.MINIFS('BASE SQL PLANTIO'!E:E,'BASE SQL PLANTIO'!B:B,VOOS!A94)=0/1/1900,"",_xlfn.MINIFS('BASE SQL PLANTIO'!E:E,'BASE SQL PLANTIO'!B:B,VOOS!A94))</f>
        <v>46102</v>
      </c>
      <c r="J94" s="22" t="s">
        <v>96</v>
      </c>
      <c r="K94" s="34">
        <f t="shared" ca="1" si="4"/>
        <v>61</v>
      </c>
      <c r="L94" s="35">
        <f t="shared" ca="1" si="5"/>
        <v>61</v>
      </c>
      <c r="M94" s="14"/>
      <c r="N94" s="16"/>
    </row>
    <row r="95" spans="1:14" ht="15.6" x14ac:dyDescent="0.3">
      <c r="A95" s="13" t="str">
        <f t="shared" si="3"/>
        <v>208097-14</v>
      </c>
      <c r="B95" s="27">
        <v>208097</v>
      </c>
      <c r="C95" s="26" t="s">
        <v>54</v>
      </c>
      <c r="D95" s="23" t="s">
        <v>94</v>
      </c>
      <c r="E95" s="26">
        <v>14</v>
      </c>
      <c r="F95" s="22">
        <v>24.259999999999998</v>
      </c>
      <c r="G95" s="34">
        <f>SUMIFS('BASE EXEC. Q.L'!N:N,'BASE EXEC. Q.L'!B:B,VOOS!A95)</f>
        <v>0</v>
      </c>
      <c r="H95" s="15" t="str">
        <f>IFERROR(_xlfn.XLOOKUP(A95,'BASE SQL PLANTIO'!B:B,'BASE SQL PLANTIO'!T:T,"verificar",0),"")</f>
        <v>CTC 9008</v>
      </c>
      <c r="I95" s="77">
        <f>IF(_xlfn.MINIFS('BASE SQL PLANTIO'!E:E,'BASE SQL PLANTIO'!B:B,VOOS!A95)=0/1/1900,"",_xlfn.MINIFS('BASE SQL PLANTIO'!E:E,'BASE SQL PLANTIO'!B:B,VOOS!A95))</f>
        <v>46108</v>
      </c>
      <c r="J95" s="22" t="s">
        <v>96</v>
      </c>
      <c r="K95" s="34">
        <f t="shared" ca="1" si="4"/>
        <v>55</v>
      </c>
      <c r="L95" s="35">
        <f t="shared" ca="1" si="5"/>
        <v>55</v>
      </c>
      <c r="M95" s="14"/>
      <c r="N95" s="16"/>
    </row>
    <row r="96" spans="1:14" ht="15.6" x14ac:dyDescent="0.3">
      <c r="A96" s="13" t="str">
        <f t="shared" si="3"/>
        <v>208097-15</v>
      </c>
      <c r="B96" s="25">
        <v>208097</v>
      </c>
      <c r="C96" s="25" t="s">
        <v>54</v>
      </c>
      <c r="D96" s="23" t="s">
        <v>94</v>
      </c>
      <c r="E96" s="25">
        <v>15</v>
      </c>
      <c r="F96" s="22">
        <v>16.54</v>
      </c>
      <c r="G96" s="34">
        <f>SUMIFS('BASE EXEC. Q.L'!N:N,'BASE EXEC. Q.L'!B:B,VOOS!A96)</f>
        <v>0</v>
      </c>
      <c r="H96" s="15" t="str">
        <f>IFERROR(_xlfn.XLOOKUP(A96,'BASE SQL PLANTIO'!B:B,'BASE SQL PLANTIO'!T:T,"verificar",0),"")</f>
        <v>RB97 5242</v>
      </c>
      <c r="I96" s="77">
        <f>IF(_xlfn.MINIFS('BASE SQL PLANTIO'!E:E,'BASE SQL PLANTIO'!B:B,VOOS!A96)=0/1/1900,"",_xlfn.MINIFS('BASE SQL PLANTIO'!E:E,'BASE SQL PLANTIO'!B:B,VOOS!A96))</f>
        <v>46110</v>
      </c>
      <c r="J96" s="22" t="s">
        <v>96</v>
      </c>
      <c r="K96" s="34">
        <f t="shared" ca="1" si="4"/>
        <v>53</v>
      </c>
      <c r="L96" s="35">
        <f t="shared" ca="1" si="5"/>
        <v>53</v>
      </c>
      <c r="M96" s="14"/>
      <c r="N96" s="16"/>
    </row>
    <row r="97" spans="1:14" ht="15.6" x14ac:dyDescent="0.3">
      <c r="A97" s="13" t="str">
        <f t="shared" si="3"/>
        <v>208097-16</v>
      </c>
      <c r="B97" s="25">
        <v>208097</v>
      </c>
      <c r="C97" s="29" t="s">
        <v>54</v>
      </c>
      <c r="D97" s="23" t="s">
        <v>94</v>
      </c>
      <c r="E97" s="30">
        <v>16</v>
      </c>
      <c r="F97" s="22">
        <v>18.350000000000001</v>
      </c>
      <c r="G97" s="34">
        <f>SUMIFS('BASE EXEC. Q.L'!N:N,'BASE EXEC. Q.L'!B:B,VOOS!A97)</f>
        <v>0</v>
      </c>
      <c r="H97" s="15" t="str">
        <f>IFERROR(_xlfn.XLOOKUP(A97,'BASE SQL PLANTIO'!B:B,'BASE SQL PLANTIO'!T:T,"verificar",0),"")</f>
        <v>SP83-2847</v>
      </c>
      <c r="I97" s="77">
        <f>IF(_xlfn.MINIFS('BASE SQL PLANTIO'!E:E,'BASE SQL PLANTIO'!B:B,VOOS!A97)=0/1/1900,"",_xlfn.MINIFS('BASE SQL PLANTIO'!E:E,'BASE SQL PLANTIO'!B:B,VOOS!A97))</f>
        <v>46103</v>
      </c>
      <c r="J97" s="22" t="s">
        <v>96</v>
      </c>
      <c r="K97" s="34">
        <f t="shared" ca="1" si="4"/>
        <v>60</v>
      </c>
      <c r="L97" s="35">
        <f t="shared" ca="1" si="5"/>
        <v>60</v>
      </c>
      <c r="M97" s="14"/>
      <c r="N97" s="16"/>
    </row>
    <row r="98" spans="1:14" ht="15.6" x14ac:dyDescent="0.3">
      <c r="A98" s="13" t="str">
        <f t="shared" si="3"/>
        <v>208097-17</v>
      </c>
      <c r="B98" s="25">
        <v>208097</v>
      </c>
      <c r="C98" s="25" t="s">
        <v>54</v>
      </c>
      <c r="D98" s="23" t="s">
        <v>94</v>
      </c>
      <c r="E98" s="25">
        <v>17</v>
      </c>
      <c r="F98" s="22">
        <v>25.84</v>
      </c>
      <c r="G98" s="34">
        <f>SUMIFS('BASE EXEC. Q.L'!N:N,'BASE EXEC. Q.L'!B:B,VOOS!A98)</f>
        <v>0</v>
      </c>
      <c r="H98" s="15" t="str">
        <f>IFERROR(_xlfn.XLOOKUP(A98,'BASE SQL PLANTIO'!B:B,'BASE SQL PLANTIO'!T:T,"verificar",0),"")</f>
        <v>RB97 5242</v>
      </c>
      <c r="I98" s="77">
        <f>IF(_xlfn.MINIFS('BASE SQL PLANTIO'!E:E,'BASE SQL PLANTIO'!B:B,VOOS!A98)=0/1/1900,"",_xlfn.MINIFS('BASE SQL PLANTIO'!E:E,'BASE SQL PLANTIO'!B:B,VOOS!A98))</f>
        <v>46101</v>
      </c>
      <c r="J98" s="22" t="s">
        <v>96</v>
      </c>
      <c r="K98" s="34">
        <f t="shared" ca="1" si="4"/>
        <v>62</v>
      </c>
      <c r="L98" s="35">
        <f t="shared" ca="1" si="5"/>
        <v>62</v>
      </c>
      <c r="M98" s="14"/>
      <c r="N98" s="16"/>
    </row>
    <row r="99" spans="1:14" ht="15.6" x14ac:dyDescent="0.3">
      <c r="A99" s="13" t="str">
        <f t="shared" si="3"/>
        <v>208097-18</v>
      </c>
      <c r="B99" s="27">
        <v>208097</v>
      </c>
      <c r="C99" s="26" t="s">
        <v>54</v>
      </c>
      <c r="D99" s="23" t="s">
        <v>94</v>
      </c>
      <c r="E99" s="26">
        <v>18</v>
      </c>
      <c r="F99" s="22">
        <v>6.48</v>
      </c>
      <c r="G99" s="34">
        <f>SUMIFS('BASE EXEC. Q.L'!N:N,'BASE EXEC. Q.L'!B:B,VOOS!A99)</f>
        <v>0</v>
      </c>
      <c r="H99" s="15" t="str">
        <f>IFERROR(_xlfn.XLOOKUP(A99,'BASE SQL PLANTIO'!B:B,'BASE SQL PLANTIO'!T:T,"verificar",0),"")</f>
        <v>CTC 9008</v>
      </c>
      <c r="I99" s="77">
        <f>IF(_xlfn.MINIFS('BASE SQL PLANTIO'!E:E,'BASE SQL PLANTIO'!B:B,VOOS!A99)=0/1/1900,"",_xlfn.MINIFS('BASE SQL PLANTIO'!E:E,'BASE SQL PLANTIO'!B:B,VOOS!A99))</f>
        <v>46111</v>
      </c>
      <c r="J99" s="22" t="s">
        <v>96</v>
      </c>
      <c r="K99" s="34">
        <f t="shared" ca="1" si="4"/>
        <v>52</v>
      </c>
      <c r="L99" s="35">
        <f t="shared" ca="1" si="5"/>
        <v>52</v>
      </c>
      <c r="M99" s="14"/>
      <c r="N99" s="16"/>
    </row>
    <row r="100" spans="1:14" ht="15.6" x14ac:dyDescent="0.3">
      <c r="A100" s="13" t="str">
        <f t="shared" si="3"/>
        <v>-</v>
      </c>
      <c r="B100" s="27"/>
      <c r="C100" s="26"/>
      <c r="D100" s="26"/>
      <c r="E100" s="26"/>
      <c r="F100" s="22"/>
      <c r="G100" s="34">
        <f>SUMIFS('BASE EXEC. Q.L'!N:N,'BASE EXEC. Q.L'!B:B,VOOS!A100)</f>
        <v>0</v>
      </c>
      <c r="H100" s="15" t="str">
        <f>IFERROR(_xlfn.XLOOKUP(A100,'BASE SQL PLANTIO'!B:B,'BASE SQL PLANTIO'!T:T,"verificar",0),"")</f>
        <v/>
      </c>
      <c r="I100" s="77" t="str">
        <f>IF(_xlfn.MINIFS('BASE SQL PLANTIO'!E:E,'BASE SQL PLANTIO'!B:B,VOOS!A100)=0/1/1900,"",_xlfn.MINIFS('BASE SQL PLANTIO'!E:E,'BASE SQL PLANTIO'!B:B,VOOS!A100))</f>
        <v/>
      </c>
      <c r="J100" s="26"/>
      <c r="K100" s="34" t="str">
        <f t="shared" si="4"/>
        <v/>
      </c>
      <c r="L100" s="35" t="str">
        <f t="shared" si="5"/>
        <v/>
      </c>
      <c r="M100" s="14"/>
      <c r="N100" s="16"/>
    </row>
    <row r="101" spans="1:14" ht="15.6" x14ac:dyDescent="0.3">
      <c r="A101" s="13" t="str">
        <f t="shared" si="3"/>
        <v>-</v>
      </c>
      <c r="B101" s="27"/>
      <c r="C101" s="26"/>
      <c r="D101" s="26"/>
      <c r="E101" s="26"/>
      <c r="F101" s="22"/>
      <c r="G101" s="34">
        <f>SUMIFS('BASE EXEC. Q.L'!N:N,'BASE EXEC. Q.L'!B:B,VOOS!A101)</f>
        <v>0</v>
      </c>
      <c r="H101" s="15" t="str">
        <f>IFERROR(_xlfn.XLOOKUP(A101,'BASE SQL PLANTIO'!B:B,'BASE SQL PLANTIO'!T:T,"verificar",0),"")</f>
        <v/>
      </c>
      <c r="I101" s="77" t="str">
        <f>IF(_xlfn.MINIFS('BASE SQL PLANTIO'!E:E,'BASE SQL PLANTIO'!B:B,VOOS!A101)=0/1/1900,"",_xlfn.MINIFS('BASE SQL PLANTIO'!E:E,'BASE SQL PLANTIO'!B:B,VOOS!A101))</f>
        <v/>
      </c>
      <c r="J101" s="26"/>
      <c r="K101" s="34" t="str">
        <f t="shared" si="4"/>
        <v/>
      </c>
      <c r="L101" s="35" t="str">
        <f t="shared" si="5"/>
        <v/>
      </c>
      <c r="M101" s="14"/>
      <c r="N101" s="16"/>
    </row>
    <row r="102" spans="1:14" ht="15.6" x14ac:dyDescent="0.3">
      <c r="A102" s="13" t="str">
        <f t="shared" si="3"/>
        <v>-</v>
      </c>
      <c r="B102" s="27"/>
      <c r="C102" s="26"/>
      <c r="D102" s="26"/>
      <c r="E102" s="26"/>
      <c r="F102" s="22"/>
      <c r="G102" s="34">
        <f>SUMIFS('BASE EXEC. Q.L'!N:N,'BASE EXEC. Q.L'!B:B,VOOS!A102)</f>
        <v>0</v>
      </c>
      <c r="H102" s="15" t="str">
        <f>IFERROR(_xlfn.XLOOKUP(A102,'BASE SQL PLANTIO'!B:B,'BASE SQL PLANTIO'!T:T,"verificar",0),"")</f>
        <v/>
      </c>
      <c r="I102" s="77" t="str">
        <f>IF(_xlfn.MINIFS('BASE SQL PLANTIO'!E:E,'BASE SQL PLANTIO'!B:B,VOOS!A102)=0/1/1900,"",_xlfn.MINIFS('BASE SQL PLANTIO'!E:E,'BASE SQL PLANTIO'!B:B,VOOS!A102))</f>
        <v/>
      </c>
      <c r="J102" s="26"/>
      <c r="K102" s="34" t="str">
        <f t="shared" si="4"/>
        <v/>
      </c>
      <c r="L102" s="35" t="str">
        <f t="shared" si="5"/>
        <v/>
      </c>
      <c r="M102" s="14"/>
      <c r="N102" s="16"/>
    </row>
    <row r="103" spans="1:14" ht="15.6" x14ac:dyDescent="0.3">
      <c r="A103" s="13" t="str">
        <f t="shared" si="3"/>
        <v>-</v>
      </c>
      <c r="B103" s="27"/>
      <c r="C103" s="26"/>
      <c r="D103" s="26"/>
      <c r="E103" s="26"/>
      <c r="F103" s="22"/>
      <c r="G103" s="34">
        <f>SUMIFS('BASE EXEC. Q.L'!N:N,'BASE EXEC. Q.L'!B:B,VOOS!A103)</f>
        <v>0</v>
      </c>
      <c r="H103" s="15" t="str">
        <f>IFERROR(_xlfn.XLOOKUP(A103,'BASE SQL PLANTIO'!B:B,'BASE SQL PLANTIO'!T:T,"verificar",0),"")</f>
        <v/>
      </c>
      <c r="I103" s="77" t="str">
        <f>IF(_xlfn.MINIFS('BASE SQL PLANTIO'!E:E,'BASE SQL PLANTIO'!B:B,VOOS!A103)=0/1/1900,"",_xlfn.MINIFS('BASE SQL PLANTIO'!E:E,'BASE SQL PLANTIO'!B:B,VOOS!A103))</f>
        <v/>
      </c>
      <c r="J103" s="26"/>
      <c r="K103" s="34" t="str">
        <f t="shared" si="4"/>
        <v/>
      </c>
      <c r="L103" s="35" t="str">
        <f t="shared" si="5"/>
        <v/>
      </c>
      <c r="M103" s="14"/>
      <c r="N103" s="16"/>
    </row>
    <row r="104" spans="1:14" ht="15.6" x14ac:dyDescent="0.3">
      <c r="A104" s="13" t="str">
        <f t="shared" si="3"/>
        <v>-</v>
      </c>
      <c r="B104" s="27"/>
      <c r="C104" s="26"/>
      <c r="D104" s="26"/>
      <c r="E104" s="26"/>
      <c r="F104" s="22"/>
      <c r="G104" s="34">
        <f>SUMIFS('BASE EXEC. Q.L'!N:N,'BASE EXEC. Q.L'!B:B,VOOS!A104)</f>
        <v>0</v>
      </c>
      <c r="H104" s="15" t="str">
        <f>IFERROR(_xlfn.XLOOKUP(A104,'BASE SQL PLANTIO'!B:B,'BASE SQL PLANTIO'!T:T,"verificar",0),"")</f>
        <v/>
      </c>
      <c r="I104" s="77" t="str">
        <f>IF(_xlfn.MINIFS('BASE SQL PLANTIO'!E:E,'BASE SQL PLANTIO'!B:B,VOOS!A104)=0/1/1900,"",_xlfn.MINIFS('BASE SQL PLANTIO'!E:E,'BASE SQL PLANTIO'!B:B,VOOS!A104))</f>
        <v/>
      </c>
      <c r="J104" s="26"/>
      <c r="K104" s="34" t="str">
        <f t="shared" si="4"/>
        <v/>
      </c>
      <c r="L104" s="35" t="str">
        <f t="shared" si="5"/>
        <v/>
      </c>
      <c r="M104" s="14"/>
      <c r="N104" s="15"/>
    </row>
    <row r="105" spans="1:14" ht="15.6" x14ac:dyDescent="0.3">
      <c r="A105" s="13" t="str">
        <f t="shared" si="3"/>
        <v>-</v>
      </c>
      <c r="B105" s="27"/>
      <c r="C105" s="26"/>
      <c r="D105" s="26"/>
      <c r="E105" s="26"/>
      <c r="F105" s="22"/>
      <c r="G105" s="34">
        <f>SUMIFS('BASE EXEC. Q.L'!N:N,'BASE EXEC. Q.L'!B:B,VOOS!A105)</f>
        <v>0</v>
      </c>
      <c r="H105" s="15" t="str">
        <f>IFERROR(_xlfn.XLOOKUP(A105,'BASE SQL PLANTIO'!B:B,'BASE SQL PLANTIO'!T:T,"verificar",0),"")</f>
        <v/>
      </c>
      <c r="I105" s="77" t="str">
        <f>IF(_xlfn.MINIFS('BASE SQL PLANTIO'!E:E,'BASE SQL PLANTIO'!B:B,VOOS!A105)=0/1/1900,"",_xlfn.MINIFS('BASE SQL PLANTIO'!E:E,'BASE SQL PLANTIO'!B:B,VOOS!A105))</f>
        <v/>
      </c>
      <c r="J105" s="26"/>
      <c r="K105" s="34" t="str">
        <f t="shared" si="4"/>
        <v/>
      </c>
      <c r="L105" s="35" t="str">
        <f t="shared" si="5"/>
        <v/>
      </c>
      <c r="M105" s="14"/>
      <c r="N105" s="16"/>
    </row>
    <row r="106" spans="1:14" ht="15.6" x14ac:dyDescent="0.3">
      <c r="A106" s="13" t="str">
        <f t="shared" si="3"/>
        <v>-</v>
      </c>
      <c r="B106" s="27"/>
      <c r="C106" s="26"/>
      <c r="D106" s="26"/>
      <c r="E106" s="26"/>
      <c r="F106" s="22"/>
      <c r="G106" s="34">
        <f>SUMIFS('BASE EXEC. Q.L'!N:N,'BASE EXEC. Q.L'!B:B,VOOS!A106)</f>
        <v>0</v>
      </c>
      <c r="H106" s="15" t="str">
        <f>IFERROR(_xlfn.XLOOKUP(A106,'BASE SQL PLANTIO'!B:B,'BASE SQL PLANTIO'!T:T,"verificar",0),"")</f>
        <v/>
      </c>
      <c r="I106" s="77" t="str">
        <f>IF(_xlfn.MINIFS('BASE SQL PLANTIO'!E:E,'BASE SQL PLANTIO'!B:B,VOOS!A106)=0/1/1900,"",_xlfn.MINIFS('BASE SQL PLANTIO'!E:E,'BASE SQL PLANTIO'!B:B,VOOS!A106))</f>
        <v/>
      </c>
      <c r="J106" s="26"/>
      <c r="K106" s="34" t="str">
        <f t="shared" si="4"/>
        <v/>
      </c>
      <c r="L106" s="35" t="str">
        <f t="shared" si="5"/>
        <v/>
      </c>
      <c r="M106" s="14"/>
      <c r="N106" s="16"/>
    </row>
    <row r="107" spans="1:14" ht="15.6" x14ac:dyDescent="0.3">
      <c r="A107" s="13" t="str">
        <f t="shared" si="3"/>
        <v>-</v>
      </c>
      <c r="B107" s="27"/>
      <c r="C107" s="26"/>
      <c r="D107" s="26"/>
      <c r="E107" s="26"/>
      <c r="F107" s="22"/>
      <c r="G107" s="34">
        <f>SUMIFS('BASE EXEC. Q.L'!N:N,'BASE EXEC. Q.L'!B:B,VOOS!A107)</f>
        <v>0</v>
      </c>
      <c r="H107" s="15" t="str">
        <f>IFERROR(_xlfn.XLOOKUP(A107,'BASE SQL PLANTIO'!B:B,'BASE SQL PLANTIO'!T:T,"verificar",0),"")</f>
        <v/>
      </c>
      <c r="I107" s="77" t="str">
        <f>IF(_xlfn.MINIFS('BASE SQL PLANTIO'!E:E,'BASE SQL PLANTIO'!B:B,VOOS!A107)=0/1/1900,"",_xlfn.MINIFS('BASE SQL PLANTIO'!E:E,'BASE SQL PLANTIO'!B:B,VOOS!A107))</f>
        <v/>
      </c>
      <c r="J107" s="26"/>
      <c r="K107" s="34" t="str">
        <f t="shared" si="4"/>
        <v/>
      </c>
      <c r="L107" s="35" t="str">
        <f t="shared" si="5"/>
        <v/>
      </c>
      <c r="M107" s="14"/>
      <c r="N107" s="16"/>
    </row>
    <row r="108" spans="1:14" ht="15.6" x14ac:dyDescent="0.3">
      <c r="A108" s="13" t="str">
        <f t="shared" si="3"/>
        <v>-</v>
      </c>
      <c r="B108" s="27"/>
      <c r="C108" s="26"/>
      <c r="D108" s="26"/>
      <c r="E108" s="26"/>
      <c r="F108" s="22"/>
      <c r="G108" s="34">
        <f>SUMIFS('BASE EXEC. Q.L'!N:N,'BASE EXEC. Q.L'!B:B,VOOS!A108)</f>
        <v>0</v>
      </c>
      <c r="H108" s="15" t="str">
        <f>IFERROR(_xlfn.XLOOKUP(A108,'BASE SQL PLANTIO'!B:B,'BASE SQL PLANTIO'!T:T,"verificar",0),"")</f>
        <v/>
      </c>
      <c r="I108" s="77" t="str">
        <f>IF(_xlfn.MINIFS('BASE SQL PLANTIO'!E:E,'BASE SQL PLANTIO'!B:B,VOOS!A108)=0/1/1900,"",_xlfn.MINIFS('BASE SQL PLANTIO'!E:E,'BASE SQL PLANTIO'!B:B,VOOS!A108))</f>
        <v/>
      </c>
      <c r="J108" s="26"/>
      <c r="K108" s="34" t="str">
        <f t="shared" si="4"/>
        <v/>
      </c>
      <c r="L108" s="35" t="str">
        <f t="shared" si="5"/>
        <v/>
      </c>
      <c r="M108" s="14"/>
      <c r="N108" s="16"/>
    </row>
    <row r="109" spans="1:14" ht="15.6" x14ac:dyDescent="0.3">
      <c r="A109" s="13" t="str">
        <f t="shared" si="3"/>
        <v>-</v>
      </c>
      <c r="B109" s="27"/>
      <c r="C109" s="26"/>
      <c r="D109" s="26"/>
      <c r="E109" s="26"/>
      <c r="F109" s="22"/>
      <c r="G109" s="34">
        <f>SUMIFS('BASE EXEC. Q.L'!N:N,'BASE EXEC. Q.L'!B:B,VOOS!A109)</f>
        <v>0</v>
      </c>
      <c r="H109" s="15" t="str">
        <f>IFERROR(_xlfn.XLOOKUP(A109,'BASE SQL PLANTIO'!B:B,'BASE SQL PLANTIO'!T:T,"verificar",0),"")</f>
        <v/>
      </c>
      <c r="I109" s="77" t="str">
        <f>IF(_xlfn.MINIFS('BASE SQL PLANTIO'!E:E,'BASE SQL PLANTIO'!B:B,VOOS!A109)=0/1/1900,"",_xlfn.MINIFS('BASE SQL PLANTIO'!E:E,'BASE SQL PLANTIO'!B:B,VOOS!A109))</f>
        <v/>
      </c>
      <c r="J109" s="26"/>
      <c r="K109" s="34" t="str">
        <f t="shared" si="4"/>
        <v/>
      </c>
      <c r="L109" s="35" t="str">
        <f t="shared" si="5"/>
        <v/>
      </c>
      <c r="M109" s="14"/>
      <c r="N109" s="16"/>
    </row>
    <row r="110" spans="1:14" ht="15.6" x14ac:dyDescent="0.3">
      <c r="A110" s="13" t="str">
        <f t="shared" si="3"/>
        <v>-</v>
      </c>
      <c r="B110" s="27"/>
      <c r="C110" s="26"/>
      <c r="D110" s="26"/>
      <c r="E110" s="26"/>
      <c r="F110" s="22"/>
      <c r="G110" s="34">
        <f>SUMIFS('BASE EXEC. Q.L'!N:N,'BASE EXEC. Q.L'!B:B,VOOS!A110)</f>
        <v>0</v>
      </c>
      <c r="H110" s="15" t="str">
        <f>IFERROR(_xlfn.XLOOKUP(A110,'BASE SQL PLANTIO'!B:B,'BASE SQL PLANTIO'!T:T,"verificar",0),"")</f>
        <v/>
      </c>
      <c r="I110" s="77" t="str">
        <f>IF(_xlfn.MINIFS('BASE SQL PLANTIO'!E:E,'BASE SQL PLANTIO'!B:B,VOOS!A110)=0/1/1900,"",_xlfn.MINIFS('BASE SQL PLANTIO'!E:E,'BASE SQL PLANTIO'!B:B,VOOS!A110))</f>
        <v/>
      </c>
      <c r="J110" s="26"/>
      <c r="K110" s="34" t="str">
        <f t="shared" si="4"/>
        <v/>
      </c>
      <c r="L110" s="35" t="str">
        <f t="shared" si="5"/>
        <v/>
      </c>
      <c r="M110" s="14"/>
      <c r="N110" s="16"/>
    </row>
    <row r="111" spans="1:14" ht="15.6" x14ac:dyDescent="0.3">
      <c r="A111" s="13" t="str">
        <f t="shared" si="3"/>
        <v>-</v>
      </c>
      <c r="B111" s="27"/>
      <c r="C111" s="26"/>
      <c r="D111" s="26"/>
      <c r="E111" s="26"/>
      <c r="F111" s="22"/>
      <c r="G111" s="34">
        <f>SUMIFS('BASE EXEC. Q.L'!N:N,'BASE EXEC. Q.L'!B:B,VOOS!A111)</f>
        <v>0</v>
      </c>
      <c r="H111" s="15" t="str">
        <f>IFERROR(_xlfn.XLOOKUP(A111,'BASE SQL PLANTIO'!B:B,'BASE SQL PLANTIO'!T:T,"verificar",0),"")</f>
        <v/>
      </c>
      <c r="I111" s="77" t="str">
        <f>IF(_xlfn.MINIFS('BASE SQL PLANTIO'!E:E,'BASE SQL PLANTIO'!B:B,VOOS!A111)=0/1/1900,"",_xlfn.MINIFS('BASE SQL PLANTIO'!E:E,'BASE SQL PLANTIO'!B:B,VOOS!A111))</f>
        <v/>
      </c>
      <c r="J111" s="26"/>
      <c r="K111" s="34" t="str">
        <f t="shared" si="4"/>
        <v/>
      </c>
      <c r="L111" s="35" t="str">
        <f t="shared" si="5"/>
        <v/>
      </c>
      <c r="M111" s="14"/>
      <c r="N111" s="16"/>
    </row>
    <row r="112" spans="1:14" ht="15.6" x14ac:dyDescent="0.3">
      <c r="A112" s="13" t="str">
        <f t="shared" si="3"/>
        <v>-</v>
      </c>
      <c r="B112" s="27"/>
      <c r="C112" s="26"/>
      <c r="D112" s="26"/>
      <c r="E112" s="26"/>
      <c r="F112" s="22"/>
      <c r="G112" s="34">
        <f>SUMIFS('BASE EXEC. Q.L'!N:N,'BASE EXEC. Q.L'!B:B,VOOS!A112)</f>
        <v>0</v>
      </c>
      <c r="H112" s="15" t="str">
        <f>IFERROR(_xlfn.XLOOKUP(A112,'BASE SQL PLANTIO'!B:B,'BASE SQL PLANTIO'!T:T,"verificar",0),"")</f>
        <v/>
      </c>
      <c r="I112" s="77" t="str">
        <f>IF(_xlfn.MINIFS('BASE SQL PLANTIO'!E:E,'BASE SQL PLANTIO'!B:B,VOOS!A112)=0/1/1900,"",_xlfn.MINIFS('BASE SQL PLANTIO'!E:E,'BASE SQL PLANTIO'!B:B,VOOS!A112))</f>
        <v/>
      </c>
      <c r="J112" s="26"/>
      <c r="K112" s="34" t="str">
        <f t="shared" si="4"/>
        <v/>
      </c>
      <c r="L112" s="35" t="str">
        <f t="shared" si="5"/>
        <v/>
      </c>
      <c r="M112" s="14"/>
      <c r="N112" s="16"/>
    </row>
    <row r="113" spans="1:14" ht="15.6" x14ac:dyDescent="0.3">
      <c r="A113" s="13" t="str">
        <f t="shared" si="3"/>
        <v>-</v>
      </c>
      <c r="B113" s="27"/>
      <c r="C113" s="26"/>
      <c r="D113" s="26"/>
      <c r="E113" s="26"/>
      <c r="F113" s="22"/>
      <c r="G113" s="34">
        <f>SUMIFS('BASE EXEC. Q.L'!N:N,'BASE EXEC. Q.L'!B:B,VOOS!A113)</f>
        <v>0</v>
      </c>
      <c r="H113" s="15" t="str">
        <f>IFERROR(_xlfn.XLOOKUP(A113,'BASE SQL PLANTIO'!B:B,'BASE SQL PLANTIO'!T:T,"verificar",0),"")</f>
        <v/>
      </c>
      <c r="I113" s="77" t="str">
        <f>IF(_xlfn.MINIFS('BASE SQL PLANTIO'!E:E,'BASE SQL PLANTIO'!B:B,VOOS!A113)=0/1/1900,"",_xlfn.MINIFS('BASE SQL PLANTIO'!E:E,'BASE SQL PLANTIO'!B:B,VOOS!A113))</f>
        <v/>
      </c>
      <c r="J113" s="26"/>
      <c r="K113" s="34" t="str">
        <f t="shared" si="4"/>
        <v/>
      </c>
      <c r="L113" s="35" t="str">
        <f t="shared" si="5"/>
        <v/>
      </c>
      <c r="M113" s="14"/>
      <c r="N113" s="16"/>
    </row>
    <row r="114" spans="1:14" ht="15.6" x14ac:dyDescent="0.3">
      <c r="A114" s="13" t="str">
        <f t="shared" si="3"/>
        <v>-</v>
      </c>
      <c r="B114" s="25"/>
      <c r="C114" s="25"/>
      <c r="D114" s="25"/>
      <c r="E114" s="25"/>
      <c r="F114" s="22"/>
      <c r="G114" s="34">
        <f>SUMIFS('BASE EXEC. Q.L'!N:N,'BASE EXEC. Q.L'!B:B,VOOS!A114)</f>
        <v>0</v>
      </c>
      <c r="H114" s="15" t="str">
        <f>IFERROR(_xlfn.XLOOKUP(A114,'BASE SQL PLANTIO'!B:B,'BASE SQL PLANTIO'!T:T,"verificar",0),"")</f>
        <v/>
      </c>
      <c r="I114" s="77" t="str">
        <f>IF(_xlfn.MINIFS('BASE SQL PLANTIO'!E:E,'BASE SQL PLANTIO'!B:B,VOOS!A114)=0/1/1900,"",_xlfn.MINIFS('BASE SQL PLANTIO'!E:E,'BASE SQL PLANTIO'!B:B,VOOS!A114))</f>
        <v/>
      </c>
      <c r="J114" s="26"/>
      <c r="K114" s="34" t="str">
        <f t="shared" si="4"/>
        <v/>
      </c>
      <c r="L114" s="35" t="str">
        <f t="shared" si="5"/>
        <v/>
      </c>
      <c r="M114" s="14"/>
      <c r="N114" s="16"/>
    </row>
    <row r="115" spans="1:14" ht="15.6" x14ac:dyDescent="0.3">
      <c r="A115" s="13" t="str">
        <f t="shared" si="3"/>
        <v>-</v>
      </c>
      <c r="B115" s="25"/>
      <c r="C115" s="25"/>
      <c r="D115" s="25"/>
      <c r="E115" s="25"/>
      <c r="F115" s="22"/>
      <c r="G115" s="34">
        <f>SUMIFS('BASE EXEC. Q.L'!N:N,'BASE EXEC. Q.L'!B:B,VOOS!A115)</f>
        <v>0</v>
      </c>
      <c r="H115" s="15" t="str">
        <f>IFERROR(_xlfn.XLOOKUP(A115,'BASE SQL PLANTIO'!B:B,'BASE SQL PLANTIO'!T:T,"verificar",0),"")</f>
        <v/>
      </c>
      <c r="I115" s="77" t="str">
        <f>IF(_xlfn.MINIFS('BASE SQL PLANTIO'!E:E,'BASE SQL PLANTIO'!B:B,VOOS!A115)=0/1/1900,"",_xlfn.MINIFS('BASE SQL PLANTIO'!E:E,'BASE SQL PLANTIO'!B:B,VOOS!A115))</f>
        <v/>
      </c>
      <c r="J115" s="26"/>
      <c r="K115" s="34" t="str">
        <f t="shared" si="4"/>
        <v/>
      </c>
      <c r="L115" s="35" t="str">
        <f t="shared" si="5"/>
        <v/>
      </c>
      <c r="M115" s="14"/>
      <c r="N115" s="16"/>
    </row>
    <row r="116" spans="1:14" ht="15.6" x14ac:dyDescent="0.3">
      <c r="A116" s="13" t="str">
        <f t="shared" si="3"/>
        <v>-</v>
      </c>
      <c r="B116" s="27"/>
      <c r="C116" s="26"/>
      <c r="D116" s="26"/>
      <c r="E116" s="26"/>
      <c r="F116" s="22"/>
      <c r="G116" s="34">
        <f>SUMIFS('BASE EXEC. Q.L'!N:N,'BASE EXEC. Q.L'!B:B,VOOS!A116)</f>
        <v>0</v>
      </c>
      <c r="H116" s="15" t="str">
        <f>IFERROR(_xlfn.XLOOKUP(A116,'BASE SQL PLANTIO'!B:B,'BASE SQL PLANTIO'!T:T,"verificar",0),"")</f>
        <v/>
      </c>
      <c r="I116" s="77" t="str">
        <f>IF(_xlfn.MINIFS('BASE SQL PLANTIO'!E:E,'BASE SQL PLANTIO'!B:B,VOOS!A116)=0/1/1900,"",_xlfn.MINIFS('BASE SQL PLANTIO'!E:E,'BASE SQL PLANTIO'!B:B,VOOS!A116))</f>
        <v/>
      </c>
      <c r="J116" s="26"/>
      <c r="K116" s="34" t="str">
        <f t="shared" si="4"/>
        <v/>
      </c>
      <c r="L116" s="35" t="str">
        <f t="shared" si="5"/>
        <v/>
      </c>
      <c r="M116" s="14"/>
      <c r="N116" s="15"/>
    </row>
    <row r="117" spans="1:14" ht="15.6" x14ac:dyDescent="0.3">
      <c r="A117" s="13" t="str">
        <f t="shared" si="3"/>
        <v>-</v>
      </c>
      <c r="B117" s="27"/>
      <c r="C117" s="26"/>
      <c r="D117" s="26"/>
      <c r="E117" s="26"/>
      <c r="F117" s="22"/>
      <c r="G117" s="34">
        <f>SUMIFS('BASE EXEC. Q.L'!N:N,'BASE EXEC. Q.L'!B:B,VOOS!A117)</f>
        <v>0</v>
      </c>
      <c r="H117" s="15" t="str">
        <f>IFERROR(_xlfn.XLOOKUP(A117,'BASE SQL PLANTIO'!B:B,'BASE SQL PLANTIO'!T:T,"verificar",0),"")</f>
        <v/>
      </c>
      <c r="I117" s="77" t="str">
        <f>IF(_xlfn.MINIFS('BASE SQL PLANTIO'!E:E,'BASE SQL PLANTIO'!B:B,VOOS!A117)=0/1/1900,"",_xlfn.MINIFS('BASE SQL PLANTIO'!E:E,'BASE SQL PLANTIO'!B:B,VOOS!A117))</f>
        <v/>
      </c>
      <c r="J117" s="26"/>
      <c r="K117" s="34" t="str">
        <f t="shared" si="4"/>
        <v/>
      </c>
      <c r="L117" s="35" t="str">
        <f t="shared" si="5"/>
        <v/>
      </c>
      <c r="M117" s="14"/>
      <c r="N117" s="16"/>
    </row>
    <row r="118" spans="1:14" ht="15.6" x14ac:dyDescent="0.3">
      <c r="A118" s="13" t="str">
        <f t="shared" si="3"/>
        <v>-</v>
      </c>
      <c r="B118" s="25"/>
      <c r="C118" s="25"/>
      <c r="D118" s="25"/>
      <c r="E118" s="25"/>
      <c r="F118" s="22"/>
      <c r="G118" s="34">
        <f>SUMIFS('BASE EXEC. Q.L'!N:N,'BASE EXEC. Q.L'!B:B,VOOS!A118)</f>
        <v>0</v>
      </c>
      <c r="H118" s="15" t="str">
        <f>IFERROR(_xlfn.XLOOKUP(A118,'BASE SQL PLANTIO'!B:B,'BASE SQL PLANTIO'!T:T,"verificar",0),"")</f>
        <v/>
      </c>
      <c r="I118" s="77" t="str">
        <f>IF(_xlfn.MINIFS('BASE SQL PLANTIO'!E:E,'BASE SQL PLANTIO'!B:B,VOOS!A118)=0/1/1900,"",_xlfn.MINIFS('BASE SQL PLANTIO'!E:E,'BASE SQL PLANTIO'!B:B,VOOS!A118))</f>
        <v/>
      </c>
      <c r="J118" s="26"/>
      <c r="K118" s="34" t="str">
        <f t="shared" si="4"/>
        <v/>
      </c>
      <c r="L118" s="35" t="str">
        <f t="shared" si="5"/>
        <v/>
      </c>
      <c r="M118" s="14"/>
      <c r="N118" s="16"/>
    </row>
    <row r="119" spans="1:14" ht="15.6" x14ac:dyDescent="0.3">
      <c r="A119" s="13" t="str">
        <f t="shared" si="3"/>
        <v>-</v>
      </c>
      <c r="B119" s="27"/>
      <c r="C119" s="26"/>
      <c r="D119" s="26"/>
      <c r="E119" s="26"/>
      <c r="F119" s="22"/>
      <c r="G119" s="34">
        <f>SUMIFS('BASE EXEC. Q.L'!N:N,'BASE EXEC. Q.L'!B:B,VOOS!A119)</f>
        <v>0</v>
      </c>
      <c r="H119" s="15" t="str">
        <f>IFERROR(_xlfn.XLOOKUP(A119,'BASE SQL PLANTIO'!B:B,'BASE SQL PLANTIO'!T:T,"verificar",0),"")</f>
        <v/>
      </c>
      <c r="I119" s="77" t="str">
        <f>IF(_xlfn.MINIFS('BASE SQL PLANTIO'!E:E,'BASE SQL PLANTIO'!B:B,VOOS!A119)=0/1/1900,"",_xlfn.MINIFS('BASE SQL PLANTIO'!E:E,'BASE SQL PLANTIO'!B:B,VOOS!A119))</f>
        <v/>
      </c>
      <c r="J119" s="26"/>
      <c r="K119" s="34" t="str">
        <f t="shared" si="4"/>
        <v/>
      </c>
      <c r="L119" s="35" t="str">
        <f t="shared" si="5"/>
        <v/>
      </c>
      <c r="M119" s="14"/>
      <c r="N119" s="16"/>
    </row>
    <row r="120" spans="1:14" ht="15.6" x14ac:dyDescent="0.3">
      <c r="A120" s="13" t="str">
        <f t="shared" si="3"/>
        <v>-</v>
      </c>
      <c r="B120" s="27"/>
      <c r="C120" s="26"/>
      <c r="D120" s="26"/>
      <c r="E120" s="26"/>
      <c r="F120" s="22"/>
      <c r="G120" s="34">
        <f>SUMIFS('BASE EXEC. Q.L'!N:N,'BASE EXEC. Q.L'!B:B,VOOS!A120)</f>
        <v>0</v>
      </c>
      <c r="H120" s="15" t="str">
        <f>IFERROR(_xlfn.XLOOKUP(A120,'BASE SQL PLANTIO'!B:B,'BASE SQL PLANTIO'!T:T,"verificar",0),"")</f>
        <v/>
      </c>
      <c r="I120" s="77" t="str">
        <f>IF(_xlfn.MINIFS('BASE SQL PLANTIO'!E:E,'BASE SQL PLANTIO'!B:B,VOOS!A120)=0/1/1900,"",_xlfn.MINIFS('BASE SQL PLANTIO'!E:E,'BASE SQL PLANTIO'!B:B,VOOS!A120))</f>
        <v/>
      </c>
      <c r="J120" s="26"/>
      <c r="K120" s="34" t="str">
        <f t="shared" si="4"/>
        <v/>
      </c>
      <c r="L120" s="35" t="str">
        <f t="shared" si="5"/>
        <v/>
      </c>
      <c r="M120" s="14"/>
      <c r="N120" s="16"/>
    </row>
    <row r="121" spans="1:14" ht="15.6" x14ac:dyDescent="0.3">
      <c r="A121" s="13" t="str">
        <f t="shared" si="3"/>
        <v>-</v>
      </c>
      <c r="B121" s="27"/>
      <c r="C121" s="26"/>
      <c r="D121" s="26"/>
      <c r="E121" s="26"/>
      <c r="F121" s="22"/>
      <c r="G121" s="34">
        <f>SUMIFS('BASE EXEC. Q.L'!N:N,'BASE EXEC. Q.L'!B:B,VOOS!A121)</f>
        <v>0</v>
      </c>
      <c r="H121" s="15" t="str">
        <f>IFERROR(_xlfn.XLOOKUP(A121,'BASE SQL PLANTIO'!B:B,'BASE SQL PLANTIO'!T:T,"verificar",0),"")</f>
        <v/>
      </c>
      <c r="I121" s="77" t="str">
        <f>IF(_xlfn.MINIFS('BASE SQL PLANTIO'!E:E,'BASE SQL PLANTIO'!B:B,VOOS!A121)=0/1/1900,"",_xlfn.MINIFS('BASE SQL PLANTIO'!E:E,'BASE SQL PLANTIO'!B:B,VOOS!A121))</f>
        <v/>
      </c>
      <c r="J121" s="26"/>
      <c r="K121" s="34" t="str">
        <f t="shared" si="4"/>
        <v/>
      </c>
      <c r="L121" s="35" t="str">
        <f t="shared" si="5"/>
        <v/>
      </c>
      <c r="M121" s="14"/>
      <c r="N121" s="16"/>
    </row>
    <row r="122" spans="1:14" ht="15.6" x14ac:dyDescent="0.3">
      <c r="A122" s="13" t="str">
        <f t="shared" si="3"/>
        <v>-</v>
      </c>
      <c r="B122" s="27"/>
      <c r="C122" s="26"/>
      <c r="D122" s="26"/>
      <c r="E122" s="26"/>
      <c r="F122" s="22"/>
      <c r="G122" s="34">
        <f>SUMIFS('BASE EXEC. Q.L'!N:N,'BASE EXEC. Q.L'!B:B,VOOS!A122)</f>
        <v>0</v>
      </c>
      <c r="H122" s="15" t="str">
        <f>IFERROR(_xlfn.XLOOKUP(A122,'BASE SQL PLANTIO'!B:B,'BASE SQL PLANTIO'!T:T,"verificar",0),"")</f>
        <v/>
      </c>
      <c r="I122" s="77" t="str">
        <f>IF(_xlfn.MINIFS('BASE SQL PLANTIO'!E:E,'BASE SQL PLANTIO'!B:B,VOOS!A122)=0/1/1900,"",_xlfn.MINIFS('BASE SQL PLANTIO'!E:E,'BASE SQL PLANTIO'!B:B,VOOS!A122))</f>
        <v/>
      </c>
      <c r="J122" s="26"/>
      <c r="K122" s="34" t="str">
        <f t="shared" si="4"/>
        <v/>
      </c>
      <c r="L122" s="35" t="str">
        <f t="shared" si="5"/>
        <v/>
      </c>
      <c r="M122" s="14"/>
      <c r="N122" s="16"/>
    </row>
    <row r="123" spans="1:14" ht="15.6" x14ac:dyDescent="0.3">
      <c r="A123" s="13" t="str">
        <f t="shared" si="3"/>
        <v>-</v>
      </c>
      <c r="B123" s="27"/>
      <c r="C123" s="26"/>
      <c r="D123" s="26"/>
      <c r="E123" s="26"/>
      <c r="F123" s="22"/>
      <c r="G123" s="34">
        <f>SUMIFS('BASE EXEC. Q.L'!N:N,'BASE EXEC. Q.L'!B:B,VOOS!A123)</f>
        <v>0</v>
      </c>
      <c r="H123" s="15" t="str">
        <f>IFERROR(_xlfn.XLOOKUP(A123,'BASE SQL PLANTIO'!B:B,'BASE SQL PLANTIO'!T:T,"verificar",0),"")</f>
        <v/>
      </c>
      <c r="I123" s="77" t="str">
        <f>IF(_xlfn.MINIFS('BASE SQL PLANTIO'!E:E,'BASE SQL PLANTIO'!B:B,VOOS!A123)=0/1/1900,"",_xlfn.MINIFS('BASE SQL PLANTIO'!E:E,'BASE SQL PLANTIO'!B:B,VOOS!A123))</f>
        <v/>
      </c>
      <c r="J123" s="26"/>
      <c r="K123" s="34" t="str">
        <f t="shared" si="4"/>
        <v/>
      </c>
      <c r="L123" s="35" t="str">
        <f t="shared" si="5"/>
        <v/>
      </c>
      <c r="M123" s="14"/>
      <c r="N123" s="15"/>
    </row>
    <row r="124" spans="1:14" ht="15.6" x14ac:dyDescent="0.3">
      <c r="A124" s="13" t="str">
        <f t="shared" si="3"/>
        <v>-</v>
      </c>
      <c r="B124" s="27"/>
      <c r="C124" s="26"/>
      <c r="D124" s="26"/>
      <c r="E124" s="26"/>
      <c r="F124" s="22"/>
      <c r="G124" s="34">
        <f>SUMIFS('BASE EXEC. Q.L'!N:N,'BASE EXEC. Q.L'!B:B,VOOS!A124)</f>
        <v>0</v>
      </c>
      <c r="H124" s="15" t="str">
        <f>IFERROR(_xlfn.XLOOKUP(A124,'BASE SQL PLANTIO'!B:B,'BASE SQL PLANTIO'!T:T,"verificar",0),"")</f>
        <v/>
      </c>
      <c r="I124" s="77" t="str">
        <f>IF(_xlfn.MINIFS('BASE SQL PLANTIO'!E:E,'BASE SQL PLANTIO'!B:B,VOOS!A124)=0/1/1900,"",_xlfn.MINIFS('BASE SQL PLANTIO'!E:E,'BASE SQL PLANTIO'!B:B,VOOS!A124))</f>
        <v/>
      </c>
      <c r="J124" s="26"/>
      <c r="K124" s="34" t="str">
        <f t="shared" si="4"/>
        <v/>
      </c>
      <c r="L124" s="35" t="str">
        <f t="shared" si="5"/>
        <v/>
      </c>
      <c r="M124" s="14"/>
      <c r="N124" s="16"/>
    </row>
    <row r="125" spans="1:14" ht="15.6" x14ac:dyDescent="0.3">
      <c r="A125" s="13" t="str">
        <f t="shared" si="3"/>
        <v>-</v>
      </c>
      <c r="B125" s="27"/>
      <c r="C125" s="26"/>
      <c r="D125" s="26"/>
      <c r="E125" s="26"/>
      <c r="F125" s="22"/>
      <c r="G125" s="34">
        <f>SUMIFS('BASE EXEC. Q.L'!N:N,'BASE EXEC. Q.L'!B:B,VOOS!A125)</f>
        <v>0</v>
      </c>
      <c r="H125" s="15" t="str">
        <f>IFERROR(_xlfn.XLOOKUP(A125,'BASE SQL PLANTIO'!B:B,'BASE SQL PLANTIO'!T:T,"verificar",0),"")</f>
        <v/>
      </c>
      <c r="I125" s="77" t="str">
        <f>IF(_xlfn.MINIFS('BASE SQL PLANTIO'!E:E,'BASE SQL PLANTIO'!B:B,VOOS!A125)=0/1/1900,"",_xlfn.MINIFS('BASE SQL PLANTIO'!E:E,'BASE SQL PLANTIO'!B:B,VOOS!A125))</f>
        <v/>
      </c>
      <c r="J125" s="26"/>
      <c r="K125" s="34" t="str">
        <f t="shared" si="4"/>
        <v/>
      </c>
      <c r="L125" s="35" t="str">
        <f t="shared" si="5"/>
        <v/>
      </c>
      <c r="M125" s="14"/>
      <c r="N125" s="16"/>
    </row>
    <row r="126" spans="1:14" ht="15.6" x14ac:dyDescent="0.3">
      <c r="A126" s="13" t="str">
        <f t="shared" si="3"/>
        <v>-</v>
      </c>
      <c r="B126" s="27"/>
      <c r="C126" s="26"/>
      <c r="D126" s="26"/>
      <c r="E126" s="26"/>
      <c r="F126" s="22"/>
      <c r="G126" s="34">
        <f>SUMIFS('BASE EXEC. Q.L'!N:N,'BASE EXEC. Q.L'!B:B,VOOS!A126)</f>
        <v>0</v>
      </c>
      <c r="H126" s="15" t="str">
        <f>IFERROR(_xlfn.XLOOKUP(A126,'BASE SQL PLANTIO'!B:B,'BASE SQL PLANTIO'!T:T,"verificar",0),"")</f>
        <v/>
      </c>
      <c r="I126" s="77" t="str">
        <f>IF(_xlfn.MINIFS('BASE SQL PLANTIO'!E:E,'BASE SQL PLANTIO'!B:B,VOOS!A126)=0/1/1900,"",_xlfn.MINIFS('BASE SQL PLANTIO'!E:E,'BASE SQL PLANTIO'!B:B,VOOS!A126))</f>
        <v/>
      </c>
      <c r="J126" s="26"/>
      <c r="K126" s="34" t="str">
        <f t="shared" si="4"/>
        <v/>
      </c>
      <c r="L126" s="35" t="str">
        <f t="shared" si="5"/>
        <v/>
      </c>
      <c r="M126" s="14"/>
      <c r="N126" s="16"/>
    </row>
    <row r="127" spans="1:14" ht="15.6" x14ac:dyDescent="0.3">
      <c r="A127" s="13" t="str">
        <f t="shared" si="3"/>
        <v>-</v>
      </c>
      <c r="B127" s="27"/>
      <c r="C127" s="26"/>
      <c r="D127" s="26"/>
      <c r="E127" s="26"/>
      <c r="F127" s="22"/>
      <c r="G127" s="34">
        <f>SUMIFS('BASE EXEC. Q.L'!N:N,'BASE EXEC. Q.L'!B:B,VOOS!A127)</f>
        <v>0</v>
      </c>
      <c r="H127" s="15" t="str">
        <f>IFERROR(_xlfn.XLOOKUP(A127,'BASE SQL PLANTIO'!B:B,'BASE SQL PLANTIO'!T:T,"verificar",0),"")</f>
        <v/>
      </c>
      <c r="I127" s="77" t="str">
        <f>IF(_xlfn.MINIFS('BASE SQL PLANTIO'!E:E,'BASE SQL PLANTIO'!B:B,VOOS!A127)=0/1/1900,"",_xlfn.MINIFS('BASE SQL PLANTIO'!E:E,'BASE SQL PLANTIO'!B:B,VOOS!A127))</f>
        <v/>
      </c>
      <c r="J127" s="26"/>
      <c r="K127" s="34" t="str">
        <f t="shared" si="4"/>
        <v/>
      </c>
      <c r="L127" s="35" t="str">
        <f t="shared" si="5"/>
        <v/>
      </c>
      <c r="M127" s="14"/>
      <c r="N127" s="16"/>
    </row>
    <row r="128" spans="1:14" ht="15.6" x14ac:dyDescent="0.3">
      <c r="A128" s="13" t="str">
        <f t="shared" si="3"/>
        <v>-</v>
      </c>
      <c r="B128" s="27"/>
      <c r="C128" s="26"/>
      <c r="D128" s="26"/>
      <c r="E128" s="26"/>
      <c r="F128" s="22"/>
      <c r="G128" s="34">
        <f>SUMIFS('BASE EXEC. Q.L'!N:N,'BASE EXEC. Q.L'!B:B,VOOS!A128)</f>
        <v>0</v>
      </c>
      <c r="H128" s="15" t="str">
        <f>IFERROR(_xlfn.XLOOKUP(A128,'BASE SQL PLANTIO'!B:B,'BASE SQL PLANTIO'!T:T,"verificar",0),"")</f>
        <v/>
      </c>
      <c r="I128" s="77" t="str">
        <f>IF(_xlfn.MINIFS('BASE SQL PLANTIO'!E:E,'BASE SQL PLANTIO'!B:B,VOOS!A128)=0/1/1900,"",_xlfn.MINIFS('BASE SQL PLANTIO'!E:E,'BASE SQL PLANTIO'!B:B,VOOS!A128))</f>
        <v/>
      </c>
      <c r="J128" s="26"/>
      <c r="K128" s="34" t="str">
        <f t="shared" si="4"/>
        <v/>
      </c>
      <c r="L128" s="35" t="str">
        <f t="shared" si="5"/>
        <v/>
      </c>
      <c r="M128" s="14"/>
      <c r="N128" s="16"/>
    </row>
    <row r="129" spans="1:14" ht="15.6" x14ac:dyDescent="0.3">
      <c r="A129" s="13" t="str">
        <f t="shared" si="3"/>
        <v>-</v>
      </c>
      <c r="B129" s="27"/>
      <c r="C129" s="26"/>
      <c r="D129" s="26"/>
      <c r="E129" s="26"/>
      <c r="F129" s="22"/>
      <c r="G129" s="34">
        <f>SUMIFS('BASE EXEC. Q.L'!N:N,'BASE EXEC. Q.L'!B:B,VOOS!A129)</f>
        <v>0</v>
      </c>
      <c r="H129" s="15" t="str">
        <f>IFERROR(_xlfn.XLOOKUP(A129,'BASE SQL PLANTIO'!B:B,'BASE SQL PLANTIO'!T:T,"verificar",0),"")</f>
        <v/>
      </c>
      <c r="I129" s="77" t="str">
        <f>IF(_xlfn.MINIFS('BASE SQL PLANTIO'!E:E,'BASE SQL PLANTIO'!B:B,VOOS!A129)=0/1/1900,"",_xlfn.MINIFS('BASE SQL PLANTIO'!E:E,'BASE SQL PLANTIO'!B:B,VOOS!A129))</f>
        <v/>
      </c>
      <c r="J129" s="26"/>
      <c r="K129" s="34" t="str">
        <f t="shared" si="4"/>
        <v/>
      </c>
      <c r="L129" s="35" t="str">
        <f t="shared" si="5"/>
        <v/>
      </c>
      <c r="M129" s="14"/>
      <c r="N129" s="16"/>
    </row>
    <row r="130" spans="1:14" ht="15.6" x14ac:dyDescent="0.3">
      <c r="A130" s="13" t="str">
        <f t="shared" si="3"/>
        <v>-</v>
      </c>
      <c r="B130" s="27"/>
      <c r="C130" s="26"/>
      <c r="D130" s="26"/>
      <c r="E130" s="26"/>
      <c r="F130" s="22"/>
      <c r="G130" s="34">
        <f>SUMIFS('BASE EXEC. Q.L'!N:N,'BASE EXEC. Q.L'!B:B,VOOS!A130)</f>
        <v>0</v>
      </c>
      <c r="H130" s="15" t="str">
        <f>IFERROR(_xlfn.XLOOKUP(A130,'BASE SQL PLANTIO'!B:B,'BASE SQL PLANTIO'!T:T,"verificar",0),"")</f>
        <v/>
      </c>
      <c r="I130" s="77" t="str">
        <f>IF(_xlfn.MINIFS('BASE SQL PLANTIO'!E:E,'BASE SQL PLANTIO'!B:B,VOOS!A130)=0/1/1900,"",_xlfn.MINIFS('BASE SQL PLANTIO'!E:E,'BASE SQL PLANTIO'!B:B,VOOS!A130))</f>
        <v/>
      </c>
      <c r="J130" s="26"/>
      <c r="K130" s="34" t="str">
        <f t="shared" si="4"/>
        <v/>
      </c>
      <c r="L130" s="35" t="str">
        <f t="shared" si="5"/>
        <v/>
      </c>
      <c r="M130" s="14"/>
      <c r="N130" s="16"/>
    </row>
    <row r="131" spans="1:14" ht="15.6" x14ac:dyDescent="0.3">
      <c r="A131" s="13" t="str">
        <f t="shared" si="3"/>
        <v>-</v>
      </c>
      <c r="B131" s="27"/>
      <c r="C131" s="26"/>
      <c r="D131" s="26"/>
      <c r="E131" s="26"/>
      <c r="F131" s="22"/>
      <c r="G131" s="34">
        <f>SUMIFS('BASE EXEC. Q.L'!N:N,'BASE EXEC. Q.L'!B:B,VOOS!A131)</f>
        <v>0</v>
      </c>
      <c r="H131" s="15" t="str">
        <f>IFERROR(_xlfn.XLOOKUP(A131,'BASE SQL PLANTIO'!B:B,'BASE SQL PLANTIO'!T:T,"verificar",0),"")</f>
        <v/>
      </c>
      <c r="I131" s="77" t="str">
        <f>IF(_xlfn.MINIFS('BASE SQL PLANTIO'!E:E,'BASE SQL PLANTIO'!B:B,VOOS!A131)=0/1/1900,"",_xlfn.MINIFS('BASE SQL PLANTIO'!E:E,'BASE SQL PLANTIO'!B:B,VOOS!A131))</f>
        <v/>
      </c>
      <c r="J131" s="26"/>
      <c r="K131" s="34" t="str">
        <f t="shared" si="4"/>
        <v/>
      </c>
      <c r="L131" s="35" t="str">
        <f t="shared" si="5"/>
        <v/>
      </c>
      <c r="M131" s="14"/>
      <c r="N131" s="16"/>
    </row>
    <row r="132" spans="1:14" ht="15.6" x14ac:dyDescent="0.3">
      <c r="A132" s="13" t="str">
        <f t="shared" si="3"/>
        <v>-</v>
      </c>
      <c r="B132" s="27"/>
      <c r="C132" s="26"/>
      <c r="D132" s="26"/>
      <c r="E132" s="26"/>
      <c r="F132" s="22"/>
      <c r="G132" s="34">
        <f>SUMIFS('BASE EXEC. Q.L'!N:N,'BASE EXEC. Q.L'!B:B,VOOS!A132)</f>
        <v>0</v>
      </c>
      <c r="H132" s="15" t="str">
        <f>IFERROR(_xlfn.XLOOKUP(A132,'BASE SQL PLANTIO'!B:B,'BASE SQL PLANTIO'!T:T,"verificar",0),"")</f>
        <v/>
      </c>
      <c r="I132" s="77" t="str">
        <f>IF(_xlfn.MINIFS('BASE SQL PLANTIO'!E:E,'BASE SQL PLANTIO'!B:B,VOOS!A132)=0/1/1900,"",_xlfn.MINIFS('BASE SQL PLANTIO'!E:E,'BASE SQL PLANTIO'!B:B,VOOS!A132))</f>
        <v/>
      </c>
      <c r="J132" s="26"/>
      <c r="K132" s="34" t="str">
        <f t="shared" si="4"/>
        <v/>
      </c>
      <c r="L132" s="35" t="str">
        <f t="shared" si="5"/>
        <v/>
      </c>
      <c r="M132" s="14"/>
      <c r="N132" s="16"/>
    </row>
    <row r="133" spans="1:14" ht="15.6" x14ac:dyDescent="0.3">
      <c r="A133" s="13" t="str">
        <f t="shared" ref="A133:A196" si="6">CONCATENATE(B133,"-",E133)</f>
        <v>-</v>
      </c>
      <c r="B133" s="25"/>
      <c r="C133" s="25"/>
      <c r="D133" s="25"/>
      <c r="E133" s="25"/>
      <c r="F133" s="22"/>
      <c r="G133" s="34">
        <f>SUMIFS('BASE EXEC. Q.L'!N:N,'BASE EXEC. Q.L'!B:B,VOOS!A133)</f>
        <v>0</v>
      </c>
      <c r="H133" s="15" t="str">
        <f>IFERROR(_xlfn.XLOOKUP(A133,'BASE SQL PLANTIO'!B:B,'BASE SQL PLANTIO'!T:T,"verificar",0),"")</f>
        <v/>
      </c>
      <c r="I133" s="77" t="str">
        <f>IF(_xlfn.MINIFS('BASE SQL PLANTIO'!E:E,'BASE SQL PLANTIO'!B:B,VOOS!A133)=0/1/1900,"",_xlfn.MINIFS('BASE SQL PLANTIO'!E:E,'BASE SQL PLANTIO'!B:B,VOOS!A133))</f>
        <v/>
      </c>
      <c r="J133" s="26"/>
      <c r="K133" s="34" t="str">
        <f t="shared" ref="K133:K196" si="7">IF(I133="","",$K$3-I133)</f>
        <v/>
      </c>
      <c r="L133" s="35" t="str">
        <f t="shared" ref="L133:L196" si="8">K133</f>
        <v/>
      </c>
      <c r="M133" s="14"/>
      <c r="N133" s="16"/>
    </row>
    <row r="134" spans="1:14" ht="15.6" x14ac:dyDescent="0.3">
      <c r="A134" s="13" t="str">
        <f t="shared" si="6"/>
        <v>-</v>
      </c>
      <c r="B134" s="25"/>
      <c r="C134" s="25"/>
      <c r="D134" s="25"/>
      <c r="E134" s="25"/>
      <c r="F134" s="22"/>
      <c r="G134" s="34">
        <f>SUMIFS('BASE EXEC. Q.L'!N:N,'BASE EXEC. Q.L'!B:B,VOOS!A134)</f>
        <v>0</v>
      </c>
      <c r="H134" s="15" t="str">
        <f>IFERROR(_xlfn.XLOOKUP(A134,'BASE SQL PLANTIO'!B:B,'BASE SQL PLANTIO'!T:T,"verificar",0),"")</f>
        <v/>
      </c>
      <c r="I134" s="77" t="str">
        <f>IF(_xlfn.MINIFS('BASE SQL PLANTIO'!E:E,'BASE SQL PLANTIO'!B:B,VOOS!A134)=0/1/1900,"",_xlfn.MINIFS('BASE SQL PLANTIO'!E:E,'BASE SQL PLANTIO'!B:B,VOOS!A134))</f>
        <v/>
      </c>
      <c r="J134" s="26"/>
      <c r="K134" s="34" t="str">
        <f t="shared" si="7"/>
        <v/>
      </c>
      <c r="L134" s="35" t="str">
        <f t="shared" si="8"/>
        <v/>
      </c>
      <c r="M134" s="14"/>
      <c r="N134" s="16"/>
    </row>
    <row r="135" spans="1:14" ht="15.6" x14ac:dyDescent="0.3">
      <c r="A135" s="13" t="str">
        <f t="shared" si="6"/>
        <v>-</v>
      </c>
      <c r="B135" s="27"/>
      <c r="C135" s="26"/>
      <c r="D135" s="26"/>
      <c r="E135" s="26"/>
      <c r="F135" s="22"/>
      <c r="G135" s="34">
        <f>SUMIFS('BASE EXEC. Q.L'!N:N,'BASE EXEC. Q.L'!B:B,VOOS!A135)</f>
        <v>0</v>
      </c>
      <c r="H135" s="15" t="str">
        <f>IFERROR(_xlfn.XLOOKUP(A135,'BASE SQL PLANTIO'!B:B,'BASE SQL PLANTIO'!T:T,"verificar",0),"")</f>
        <v/>
      </c>
      <c r="I135" s="77" t="str">
        <f>IF(_xlfn.MINIFS('BASE SQL PLANTIO'!E:E,'BASE SQL PLANTIO'!B:B,VOOS!A135)=0/1/1900,"",_xlfn.MINIFS('BASE SQL PLANTIO'!E:E,'BASE SQL PLANTIO'!B:B,VOOS!A135))</f>
        <v/>
      </c>
      <c r="J135" s="26"/>
      <c r="K135" s="34" t="str">
        <f t="shared" si="7"/>
        <v/>
      </c>
      <c r="L135" s="35" t="str">
        <f t="shared" si="8"/>
        <v/>
      </c>
      <c r="M135" s="14"/>
      <c r="N135" s="15"/>
    </row>
    <row r="136" spans="1:14" ht="15.6" x14ac:dyDescent="0.3">
      <c r="A136" s="13" t="str">
        <f t="shared" si="6"/>
        <v>-</v>
      </c>
      <c r="B136" s="27"/>
      <c r="C136" s="26"/>
      <c r="D136" s="26"/>
      <c r="E136" s="26"/>
      <c r="F136" s="22"/>
      <c r="G136" s="34">
        <f>SUMIFS('BASE EXEC. Q.L'!N:N,'BASE EXEC. Q.L'!B:B,VOOS!A136)</f>
        <v>0</v>
      </c>
      <c r="H136" s="15" t="str">
        <f>IFERROR(_xlfn.XLOOKUP(A136,'BASE SQL PLANTIO'!B:B,'BASE SQL PLANTIO'!T:T,"verificar",0),"")</f>
        <v/>
      </c>
      <c r="I136" s="77" t="str">
        <f>IF(_xlfn.MINIFS('BASE SQL PLANTIO'!E:E,'BASE SQL PLANTIO'!B:B,VOOS!A136)=0/1/1900,"",_xlfn.MINIFS('BASE SQL PLANTIO'!E:E,'BASE SQL PLANTIO'!B:B,VOOS!A136))</f>
        <v/>
      </c>
      <c r="J136" s="26"/>
      <c r="K136" s="34" t="str">
        <f t="shared" si="7"/>
        <v/>
      </c>
      <c r="L136" s="35" t="str">
        <f t="shared" si="8"/>
        <v/>
      </c>
      <c r="M136" s="14"/>
      <c r="N136" s="16"/>
    </row>
    <row r="137" spans="1:14" ht="15.6" x14ac:dyDescent="0.3">
      <c r="A137" s="13" t="str">
        <f t="shared" si="6"/>
        <v>-</v>
      </c>
      <c r="B137" s="27"/>
      <c r="C137" s="26"/>
      <c r="D137" s="26"/>
      <c r="E137" s="26"/>
      <c r="F137" s="22"/>
      <c r="G137" s="34">
        <f>SUMIFS('BASE EXEC. Q.L'!N:N,'BASE EXEC. Q.L'!B:B,VOOS!A137)</f>
        <v>0</v>
      </c>
      <c r="H137" s="15" t="str">
        <f>IFERROR(_xlfn.XLOOKUP(A137,'BASE SQL PLANTIO'!B:B,'BASE SQL PLANTIO'!T:T,"verificar",0),"")</f>
        <v/>
      </c>
      <c r="I137" s="77" t="str">
        <f>IF(_xlfn.MINIFS('BASE SQL PLANTIO'!E:E,'BASE SQL PLANTIO'!B:B,VOOS!A137)=0/1/1900,"",_xlfn.MINIFS('BASE SQL PLANTIO'!E:E,'BASE SQL PLANTIO'!B:B,VOOS!A137))</f>
        <v/>
      </c>
      <c r="J137" s="26"/>
      <c r="K137" s="34" t="str">
        <f t="shared" si="7"/>
        <v/>
      </c>
      <c r="L137" s="35" t="str">
        <f t="shared" si="8"/>
        <v/>
      </c>
      <c r="M137" s="14"/>
      <c r="N137" s="16"/>
    </row>
    <row r="138" spans="1:14" ht="15.6" x14ac:dyDescent="0.3">
      <c r="A138" s="13" t="str">
        <f t="shared" si="6"/>
        <v>-</v>
      </c>
      <c r="B138" s="27"/>
      <c r="C138" s="26"/>
      <c r="D138" s="26"/>
      <c r="E138" s="26"/>
      <c r="F138" s="22"/>
      <c r="G138" s="34">
        <f>SUMIFS('BASE EXEC. Q.L'!N:N,'BASE EXEC. Q.L'!B:B,VOOS!A138)</f>
        <v>0</v>
      </c>
      <c r="H138" s="15" t="str">
        <f>IFERROR(_xlfn.XLOOKUP(A138,'BASE SQL PLANTIO'!B:B,'BASE SQL PLANTIO'!T:T,"verificar",0),"")</f>
        <v/>
      </c>
      <c r="I138" s="77" t="str">
        <f>IF(_xlfn.MINIFS('BASE SQL PLANTIO'!E:E,'BASE SQL PLANTIO'!B:B,VOOS!A138)=0/1/1900,"",_xlfn.MINIFS('BASE SQL PLANTIO'!E:E,'BASE SQL PLANTIO'!B:B,VOOS!A138))</f>
        <v/>
      </c>
      <c r="J138" s="26"/>
      <c r="K138" s="34" t="str">
        <f t="shared" si="7"/>
        <v/>
      </c>
      <c r="L138" s="35" t="str">
        <f t="shared" si="8"/>
        <v/>
      </c>
      <c r="M138" s="14"/>
      <c r="N138" s="16"/>
    </row>
    <row r="139" spans="1:14" ht="15.6" x14ac:dyDescent="0.3">
      <c r="A139" s="13" t="str">
        <f t="shared" si="6"/>
        <v>-</v>
      </c>
      <c r="B139" s="27"/>
      <c r="C139" s="26"/>
      <c r="D139" s="26"/>
      <c r="E139" s="26"/>
      <c r="F139" s="22"/>
      <c r="G139" s="34">
        <f>SUMIFS('BASE EXEC. Q.L'!N:N,'BASE EXEC. Q.L'!B:B,VOOS!A139)</f>
        <v>0</v>
      </c>
      <c r="H139" s="15" t="str">
        <f>IFERROR(_xlfn.XLOOKUP(A139,'BASE SQL PLANTIO'!B:B,'BASE SQL PLANTIO'!T:T,"verificar",0),"")</f>
        <v/>
      </c>
      <c r="I139" s="77" t="str">
        <f>IF(_xlfn.MINIFS('BASE SQL PLANTIO'!E:E,'BASE SQL PLANTIO'!B:B,VOOS!A139)=0/1/1900,"",_xlfn.MINIFS('BASE SQL PLANTIO'!E:E,'BASE SQL PLANTIO'!B:B,VOOS!A139))</f>
        <v/>
      </c>
      <c r="J139" s="26"/>
      <c r="K139" s="34" t="str">
        <f t="shared" si="7"/>
        <v/>
      </c>
      <c r="L139" s="35" t="str">
        <f t="shared" si="8"/>
        <v/>
      </c>
      <c r="M139" s="14"/>
      <c r="N139" s="16"/>
    </row>
    <row r="140" spans="1:14" ht="15.6" x14ac:dyDescent="0.3">
      <c r="A140" s="13" t="str">
        <f t="shared" si="6"/>
        <v>-</v>
      </c>
      <c r="B140" s="25"/>
      <c r="C140" s="25"/>
      <c r="D140" s="25"/>
      <c r="E140" s="25"/>
      <c r="F140" s="22"/>
      <c r="G140" s="34">
        <f>SUMIFS('BASE EXEC. Q.L'!N:N,'BASE EXEC. Q.L'!B:B,VOOS!A140)</f>
        <v>0</v>
      </c>
      <c r="H140" s="15" t="str">
        <f>IFERROR(_xlfn.XLOOKUP(A140,'BASE SQL PLANTIO'!B:B,'BASE SQL PLANTIO'!T:T,"verificar",0),"")</f>
        <v/>
      </c>
      <c r="I140" s="77" t="str">
        <f>IF(_xlfn.MINIFS('BASE SQL PLANTIO'!E:E,'BASE SQL PLANTIO'!B:B,VOOS!A140)=0/1/1900,"",_xlfn.MINIFS('BASE SQL PLANTIO'!E:E,'BASE SQL PLANTIO'!B:B,VOOS!A140))</f>
        <v/>
      </c>
      <c r="J140" s="26"/>
      <c r="K140" s="34" t="str">
        <f t="shared" si="7"/>
        <v/>
      </c>
      <c r="L140" s="35" t="str">
        <f t="shared" si="8"/>
        <v/>
      </c>
      <c r="M140" s="14"/>
      <c r="N140" s="16"/>
    </row>
    <row r="141" spans="1:14" ht="15.6" x14ac:dyDescent="0.3">
      <c r="A141" s="13" t="str">
        <f t="shared" si="6"/>
        <v>-</v>
      </c>
      <c r="B141" s="25"/>
      <c r="C141" s="25"/>
      <c r="D141" s="25"/>
      <c r="E141" s="25"/>
      <c r="F141" s="22"/>
      <c r="G141" s="34">
        <f>SUMIFS('BASE EXEC. Q.L'!N:N,'BASE EXEC. Q.L'!B:B,VOOS!A141)</f>
        <v>0</v>
      </c>
      <c r="H141" s="15" t="str">
        <f>IFERROR(_xlfn.XLOOKUP(A141,'BASE SQL PLANTIO'!B:B,'BASE SQL PLANTIO'!T:T,"verificar",0),"")</f>
        <v/>
      </c>
      <c r="I141" s="77" t="str">
        <f>IF(_xlfn.MINIFS('BASE SQL PLANTIO'!E:E,'BASE SQL PLANTIO'!B:B,VOOS!A141)=0/1/1900,"",_xlfn.MINIFS('BASE SQL PLANTIO'!E:E,'BASE SQL PLANTIO'!B:B,VOOS!A141))</f>
        <v/>
      </c>
      <c r="J141" s="26"/>
      <c r="K141" s="34" t="str">
        <f t="shared" si="7"/>
        <v/>
      </c>
      <c r="L141" s="35" t="str">
        <f t="shared" si="8"/>
        <v/>
      </c>
      <c r="M141" s="14"/>
      <c r="N141" s="16"/>
    </row>
    <row r="142" spans="1:14" ht="15.6" x14ac:dyDescent="0.3">
      <c r="A142" s="13" t="str">
        <f t="shared" si="6"/>
        <v>-</v>
      </c>
      <c r="B142" s="25"/>
      <c r="C142" s="29"/>
      <c r="D142" s="30"/>
      <c r="E142" s="30"/>
      <c r="F142" s="22"/>
      <c r="G142" s="34">
        <f>SUMIFS('BASE EXEC. Q.L'!N:N,'BASE EXEC. Q.L'!B:B,VOOS!A142)</f>
        <v>0</v>
      </c>
      <c r="H142" s="15" t="str">
        <f>IFERROR(_xlfn.XLOOKUP(A142,'BASE SQL PLANTIO'!B:B,'BASE SQL PLANTIO'!T:T,"verificar",0),"")</f>
        <v/>
      </c>
      <c r="I142" s="77" t="str">
        <f>IF(_xlfn.MINIFS('BASE SQL PLANTIO'!E:E,'BASE SQL PLANTIO'!B:B,VOOS!A142)=0/1/1900,"",_xlfn.MINIFS('BASE SQL PLANTIO'!E:E,'BASE SQL PLANTIO'!B:B,VOOS!A142))</f>
        <v/>
      </c>
      <c r="J142" s="22"/>
      <c r="K142" s="34" t="str">
        <f t="shared" si="7"/>
        <v/>
      </c>
      <c r="L142" s="35" t="str">
        <f t="shared" si="8"/>
        <v/>
      </c>
      <c r="M142" s="14"/>
      <c r="N142" s="16"/>
    </row>
    <row r="143" spans="1:14" ht="15.6" x14ac:dyDescent="0.3">
      <c r="A143" s="13" t="str">
        <f t="shared" si="6"/>
        <v>-</v>
      </c>
      <c r="B143" s="27"/>
      <c r="C143" s="26"/>
      <c r="D143" s="26"/>
      <c r="E143" s="26"/>
      <c r="F143" s="22"/>
      <c r="G143" s="34">
        <f>SUMIFS('BASE EXEC. Q.L'!N:N,'BASE EXEC. Q.L'!B:B,VOOS!A143)</f>
        <v>0</v>
      </c>
      <c r="H143" s="15" t="str">
        <f>IFERROR(_xlfn.XLOOKUP(A143,'BASE SQL PLANTIO'!B:B,'BASE SQL PLANTIO'!T:T,"verificar",0),"")</f>
        <v/>
      </c>
      <c r="I143" s="77" t="str">
        <f>IF(_xlfn.MINIFS('BASE SQL PLANTIO'!E:E,'BASE SQL PLANTIO'!B:B,VOOS!A143)=0/1/1900,"",_xlfn.MINIFS('BASE SQL PLANTIO'!E:E,'BASE SQL PLANTIO'!B:B,VOOS!A143))</f>
        <v/>
      </c>
      <c r="J143" s="26"/>
      <c r="K143" s="34" t="str">
        <f t="shared" si="7"/>
        <v/>
      </c>
      <c r="L143" s="35" t="str">
        <f t="shared" si="8"/>
        <v/>
      </c>
      <c r="M143" s="14"/>
      <c r="N143" s="16"/>
    </row>
    <row r="144" spans="1:14" ht="15.6" x14ac:dyDescent="0.3">
      <c r="A144" s="13" t="str">
        <f t="shared" si="6"/>
        <v>-</v>
      </c>
      <c r="B144" s="27"/>
      <c r="C144" s="26"/>
      <c r="D144" s="26"/>
      <c r="E144" s="26"/>
      <c r="F144" s="22"/>
      <c r="G144" s="34">
        <f>SUMIFS('BASE EXEC. Q.L'!N:N,'BASE EXEC. Q.L'!B:B,VOOS!A144)</f>
        <v>0</v>
      </c>
      <c r="H144" s="15" t="str">
        <f>IFERROR(_xlfn.XLOOKUP(A144,'BASE SQL PLANTIO'!B:B,'BASE SQL PLANTIO'!T:T,"verificar",0),"")</f>
        <v/>
      </c>
      <c r="I144" s="77" t="str">
        <f>IF(_xlfn.MINIFS('BASE SQL PLANTIO'!E:E,'BASE SQL PLANTIO'!B:B,VOOS!A144)=0/1/1900,"",_xlfn.MINIFS('BASE SQL PLANTIO'!E:E,'BASE SQL PLANTIO'!B:B,VOOS!A144))</f>
        <v/>
      </c>
      <c r="J144" s="26"/>
      <c r="K144" s="34" t="str">
        <f t="shared" si="7"/>
        <v/>
      </c>
      <c r="L144" s="35" t="str">
        <f t="shared" si="8"/>
        <v/>
      </c>
      <c r="M144" s="14"/>
      <c r="N144" s="16"/>
    </row>
    <row r="145" spans="1:14" ht="15.6" x14ac:dyDescent="0.3">
      <c r="A145" s="13" t="str">
        <f t="shared" si="6"/>
        <v>-</v>
      </c>
      <c r="B145" s="27"/>
      <c r="C145" s="26"/>
      <c r="D145" s="26"/>
      <c r="E145" s="26"/>
      <c r="F145" s="22"/>
      <c r="G145" s="34">
        <f>SUMIFS('BASE EXEC. Q.L'!N:N,'BASE EXEC. Q.L'!B:B,VOOS!A145)</f>
        <v>0</v>
      </c>
      <c r="H145" s="15" t="str">
        <f>IFERROR(_xlfn.XLOOKUP(A145,'BASE SQL PLANTIO'!B:B,'BASE SQL PLANTIO'!T:T,"verificar",0),"")</f>
        <v/>
      </c>
      <c r="I145" s="77" t="str">
        <f>IF(_xlfn.MINIFS('BASE SQL PLANTIO'!E:E,'BASE SQL PLANTIO'!B:B,VOOS!A145)=0/1/1900,"",_xlfn.MINIFS('BASE SQL PLANTIO'!E:E,'BASE SQL PLANTIO'!B:B,VOOS!A145))</f>
        <v/>
      </c>
      <c r="J145" s="26"/>
      <c r="K145" s="34" t="str">
        <f t="shared" si="7"/>
        <v/>
      </c>
      <c r="L145" s="35" t="str">
        <f t="shared" si="8"/>
        <v/>
      </c>
      <c r="M145" s="14"/>
      <c r="N145" s="16"/>
    </row>
    <row r="146" spans="1:14" ht="15.6" x14ac:dyDescent="0.3">
      <c r="A146" s="13" t="str">
        <f t="shared" si="6"/>
        <v>-</v>
      </c>
      <c r="B146" s="27"/>
      <c r="C146" s="26"/>
      <c r="D146" s="26"/>
      <c r="E146" s="26"/>
      <c r="F146" s="22"/>
      <c r="G146" s="34">
        <f>SUMIFS('BASE EXEC. Q.L'!N:N,'BASE EXEC. Q.L'!B:B,VOOS!A146)</f>
        <v>0</v>
      </c>
      <c r="H146" s="15" t="str">
        <f>IFERROR(_xlfn.XLOOKUP(A146,'BASE SQL PLANTIO'!B:B,'BASE SQL PLANTIO'!T:T,"verificar",0),"")</f>
        <v/>
      </c>
      <c r="I146" s="77" t="str">
        <f>IF(_xlfn.MINIFS('BASE SQL PLANTIO'!E:E,'BASE SQL PLANTIO'!B:B,VOOS!A146)=0/1/1900,"",_xlfn.MINIFS('BASE SQL PLANTIO'!E:E,'BASE SQL PLANTIO'!B:B,VOOS!A146))</f>
        <v/>
      </c>
      <c r="J146" s="26"/>
      <c r="K146" s="34" t="str">
        <f t="shared" si="7"/>
        <v/>
      </c>
      <c r="L146" s="35" t="str">
        <f t="shared" si="8"/>
        <v/>
      </c>
      <c r="M146" s="14"/>
      <c r="N146" s="16"/>
    </row>
    <row r="147" spans="1:14" ht="15.6" x14ac:dyDescent="0.3">
      <c r="A147" s="13" t="str">
        <f t="shared" si="6"/>
        <v>-</v>
      </c>
      <c r="B147" s="27"/>
      <c r="C147" s="26"/>
      <c r="D147" s="26"/>
      <c r="E147" s="26"/>
      <c r="F147" s="22"/>
      <c r="G147" s="34">
        <f>SUMIFS('BASE EXEC. Q.L'!N:N,'BASE EXEC. Q.L'!B:B,VOOS!A147)</f>
        <v>0</v>
      </c>
      <c r="H147" s="15" t="str">
        <f>IFERROR(_xlfn.XLOOKUP(A147,'BASE SQL PLANTIO'!B:B,'BASE SQL PLANTIO'!T:T,"verificar",0),"")</f>
        <v/>
      </c>
      <c r="I147" s="77" t="str">
        <f>IF(_xlfn.MINIFS('BASE SQL PLANTIO'!E:E,'BASE SQL PLANTIO'!B:B,VOOS!A147)=0/1/1900,"",_xlfn.MINIFS('BASE SQL PLANTIO'!E:E,'BASE SQL PLANTIO'!B:B,VOOS!A147))</f>
        <v/>
      </c>
      <c r="J147" s="26"/>
      <c r="K147" s="34" t="str">
        <f t="shared" si="7"/>
        <v/>
      </c>
      <c r="L147" s="35" t="str">
        <f t="shared" si="8"/>
        <v/>
      </c>
      <c r="M147" s="14"/>
      <c r="N147" s="15"/>
    </row>
    <row r="148" spans="1:14" ht="15.6" x14ac:dyDescent="0.3">
      <c r="A148" s="13" t="str">
        <f t="shared" si="6"/>
        <v>-</v>
      </c>
      <c r="B148" s="27"/>
      <c r="C148" s="26"/>
      <c r="D148" s="26"/>
      <c r="E148" s="26"/>
      <c r="F148" s="22"/>
      <c r="G148" s="34">
        <f>SUMIFS('BASE EXEC. Q.L'!N:N,'BASE EXEC. Q.L'!B:B,VOOS!A148)</f>
        <v>0</v>
      </c>
      <c r="H148" s="15" t="str">
        <f>IFERROR(_xlfn.XLOOKUP(A148,'BASE SQL PLANTIO'!B:B,'BASE SQL PLANTIO'!T:T,"verificar",0),"")</f>
        <v/>
      </c>
      <c r="I148" s="77" t="str">
        <f>IF(_xlfn.MINIFS('BASE SQL PLANTIO'!E:E,'BASE SQL PLANTIO'!B:B,VOOS!A148)=0/1/1900,"",_xlfn.MINIFS('BASE SQL PLANTIO'!E:E,'BASE SQL PLANTIO'!B:B,VOOS!A148))</f>
        <v/>
      </c>
      <c r="J148" s="26"/>
      <c r="K148" s="34" t="str">
        <f t="shared" si="7"/>
        <v/>
      </c>
      <c r="L148" s="35" t="str">
        <f t="shared" si="8"/>
        <v/>
      </c>
      <c r="M148" s="14"/>
      <c r="N148" s="16"/>
    </row>
    <row r="149" spans="1:14" ht="15.6" x14ac:dyDescent="0.3">
      <c r="A149" s="13" t="str">
        <f t="shared" si="6"/>
        <v>-</v>
      </c>
      <c r="B149" s="27"/>
      <c r="C149" s="26"/>
      <c r="D149" s="26"/>
      <c r="E149" s="26"/>
      <c r="F149" s="22"/>
      <c r="G149" s="34">
        <f>SUMIFS('BASE EXEC. Q.L'!N:N,'BASE EXEC. Q.L'!B:B,VOOS!A149)</f>
        <v>0</v>
      </c>
      <c r="H149" s="15" t="str">
        <f>IFERROR(_xlfn.XLOOKUP(A149,'BASE SQL PLANTIO'!B:B,'BASE SQL PLANTIO'!T:T,"verificar",0),"")</f>
        <v/>
      </c>
      <c r="I149" s="77" t="str">
        <f>IF(_xlfn.MINIFS('BASE SQL PLANTIO'!E:E,'BASE SQL PLANTIO'!B:B,VOOS!A149)=0/1/1900,"",_xlfn.MINIFS('BASE SQL PLANTIO'!E:E,'BASE SQL PLANTIO'!B:B,VOOS!A149))</f>
        <v/>
      </c>
      <c r="J149" s="26"/>
      <c r="K149" s="34" t="str">
        <f t="shared" si="7"/>
        <v/>
      </c>
      <c r="L149" s="35" t="str">
        <f t="shared" si="8"/>
        <v/>
      </c>
      <c r="M149" s="14"/>
      <c r="N149" s="16"/>
    </row>
    <row r="150" spans="1:14" ht="15.6" x14ac:dyDescent="0.3">
      <c r="A150" s="13" t="str">
        <f t="shared" si="6"/>
        <v>-</v>
      </c>
      <c r="B150" s="27"/>
      <c r="C150" s="26"/>
      <c r="D150" s="26"/>
      <c r="E150" s="26"/>
      <c r="F150" s="22"/>
      <c r="G150" s="34">
        <f>SUMIFS('BASE EXEC. Q.L'!N:N,'BASE EXEC. Q.L'!B:B,VOOS!A150)</f>
        <v>0</v>
      </c>
      <c r="H150" s="15" t="str">
        <f>IFERROR(_xlfn.XLOOKUP(A150,'BASE SQL PLANTIO'!B:B,'BASE SQL PLANTIO'!T:T,"verificar",0),"")</f>
        <v/>
      </c>
      <c r="I150" s="77" t="str">
        <f>IF(_xlfn.MINIFS('BASE SQL PLANTIO'!E:E,'BASE SQL PLANTIO'!B:B,VOOS!A150)=0/1/1900,"",_xlfn.MINIFS('BASE SQL PLANTIO'!E:E,'BASE SQL PLANTIO'!B:B,VOOS!A150))</f>
        <v/>
      </c>
      <c r="J150" s="26"/>
      <c r="K150" s="34" t="str">
        <f t="shared" si="7"/>
        <v/>
      </c>
      <c r="L150" s="35" t="str">
        <f t="shared" si="8"/>
        <v/>
      </c>
      <c r="M150" s="14"/>
      <c r="N150" s="16"/>
    </row>
    <row r="151" spans="1:14" ht="15.6" x14ac:dyDescent="0.3">
      <c r="A151" s="13" t="str">
        <f t="shared" si="6"/>
        <v>-</v>
      </c>
      <c r="B151" s="27"/>
      <c r="C151" s="26"/>
      <c r="D151" s="26"/>
      <c r="E151" s="26"/>
      <c r="F151" s="22"/>
      <c r="G151" s="34">
        <f>SUMIFS('BASE EXEC. Q.L'!N:N,'BASE EXEC. Q.L'!B:B,VOOS!A151)</f>
        <v>0</v>
      </c>
      <c r="H151" s="15" t="str">
        <f>IFERROR(_xlfn.XLOOKUP(A151,'BASE SQL PLANTIO'!B:B,'BASE SQL PLANTIO'!T:T,"verificar",0),"")</f>
        <v/>
      </c>
      <c r="I151" s="77" t="str">
        <f>IF(_xlfn.MINIFS('BASE SQL PLANTIO'!E:E,'BASE SQL PLANTIO'!B:B,VOOS!A151)=0/1/1900,"",_xlfn.MINIFS('BASE SQL PLANTIO'!E:E,'BASE SQL PLANTIO'!B:B,VOOS!A151))</f>
        <v/>
      </c>
      <c r="J151" s="26"/>
      <c r="K151" s="34" t="str">
        <f t="shared" si="7"/>
        <v/>
      </c>
      <c r="L151" s="35" t="str">
        <f t="shared" si="8"/>
        <v/>
      </c>
      <c r="M151" s="14"/>
      <c r="N151" s="16"/>
    </row>
    <row r="152" spans="1:14" ht="15.6" x14ac:dyDescent="0.3">
      <c r="A152" s="13" t="str">
        <f t="shared" si="6"/>
        <v>-</v>
      </c>
      <c r="B152" s="27"/>
      <c r="C152" s="26"/>
      <c r="D152" s="26"/>
      <c r="E152" s="26"/>
      <c r="F152" s="22"/>
      <c r="G152" s="34">
        <f>SUMIFS('BASE EXEC. Q.L'!N:N,'BASE EXEC. Q.L'!B:B,VOOS!A152)</f>
        <v>0</v>
      </c>
      <c r="H152" s="15" t="str">
        <f>IFERROR(_xlfn.XLOOKUP(A152,'BASE SQL PLANTIO'!B:B,'BASE SQL PLANTIO'!T:T,"verificar",0),"")</f>
        <v/>
      </c>
      <c r="I152" s="77" t="str">
        <f>IF(_xlfn.MINIFS('BASE SQL PLANTIO'!E:E,'BASE SQL PLANTIO'!B:B,VOOS!A152)=0/1/1900,"",_xlfn.MINIFS('BASE SQL PLANTIO'!E:E,'BASE SQL PLANTIO'!B:B,VOOS!A152))</f>
        <v/>
      </c>
      <c r="J152" s="26"/>
      <c r="K152" s="34" t="str">
        <f t="shared" si="7"/>
        <v/>
      </c>
      <c r="L152" s="35" t="str">
        <f t="shared" si="8"/>
        <v/>
      </c>
      <c r="M152" s="14"/>
      <c r="N152" s="16"/>
    </row>
    <row r="153" spans="1:14" ht="15.6" x14ac:dyDescent="0.3">
      <c r="A153" s="13" t="str">
        <f t="shared" si="6"/>
        <v>-</v>
      </c>
      <c r="B153" s="27"/>
      <c r="C153" s="26"/>
      <c r="D153" s="26"/>
      <c r="E153" s="26"/>
      <c r="F153" s="22"/>
      <c r="G153" s="34">
        <f>SUMIFS('BASE EXEC. Q.L'!N:N,'BASE EXEC. Q.L'!B:B,VOOS!A153)</f>
        <v>0</v>
      </c>
      <c r="H153" s="15" t="str">
        <f>IFERROR(_xlfn.XLOOKUP(A153,'BASE SQL PLANTIO'!B:B,'BASE SQL PLANTIO'!T:T,"verificar",0),"")</f>
        <v/>
      </c>
      <c r="I153" s="77" t="str">
        <f>IF(_xlfn.MINIFS('BASE SQL PLANTIO'!E:E,'BASE SQL PLANTIO'!B:B,VOOS!A153)=0/1/1900,"",_xlfn.MINIFS('BASE SQL PLANTIO'!E:E,'BASE SQL PLANTIO'!B:B,VOOS!A153))</f>
        <v/>
      </c>
      <c r="J153" s="26"/>
      <c r="K153" s="34" t="str">
        <f t="shared" si="7"/>
        <v/>
      </c>
      <c r="L153" s="35" t="str">
        <f t="shared" si="8"/>
        <v/>
      </c>
      <c r="M153" s="14"/>
      <c r="N153" s="16"/>
    </row>
    <row r="154" spans="1:14" ht="15.6" x14ac:dyDescent="0.3">
      <c r="A154" s="13" t="str">
        <f t="shared" si="6"/>
        <v>-</v>
      </c>
      <c r="B154" s="27"/>
      <c r="C154" s="26"/>
      <c r="D154" s="26"/>
      <c r="E154" s="26"/>
      <c r="F154" s="22"/>
      <c r="G154" s="34">
        <f>SUMIFS('BASE EXEC. Q.L'!N:N,'BASE EXEC. Q.L'!B:B,VOOS!A154)</f>
        <v>0</v>
      </c>
      <c r="H154" s="15" t="str">
        <f>IFERROR(_xlfn.XLOOKUP(A154,'BASE SQL PLANTIO'!B:B,'BASE SQL PLANTIO'!T:T,"verificar",0),"")</f>
        <v/>
      </c>
      <c r="I154" s="77" t="str">
        <f>IF(_xlfn.MINIFS('BASE SQL PLANTIO'!E:E,'BASE SQL PLANTIO'!B:B,VOOS!A154)=0/1/1900,"",_xlfn.MINIFS('BASE SQL PLANTIO'!E:E,'BASE SQL PLANTIO'!B:B,VOOS!A154))</f>
        <v/>
      </c>
      <c r="J154" s="26"/>
      <c r="K154" s="34" t="str">
        <f t="shared" si="7"/>
        <v/>
      </c>
      <c r="L154" s="35" t="str">
        <f t="shared" si="8"/>
        <v/>
      </c>
      <c r="M154" s="14"/>
      <c r="N154" s="16"/>
    </row>
    <row r="155" spans="1:14" ht="15.6" x14ac:dyDescent="0.3">
      <c r="A155" s="13" t="str">
        <f t="shared" si="6"/>
        <v>-</v>
      </c>
      <c r="B155" s="27"/>
      <c r="C155" s="26"/>
      <c r="D155" s="26"/>
      <c r="E155" s="26"/>
      <c r="F155" s="22"/>
      <c r="G155" s="34">
        <f>SUMIFS('BASE EXEC. Q.L'!N:N,'BASE EXEC. Q.L'!B:B,VOOS!A155)</f>
        <v>0</v>
      </c>
      <c r="H155" s="15" t="str">
        <f>IFERROR(_xlfn.XLOOKUP(A155,'BASE SQL PLANTIO'!B:B,'BASE SQL PLANTIO'!T:T,"verificar",0),"")</f>
        <v/>
      </c>
      <c r="I155" s="77" t="str">
        <f>IF(_xlfn.MINIFS('BASE SQL PLANTIO'!E:E,'BASE SQL PLANTIO'!B:B,VOOS!A155)=0/1/1900,"",_xlfn.MINIFS('BASE SQL PLANTIO'!E:E,'BASE SQL PLANTIO'!B:B,VOOS!A155))</f>
        <v/>
      </c>
      <c r="J155" s="26"/>
      <c r="K155" s="34" t="str">
        <f t="shared" si="7"/>
        <v/>
      </c>
      <c r="L155" s="35" t="str">
        <f t="shared" si="8"/>
        <v/>
      </c>
      <c r="M155" s="14"/>
      <c r="N155" s="16"/>
    </row>
    <row r="156" spans="1:14" ht="15.6" x14ac:dyDescent="0.3">
      <c r="A156" s="13" t="str">
        <f t="shared" si="6"/>
        <v>-</v>
      </c>
      <c r="B156" s="27"/>
      <c r="C156" s="26"/>
      <c r="D156" s="26"/>
      <c r="E156" s="26"/>
      <c r="F156" s="22"/>
      <c r="G156" s="34">
        <f>SUMIFS('BASE EXEC. Q.L'!N:N,'BASE EXEC. Q.L'!B:B,VOOS!A156)</f>
        <v>0</v>
      </c>
      <c r="H156" s="15" t="str">
        <f>IFERROR(_xlfn.XLOOKUP(A156,'BASE SQL PLANTIO'!B:B,'BASE SQL PLANTIO'!T:T,"verificar",0),"")</f>
        <v/>
      </c>
      <c r="I156" s="77" t="str">
        <f>IF(_xlfn.MINIFS('BASE SQL PLANTIO'!E:E,'BASE SQL PLANTIO'!B:B,VOOS!A156)=0/1/1900,"",_xlfn.MINIFS('BASE SQL PLANTIO'!E:E,'BASE SQL PLANTIO'!B:B,VOOS!A156))</f>
        <v/>
      </c>
      <c r="J156" s="26"/>
      <c r="K156" s="34" t="str">
        <f t="shared" si="7"/>
        <v/>
      </c>
      <c r="L156" s="35" t="str">
        <f t="shared" si="8"/>
        <v/>
      </c>
      <c r="M156" s="14"/>
      <c r="N156" s="16"/>
    </row>
    <row r="157" spans="1:14" ht="15.6" x14ac:dyDescent="0.3">
      <c r="A157" s="13" t="str">
        <f t="shared" si="6"/>
        <v>-</v>
      </c>
      <c r="B157" s="27"/>
      <c r="C157" s="26"/>
      <c r="D157" s="26"/>
      <c r="E157" s="26"/>
      <c r="F157" s="22"/>
      <c r="G157" s="34">
        <f>SUMIFS('BASE EXEC. Q.L'!N:N,'BASE EXEC. Q.L'!B:B,VOOS!A157)</f>
        <v>0</v>
      </c>
      <c r="H157" s="15" t="str">
        <f>IFERROR(_xlfn.XLOOKUP(A157,'BASE SQL PLANTIO'!B:B,'BASE SQL PLANTIO'!T:T,"verificar",0),"")</f>
        <v/>
      </c>
      <c r="I157" s="77" t="str">
        <f>IF(_xlfn.MINIFS('BASE SQL PLANTIO'!E:E,'BASE SQL PLANTIO'!B:B,VOOS!A157)=0/1/1900,"",_xlfn.MINIFS('BASE SQL PLANTIO'!E:E,'BASE SQL PLANTIO'!B:B,VOOS!A157))</f>
        <v/>
      </c>
      <c r="J157" s="26"/>
      <c r="K157" s="34" t="str">
        <f t="shared" si="7"/>
        <v/>
      </c>
      <c r="L157" s="35" t="str">
        <f t="shared" si="8"/>
        <v/>
      </c>
      <c r="M157" s="14"/>
      <c r="N157" s="16"/>
    </row>
    <row r="158" spans="1:14" ht="15.6" x14ac:dyDescent="0.3">
      <c r="A158" s="13" t="str">
        <f t="shared" si="6"/>
        <v>-</v>
      </c>
      <c r="B158" s="27"/>
      <c r="C158" s="26"/>
      <c r="D158" s="26"/>
      <c r="E158" s="26"/>
      <c r="F158" s="22"/>
      <c r="G158" s="34">
        <f>SUMIFS('BASE EXEC. Q.L'!N:N,'BASE EXEC. Q.L'!B:B,VOOS!A158)</f>
        <v>0</v>
      </c>
      <c r="H158" s="15" t="str">
        <f>IFERROR(_xlfn.XLOOKUP(A158,'BASE SQL PLANTIO'!B:B,'BASE SQL PLANTIO'!T:T,"verificar",0),"")</f>
        <v/>
      </c>
      <c r="I158" s="77" t="str">
        <f>IF(_xlfn.MINIFS('BASE SQL PLANTIO'!E:E,'BASE SQL PLANTIO'!B:B,VOOS!A158)=0/1/1900,"",_xlfn.MINIFS('BASE SQL PLANTIO'!E:E,'BASE SQL PLANTIO'!B:B,VOOS!A158))</f>
        <v/>
      </c>
      <c r="J158" s="26"/>
      <c r="K158" s="34" t="str">
        <f t="shared" si="7"/>
        <v/>
      </c>
      <c r="L158" s="35" t="str">
        <f t="shared" si="8"/>
        <v/>
      </c>
      <c r="M158" s="14"/>
      <c r="N158" s="16"/>
    </row>
    <row r="159" spans="1:14" ht="15.6" x14ac:dyDescent="0.3">
      <c r="A159" s="13" t="str">
        <f t="shared" si="6"/>
        <v>-</v>
      </c>
      <c r="B159" s="27"/>
      <c r="C159" s="26"/>
      <c r="D159" s="26"/>
      <c r="E159" s="26"/>
      <c r="F159" s="22"/>
      <c r="G159" s="34">
        <f>SUMIFS('BASE EXEC. Q.L'!N:N,'BASE EXEC. Q.L'!B:B,VOOS!A159)</f>
        <v>0</v>
      </c>
      <c r="H159" s="15" t="str">
        <f>IFERROR(_xlfn.XLOOKUP(A159,'BASE SQL PLANTIO'!B:B,'BASE SQL PLANTIO'!T:T,"verificar",0),"")</f>
        <v/>
      </c>
      <c r="I159" s="77" t="str">
        <f>IF(_xlfn.MINIFS('BASE SQL PLANTIO'!E:E,'BASE SQL PLANTIO'!B:B,VOOS!A159)=0/1/1900,"",_xlfn.MINIFS('BASE SQL PLANTIO'!E:E,'BASE SQL PLANTIO'!B:B,VOOS!A159))</f>
        <v/>
      </c>
      <c r="J159" s="26"/>
      <c r="K159" s="34" t="str">
        <f t="shared" si="7"/>
        <v/>
      </c>
      <c r="L159" s="35" t="str">
        <f t="shared" si="8"/>
        <v/>
      </c>
      <c r="M159" s="14"/>
      <c r="N159" s="15"/>
    </row>
    <row r="160" spans="1:14" ht="15.6" x14ac:dyDescent="0.3">
      <c r="A160" s="13" t="str">
        <f t="shared" si="6"/>
        <v>-</v>
      </c>
      <c r="B160" s="27"/>
      <c r="C160" s="26"/>
      <c r="D160" s="26"/>
      <c r="E160" s="26"/>
      <c r="F160" s="22"/>
      <c r="G160" s="34">
        <f>SUMIFS('BASE EXEC. Q.L'!N:N,'BASE EXEC. Q.L'!B:B,VOOS!A160)</f>
        <v>0</v>
      </c>
      <c r="H160" s="15" t="str">
        <f>IFERROR(_xlfn.XLOOKUP(A160,'BASE SQL PLANTIO'!B:B,'BASE SQL PLANTIO'!T:T,"verificar",0),"")</f>
        <v/>
      </c>
      <c r="I160" s="77" t="str">
        <f>IF(_xlfn.MINIFS('BASE SQL PLANTIO'!E:E,'BASE SQL PLANTIO'!B:B,VOOS!A160)=0/1/1900,"",_xlfn.MINIFS('BASE SQL PLANTIO'!E:E,'BASE SQL PLANTIO'!B:B,VOOS!A160))</f>
        <v/>
      </c>
      <c r="J160" s="26"/>
      <c r="K160" s="34" t="str">
        <f t="shared" si="7"/>
        <v/>
      </c>
      <c r="L160" s="35" t="str">
        <f t="shared" si="8"/>
        <v/>
      </c>
      <c r="M160" s="14"/>
      <c r="N160" s="16"/>
    </row>
    <row r="161" spans="1:14" ht="15.6" x14ac:dyDescent="0.3">
      <c r="A161" s="13" t="str">
        <f t="shared" si="6"/>
        <v>-</v>
      </c>
      <c r="B161" s="27"/>
      <c r="C161" s="26"/>
      <c r="D161" s="26"/>
      <c r="E161" s="26"/>
      <c r="F161" s="22"/>
      <c r="G161" s="34">
        <f>SUMIFS('BASE EXEC. Q.L'!N:N,'BASE EXEC. Q.L'!B:B,VOOS!A161)</f>
        <v>0</v>
      </c>
      <c r="H161" s="15" t="str">
        <f>IFERROR(_xlfn.XLOOKUP(A161,'BASE SQL PLANTIO'!B:B,'BASE SQL PLANTIO'!T:T,"verificar",0),"")</f>
        <v/>
      </c>
      <c r="I161" s="77" t="str">
        <f>IF(_xlfn.MINIFS('BASE SQL PLANTIO'!E:E,'BASE SQL PLANTIO'!B:B,VOOS!A161)=0/1/1900,"",_xlfn.MINIFS('BASE SQL PLANTIO'!E:E,'BASE SQL PLANTIO'!B:B,VOOS!A161))</f>
        <v/>
      </c>
      <c r="J161" s="26"/>
      <c r="K161" s="34" t="str">
        <f t="shared" si="7"/>
        <v/>
      </c>
      <c r="L161" s="35" t="str">
        <f t="shared" si="8"/>
        <v/>
      </c>
      <c r="M161" s="14"/>
      <c r="N161" s="16"/>
    </row>
    <row r="162" spans="1:14" ht="15.6" x14ac:dyDescent="0.3">
      <c r="A162" s="13" t="str">
        <f t="shared" si="6"/>
        <v>-</v>
      </c>
      <c r="B162" s="27"/>
      <c r="C162" s="26"/>
      <c r="D162" s="26"/>
      <c r="E162" s="26"/>
      <c r="F162" s="22"/>
      <c r="G162" s="34">
        <f>SUMIFS('BASE EXEC. Q.L'!N:N,'BASE EXEC. Q.L'!B:B,VOOS!A162)</f>
        <v>0</v>
      </c>
      <c r="H162" s="15" t="str">
        <f>IFERROR(_xlfn.XLOOKUP(A162,'BASE SQL PLANTIO'!B:B,'BASE SQL PLANTIO'!T:T,"verificar",0),"")</f>
        <v/>
      </c>
      <c r="I162" s="77" t="str">
        <f>IF(_xlfn.MINIFS('BASE SQL PLANTIO'!E:E,'BASE SQL PLANTIO'!B:B,VOOS!A162)=0/1/1900,"",_xlfn.MINIFS('BASE SQL PLANTIO'!E:E,'BASE SQL PLANTIO'!B:B,VOOS!A162))</f>
        <v/>
      </c>
      <c r="J162" s="26"/>
      <c r="K162" s="34" t="str">
        <f t="shared" si="7"/>
        <v/>
      </c>
      <c r="L162" s="35" t="str">
        <f t="shared" si="8"/>
        <v/>
      </c>
      <c r="M162" s="14"/>
      <c r="N162" s="16"/>
    </row>
    <row r="163" spans="1:14" ht="15.6" x14ac:dyDescent="0.3">
      <c r="A163" s="13" t="str">
        <f t="shared" si="6"/>
        <v>-</v>
      </c>
      <c r="B163" s="25"/>
      <c r="C163" s="25"/>
      <c r="D163" s="25"/>
      <c r="E163" s="25"/>
      <c r="F163" s="22"/>
      <c r="G163" s="34">
        <f>SUMIFS('BASE EXEC. Q.L'!N:N,'BASE EXEC. Q.L'!B:B,VOOS!A163)</f>
        <v>0</v>
      </c>
      <c r="H163" s="15" t="str">
        <f>IFERROR(_xlfn.XLOOKUP(A163,'BASE SQL PLANTIO'!B:B,'BASE SQL PLANTIO'!T:T,"verificar",0),"")</f>
        <v/>
      </c>
      <c r="I163" s="77" t="str">
        <f>IF(_xlfn.MINIFS('BASE SQL PLANTIO'!E:E,'BASE SQL PLANTIO'!B:B,VOOS!A163)=0/1/1900,"",_xlfn.MINIFS('BASE SQL PLANTIO'!E:E,'BASE SQL PLANTIO'!B:B,VOOS!A163))</f>
        <v/>
      </c>
      <c r="J163" s="26"/>
      <c r="K163" s="34" t="str">
        <f t="shared" si="7"/>
        <v/>
      </c>
      <c r="L163" s="35" t="str">
        <f t="shared" si="8"/>
        <v/>
      </c>
      <c r="M163" s="14"/>
      <c r="N163" s="16"/>
    </row>
    <row r="164" spans="1:14" ht="15.6" x14ac:dyDescent="0.3">
      <c r="A164" s="13" t="str">
        <f t="shared" si="6"/>
        <v>-</v>
      </c>
      <c r="B164" s="25"/>
      <c r="C164" s="25"/>
      <c r="D164" s="25"/>
      <c r="E164" s="25"/>
      <c r="F164" s="22"/>
      <c r="G164" s="34">
        <f>SUMIFS('BASE EXEC. Q.L'!N:N,'BASE EXEC. Q.L'!B:B,VOOS!A164)</f>
        <v>0</v>
      </c>
      <c r="H164" s="15" t="str">
        <f>IFERROR(_xlfn.XLOOKUP(A164,'BASE SQL PLANTIO'!B:B,'BASE SQL PLANTIO'!T:T,"verificar",0),"")</f>
        <v/>
      </c>
      <c r="I164" s="77" t="str">
        <f>IF(_xlfn.MINIFS('BASE SQL PLANTIO'!E:E,'BASE SQL PLANTIO'!B:B,VOOS!A164)=0/1/1900,"",_xlfn.MINIFS('BASE SQL PLANTIO'!E:E,'BASE SQL PLANTIO'!B:B,VOOS!A164))</f>
        <v/>
      </c>
      <c r="J164" s="26"/>
      <c r="K164" s="34" t="str">
        <f t="shared" si="7"/>
        <v/>
      </c>
      <c r="L164" s="35" t="str">
        <f t="shared" si="8"/>
        <v/>
      </c>
      <c r="M164" s="14"/>
      <c r="N164" s="16"/>
    </row>
    <row r="165" spans="1:14" ht="15.6" x14ac:dyDescent="0.3">
      <c r="A165" s="13" t="str">
        <f t="shared" si="6"/>
        <v>-</v>
      </c>
      <c r="B165" s="25"/>
      <c r="C165" s="25"/>
      <c r="D165" s="25"/>
      <c r="E165" s="25"/>
      <c r="F165" s="22"/>
      <c r="G165" s="34">
        <f>SUMIFS('BASE EXEC. Q.L'!N:N,'BASE EXEC. Q.L'!B:B,VOOS!A165)</f>
        <v>0</v>
      </c>
      <c r="H165" s="15" t="str">
        <f>IFERROR(_xlfn.XLOOKUP(A165,'BASE SQL PLANTIO'!B:B,'BASE SQL PLANTIO'!T:T,"verificar",0),"")</f>
        <v/>
      </c>
      <c r="I165" s="77" t="str">
        <f>IF(_xlfn.MINIFS('BASE SQL PLANTIO'!E:E,'BASE SQL PLANTIO'!B:B,VOOS!A165)=0/1/1900,"",_xlfn.MINIFS('BASE SQL PLANTIO'!E:E,'BASE SQL PLANTIO'!B:B,VOOS!A165))</f>
        <v/>
      </c>
      <c r="J165" s="26"/>
      <c r="K165" s="34" t="str">
        <f t="shared" si="7"/>
        <v/>
      </c>
      <c r="L165" s="35" t="str">
        <f t="shared" si="8"/>
        <v/>
      </c>
      <c r="M165" s="14"/>
      <c r="N165" s="16"/>
    </row>
    <row r="166" spans="1:14" ht="15.6" x14ac:dyDescent="0.3">
      <c r="A166" s="13" t="str">
        <f t="shared" si="6"/>
        <v>-</v>
      </c>
      <c r="B166" s="27"/>
      <c r="C166" s="26"/>
      <c r="D166" s="26"/>
      <c r="E166" s="26"/>
      <c r="F166" s="22"/>
      <c r="G166" s="34">
        <f>SUMIFS('BASE EXEC. Q.L'!N:N,'BASE EXEC. Q.L'!B:B,VOOS!A166)</f>
        <v>0</v>
      </c>
      <c r="H166" s="15" t="str">
        <f>IFERROR(_xlfn.XLOOKUP(A166,'BASE SQL PLANTIO'!B:B,'BASE SQL PLANTIO'!T:T,"verificar",0),"")</f>
        <v/>
      </c>
      <c r="I166" s="77" t="str">
        <f>IF(_xlfn.MINIFS('BASE SQL PLANTIO'!E:E,'BASE SQL PLANTIO'!B:B,VOOS!A166)=0/1/1900,"",_xlfn.MINIFS('BASE SQL PLANTIO'!E:E,'BASE SQL PLANTIO'!B:B,VOOS!A166))</f>
        <v/>
      </c>
      <c r="J166" s="26"/>
      <c r="K166" s="34" t="str">
        <f t="shared" si="7"/>
        <v/>
      </c>
      <c r="L166" s="35" t="str">
        <f t="shared" si="8"/>
        <v/>
      </c>
      <c r="M166" s="14"/>
      <c r="N166" s="16"/>
    </row>
    <row r="167" spans="1:14" ht="15.6" x14ac:dyDescent="0.3">
      <c r="A167" s="13" t="str">
        <f t="shared" si="6"/>
        <v>-</v>
      </c>
      <c r="B167" s="27"/>
      <c r="C167" s="22"/>
      <c r="D167" s="23"/>
      <c r="E167" s="23"/>
      <c r="F167" s="22"/>
      <c r="G167" s="34">
        <f>SUMIFS('BASE EXEC. Q.L'!N:N,'BASE EXEC. Q.L'!B:B,VOOS!A167)</f>
        <v>0</v>
      </c>
      <c r="H167" s="15" t="str">
        <f>IFERROR(_xlfn.XLOOKUP(A167,'BASE SQL PLANTIO'!B:B,'BASE SQL PLANTIO'!T:T,"verificar",0),"")</f>
        <v/>
      </c>
      <c r="I167" s="77" t="str">
        <f>IF(_xlfn.MINIFS('BASE SQL PLANTIO'!E:E,'BASE SQL PLANTIO'!B:B,VOOS!A167)=0/1/1900,"",_xlfn.MINIFS('BASE SQL PLANTIO'!E:E,'BASE SQL PLANTIO'!B:B,VOOS!A167))</f>
        <v/>
      </c>
      <c r="J167" s="22"/>
      <c r="K167" s="34" t="str">
        <f t="shared" si="7"/>
        <v/>
      </c>
      <c r="L167" s="35" t="str">
        <f t="shared" si="8"/>
        <v/>
      </c>
      <c r="M167" s="14"/>
      <c r="N167" s="16"/>
    </row>
    <row r="168" spans="1:14" ht="15.6" x14ac:dyDescent="0.3">
      <c r="A168" s="13" t="str">
        <f t="shared" si="6"/>
        <v>-</v>
      </c>
      <c r="B168" s="27"/>
      <c r="C168" s="26"/>
      <c r="D168" s="26"/>
      <c r="E168" s="26"/>
      <c r="F168" s="22"/>
      <c r="G168" s="34">
        <f>SUMIFS('BASE EXEC. Q.L'!N:N,'BASE EXEC. Q.L'!B:B,VOOS!A168)</f>
        <v>0</v>
      </c>
      <c r="H168" s="15" t="str">
        <f>IFERROR(_xlfn.XLOOKUP(A168,'BASE SQL PLANTIO'!B:B,'BASE SQL PLANTIO'!T:T,"verificar",0),"")</f>
        <v/>
      </c>
      <c r="I168" s="77" t="str">
        <f>IF(_xlfn.MINIFS('BASE SQL PLANTIO'!E:E,'BASE SQL PLANTIO'!B:B,VOOS!A168)=0/1/1900,"",_xlfn.MINIFS('BASE SQL PLANTIO'!E:E,'BASE SQL PLANTIO'!B:B,VOOS!A168))</f>
        <v/>
      </c>
      <c r="J168" s="26"/>
      <c r="K168" s="34" t="str">
        <f t="shared" si="7"/>
        <v/>
      </c>
      <c r="L168" s="35" t="str">
        <f t="shared" si="8"/>
        <v/>
      </c>
      <c r="M168" s="14"/>
      <c r="N168" s="16"/>
    </row>
    <row r="169" spans="1:14" ht="15.6" x14ac:dyDescent="0.3">
      <c r="A169" s="13" t="str">
        <f t="shared" si="6"/>
        <v>-</v>
      </c>
      <c r="B169" s="27"/>
      <c r="C169" s="26"/>
      <c r="D169" s="26"/>
      <c r="E169" s="26"/>
      <c r="F169" s="22"/>
      <c r="G169" s="34">
        <f>SUMIFS('BASE EXEC. Q.L'!N:N,'BASE EXEC. Q.L'!B:B,VOOS!A169)</f>
        <v>0</v>
      </c>
      <c r="H169" s="15" t="str">
        <f>IFERROR(_xlfn.XLOOKUP(A169,'BASE SQL PLANTIO'!B:B,'BASE SQL PLANTIO'!T:T,"verificar",0),"")</f>
        <v/>
      </c>
      <c r="I169" s="77" t="str">
        <f>IF(_xlfn.MINIFS('BASE SQL PLANTIO'!E:E,'BASE SQL PLANTIO'!B:B,VOOS!A169)=0/1/1900,"",_xlfn.MINIFS('BASE SQL PLANTIO'!E:E,'BASE SQL PLANTIO'!B:B,VOOS!A169))</f>
        <v/>
      </c>
      <c r="J169" s="26"/>
      <c r="K169" s="34" t="str">
        <f t="shared" si="7"/>
        <v/>
      </c>
      <c r="L169" s="35" t="str">
        <f t="shared" si="8"/>
        <v/>
      </c>
      <c r="M169" s="14"/>
      <c r="N169" s="16"/>
    </row>
    <row r="170" spans="1:14" ht="15.6" x14ac:dyDescent="0.3">
      <c r="A170" s="13" t="str">
        <f t="shared" si="6"/>
        <v>-</v>
      </c>
      <c r="B170" s="27"/>
      <c r="C170" s="26"/>
      <c r="D170" s="26"/>
      <c r="E170" s="26"/>
      <c r="F170" s="22"/>
      <c r="G170" s="34">
        <f>SUMIFS('BASE EXEC. Q.L'!N:N,'BASE EXEC. Q.L'!B:B,VOOS!A170)</f>
        <v>0</v>
      </c>
      <c r="H170" s="15" t="str">
        <f>IFERROR(_xlfn.XLOOKUP(A170,'BASE SQL PLANTIO'!B:B,'BASE SQL PLANTIO'!T:T,"verificar",0),"")</f>
        <v/>
      </c>
      <c r="I170" s="77" t="str">
        <f>IF(_xlfn.MINIFS('BASE SQL PLANTIO'!E:E,'BASE SQL PLANTIO'!B:B,VOOS!A170)=0/1/1900,"",_xlfn.MINIFS('BASE SQL PLANTIO'!E:E,'BASE SQL PLANTIO'!B:B,VOOS!A170))</f>
        <v/>
      </c>
      <c r="J170" s="26"/>
      <c r="K170" s="34" t="str">
        <f t="shared" si="7"/>
        <v/>
      </c>
      <c r="L170" s="35" t="str">
        <f t="shared" si="8"/>
        <v/>
      </c>
      <c r="M170" s="14"/>
      <c r="N170" s="16"/>
    </row>
    <row r="171" spans="1:14" ht="15.6" x14ac:dyDescent="0.3">
      <c r="A171" s="13" t="str">
        <f t="shared" si="6"/>
        <v>-</v>
      </c>
      <c r="B171" s="27"/>
      <c r="C171" s="26"/>
      <c r="D171" s="26"/>
      <c r="E171" s="26"/>
      <c r="F171" s="22"/>
      <c r="G171" s="34">
        <f>SUMIFS('BASE EXEC. Q.L'!N:N,'BASE EXEC. Q.L'!B:B,VOOS!A171)</f>
        <v>0</v>
      </c>
      <c r="H171" s="15" t="str">
        <f>IFERROR(_xlfn.XLOOKUP(A171,'BASE SQL PLANTIO'!B:B,'BASE SQL PLANTIO'!T:T,"verificar",0),"")</f>
        <v/>
      </c>
      <c r="I171" s="77" t="str">
        <f>IF(_xlfn.MINIFS('BASE SQL PLANTIO'!E:E,'BASE SQL PLANTIO'!B:B,VOOS!A171)=0/1/1900,"",_xlfn.MINIFS('BASE SQL PLANTIO'!E:E,'BASE SQL PLANTIO'!B:B,VOOS!A171))</f>
        <v/>
      </c>
      <c r="J171" s="26"/>
      <c r="K171" s="34" t="str">
        <f t="shared" si="7"/>
        <v/>
      </c>
      <c r="L171" s="35" t="str">
        <f t="shared" si="8"/>
        <v/>
      </c>
      <c r="M171" s="14"/>
      <c r="N171" s="15"/>
    </row>
    <row r="172" spans="1:14" ht="15.6" x14ac:dyDescent="0.3">
      <c r="A172" s="13" t="str">
        <f t="shared" si="6"/>
        <v>-</v>
      </c>
      <c r="B172" s="27"/>
      <c r="C172" s="26"/>
      <c r="D172" s="26"/>
      <c r="E172" s="26"/>
      <c r="F172" s="22"/>
      <c r="G172" s="34">
        <f>SUMIFS('BASE EXEC. Q.L'!N:N,'BASE EXEC. Q.L'!B:B,VOOS!A172)</f>
        <v>0</v>
      </c>
      <c r="H172" s="15" t="str">
        <f>IFERROR(_xlfn.XLOOKUP(A172,'BASE SQL PLANTIO'!B:B,'BASE SQL PLANTIO'!T:T,"verificar",0),"")</f>
        <v/>
      </c>
      <c r="I172" s="77" t="str">
        <f>IF(_xlfn.MINIFS('BASE SQL PLANTIO'!E:E,'BASE SQL PLANTIO'!B:B,VOOS!A172)=0/1/1900,"",_xlfn.MINIFS('BASE SQL PLANTIO'!E:E,'BASE SQL PLANTIO'!B:B,VOOS!A172))</f>
        <v/>
      </c>
      <c r="J172" s="26"/>
      <c r="K172" s="34" t="str">
        <f t="shared" si="7"/>
        <v/>
      </c>
      <c r="L172" s="35" t="str">
        <f t="shared" si="8"/>
        <v/>
      </c>
      <c r="M172" s="14"/>
      <c r="N172" s="16"/>
    </row>
    <row r="173" spans="1:14" ht="15.6" x14ac:dyDescent="0.3">
      <c r="A173" s="13" t="str">
        <f t="shared" si="6"/>
        <v>-</v>
      </c>
      <c r="B173" s="27"/>
      <c r="C173" s="26"/>
      <c r="D173" s="26"/>
      <c r="E173" s="26"/>
      <c r="F173" s="22"/>
      <c r="G173" s="34">
        <f>SUMIFS('BASE EXEC. Q.L'!N:N,'BASE EXEC. Q.L'!B:B,VOOS!A173)</f>
        <v>0</v>
      </c>
      <c r="H173" s="15" t="str">
        <f>IFERROR(_xlfn.XLOOKUP(A173,'BASE SQL PLANTIO'!B:B,'BASE SQL PLANTIO'!T:T,"verificar",0),"")</f>
        <v/>
      </c>
      <c r="I173" s="77" t="str">
        <f>IF(_xlfn.MINIFS('BASE SQL PLANTIO'!E:E,'BASE SQL PLANTIO'!B:B,VOOS!A173)=0/1/1900,"",_xlfn.MINIFS('BASE SQL PLANTIO'!E:E,'BASE SQL PLANTIO'!B:B,VOOS!A173))</f>
        <v/>
      </c>
      <c r="J173" s="26"/>
      <c r="K173" s="34" t="str">
        <f t="shared" si="7"/>
        <v/>
      </c>
      <c r="L173" s="35" t="str">
        <f t="shared" si="8"/>
        <v/>
      </c>
      <c r="M173" s="14"/>
      <c r="N173" s="16"/>
    </row>
    <row r="174" spans="1:14" ht="15.6" x14ac:dyDescent="0.3">
      <c r="A174" s="13" t="str">
        <f t="shared" si="6"/>
        <v>-</v>
      </c>
      <c r="B174" s="27"/>
      <c r="C174" s="26"/>
      <c r="D174" s="26"/>
      <c r="E174" s="26"/>
      <c r="F174" s="22"/>
      <c r="G174" s="34">
        <f>SUMIFS('BASE EXEC. Q.L'!N:N,'BASE EXEC. Q.L'!B:B,VOOS!A174)</f>
        <v>0</v>
      </c>
      <c r="H174" s="15" t="str">
        <f>IFERROR(_xlfn.XLOOKUP(A174,'BASE SQL PLANTIO'!B:B,'BASE SQL PLANTIO'!T:T,"verificar",0),"")</f>
        <v/>
      </c>
      <c r="I174" s="77" t="str">
        <f>IF(_xlfn.MINIFS('BASE SQL PLANTIO'!E:E,'BASE SQL PLANTIO'!B:B,VOOS!A174)=0/1/1900,"",_xlfn.MINIFS('BASE SQL PLANTIO'!E:E,'BASE SQL PLANTIO'!B:B,VOOS!A174))</f>
        <v/>
      </c>
      <c r="J174" s="26"/>
      <c r="K174" s="34" t="str">
        <f t="shared" si="7"/>
        <v/>
      </c>
      <c r="L174" s="35" t="str">
        <f t="shared" si="8"/>
        <v/>
      </c>
      <c r="M174" s="14"/>
      <c r="N174" s="16"/>
    </row>
    <row r="175" spans="1:14" ht="15.6" x14ac:dyDescent="0.3">
      <c r="A175" s="13" t="str">
        <f t="shared" si="6"/>
        <v>-</v>
      </c>
      <c r="B175" s="27"/>
      <c r="C175" s="26"/>
      <c r="D175" s="26"/>
      <c r="E175" s="26"/>
      <c r="F175" s="22"/>
      <c r="G175" s="34">
        <f>SUMIFS('BASE EXEC. Q.L'!N:N,'BASE EXEC. Q.L'!B:B,VOOS!A175)</f>
        <v>0</v>
      </c>
      <c r="H175" s="15" t="str">
        <f>IFERROR(_xlfn.XLOOKUP(A175,'BASE SQL PLANTIO'!B:B,'BASE SQL PLANTIO'!T:T,"verificar",0),"")</f>
        <v/>
      </c>
      <c r="I175" s="77" t="str">
        <f>IF(_xlfn.MINIFS('BASE SQL PLANTIO'!E:E,'BASE SQL PLANTIO'!B:B,VOOS!A175)=0/1/1900,"",_xlfn.MINIFS('BASE SQL PLANTIO'!E:E,'BASE SQL PLANTIO'!B:B,VOOS!A175))</f>
        <v/>
      </c>
      <c r="J175" s="26"/>
      <c r="K175" s="34" t="str">
        <f t="shared" si="7"/>
        <v/>
      </c>
      <c r="L175" s="35" t="str">
        <f t="shared" si="8"/>
        <v/>
      </c>
      <c r="M175" s="14"/>
      <c r="N175" s="16"/>
    </row>
    <row r="176" spans="1:14" ht="15.6" x14ac:dyDescent="0.3">
      <c r="A176" s="13" t="str">
        <f t="shared" si="6"/>
        <v>-</v>
      </c>
      <c r="B176" s="27"/>
      <c r="C176" s="26"/>
      <c r="D176" s="26"/>
      <c r="E176" s="26"/>
      <c r="F176" s="22"/>
      <c r="G176" s="34">
        <f>SUMIFS('BASE EXEC. Q.L'!N:N,'BASE EXEC. Q.L'!B:B,VOOS!A176)</f>
        <v>0</v>
      </c>
      <c r="H176" s="15" t="str">
        <f>IFERROR(_xlfn.XLOOKUP(A176,'BASE SQL PLANTIO'!B:B,'BASE SQL PLANTIO'!T:T,"verificar",0),"")</f>
        <v/>
      </c>
      <c r="I176" s="77" t="str">
        <f>IF(_xlfn.MINIFS('BASE SQL PLANTIO'!E:E,'BASE SQL PLANTIO'!B:B,VOOS!A176)=0/1/1900,"",_xlfn.MINIFS('BASE SQL PLANTIO'!E:E,'BASE SQL PLANTIO'!B:B,VOOS!A176))</f>
        <v/>
      </c>
      <c r="J176" s="26"/>
      <c r="K176" s="34" t="str">
        <f t="shared" si="7"/>
        <v/>
      </c>
      <c r="L176" s="35" t="str">
        <f t="shared" si="8"/>
        <v/>
      </c>
      <c r="M176" s="14"/>
      <c r="N176" s="16"/>
    </row>
    <row r="177" spans="1:14" ht="15.6" x14ac:dyDescent="0.3">
      <c r="A177" s="13" t="str">
        <f t="shared" si="6"/>
        <v>-</v>
      </c>
      <c r="B177" s="27"/>
      <c r="C177" s="26"/>
      <c r="D177" s="26"/>
      <c r="E177" s="26"/>
      <c r="F177" s="22"/>
      <c r="G177" s="34">
        <f>SUMIFS('BASE EXEC. Q.L'!N:N,'BASE EXEC. Q.L'!B:B,VOOS!A177)</f>
        <v>0</v>
      </c>
      <c r="H177" s="15" t="str">
        <f>IFERROR(_xlfn.XLOOKUP(A177,'BASE SQL PLANTIO'!B:B,'BASE SQL PLANTIO'!T:T,"verificar",0),"")</f>
        <v/>
      </c>
      <c r="I177" s="77" t="str">
        <f>IF(_xlfn.MINIFS('BASE SQL PLANTIO'!E:E,'BASE SQL PLANTIO'!B:B,VOOS!A177)=0/1/1900,"",_xlfn.MINIFS('BASE SQL PLANTIO'!E:E,'BASE SQL PLANTIO'!B:B,VOOS!A177))</f>
        <v/>
      </c>
      <c r="J177" s="26"/>
      <c r="K177" s="34" t="str">
        <f t="shared" si="7"/>
        <v/>
      </c>
      <c r="L177" s="35" t="str">
        <f t="shared" si="8"/>
        <v/>
      </c>
      <c r="M177" s="14"/>
      <c r="N177" s="16"/>
    </row>
    <row r="178" spans="1:14" ht="15.6" x14ac:dyDescent="0.3">
      <c r="A178" s="13" t="str">
        <f t="shared" si="6"/>
        <v>-</v>
      </c>
      <c r="B178" s="27"/>
      <c r="C178" s="26"/>
      <c r="D178" s="26"/>
      <c r="E178" s="26"/>
      <c r="F178" s="22"/>
      <c r="G178" s="34">
        <f>SUMIFS('BASE EXEC. Q.L'!N:N,'BASE EXEC. Q.L'!B:B,VOOS!A178)</f>
        <v>0</v>
      </c>
      <c r="H178" s="15" t="str">
        <f>IFERROR(_xlfn.XLOOKUP(A178,'BASE SQL PLANTIO'!B:B,'BASE SQL PLANTIO'!T:T,"verificar",0),"")</f>
        <v/>
      </c>
      <c r="I178" s="77" t="str">
        <f>IF(_xlfn.MINIFS('BASE SQL PLANTIO'!E:E,'BASE SQL PLANTIO'!B:B,VOOS!A178)=0/1/1900,"",_xlfn.MINIFS('BASE SQL PLANTIO'!E:E,'BASE SQL PLANTIO'!B:B,VOOS!A178))</f>
        <v/>
      </c>
      <c r="J178" s="26"/>
      <c r="K178" s="34" t="str">
        <f t="shared" si="7"/>
        <v/>
      </c>
      <c r="L178" s="35" t="str">
        <f t="shared" si="8"/>
        <v/>
      </c>
      <c r="M178" s="14"/>
      <c r="N178" s="16"/>
    </row>
    <row r="179" spans="1:14" ht="15.6" x14ac:dyDescent="0.3">
      <c r="A179" s="13" t="str">
        <f t="shared" si="6"/>
        <v>-</v>
      </c>
      <c r="B179" s="27"/>
      <c r="C179" s="26"/>
      <c r="D179" s="26"/>
      <c r="E179" s="26"/>
      <c r="F179" s="22"/>
      <c r="G179" s="34">
        <f>SUMIFS('BASE EXEC. Q.L'!N:N,'BASE EXEC. Q.L'!B:B,VOOS!A179)</f>
        <v>0</v>
      </c>
      <c r="H179" s="15" t="str">
        <f>IFERROR(_xlfn.XLOOKUP(A179,'BASE SQL PLANTIO'!B:B,'BASE SQL PLANTIO'!T:T,"verificar",0),"")</f>
        <v/>
      </c>
      <c r="I179" s="77" t="str">
        <f>IF(_xlfn.MINIFS('BASE SQL PLANTIO'!E:E,'BASE SQL PLANTIO'!B:B,VOOS!A179)=0/1/1900,"",_xlfn.MINIFS('BASE SQL PLANTIO'!E:E,'BASE SQL PLANTIO'!B:B,VOOS!A179))</f>
        <v/>
      </c>
      <c r="J179" s="26"/>
      <c r="K179" s="34" t="str">
        <f t="shared" si="7"/>
        <v/>
      </c>
      <c r="L179" s="35" t="str">
        <f t="shared" si="8"/>
        <v/>
      </c>
      <c r="M179" s="14"/>
      <c r="N179" s="16"/>
    </row>
    <row r="180" spans="1:14" ht="15.6" x14ac:dyDescent="0.3">
      <c r="A180" s="13" t="str">
        <f t="shared" si="6"/>
        <v>-</v>
      </c>
      <c r="B180" s="27"/>
      <c r="C180" s="26"/>
      <c r="D180" s="26"/>
      <c r="E180" s="26"/>
      <c r="F180" s="22"/>
      <c r="G180" s="34">
        <f>SUMIFS('BASE EXEC. Q.L'!N:N,'BASE EXEC. Q.L'!B:B,VOOS!A180)</f>
        <v>0</v>
      </c>
      <c r="H180" s="15" t="str">
        <f>IFERROR(_xlfn.XLOOKUP(A180,'BASE SQL PLANTIO'!B:B,'BASE SQL PLANTIO'!T:T,"verificar",0),"")</f>
        <v/>
      </c>
      <c r="I180" s="77" t="str">
        <f>IF(_xlfn.MINIFS('BASE SQL PLANTIO'!E:E,'BASE SQL PLANTIO'!B:B,VOOS!A180)=0/1/1900,"",_xlfn.MINIFS('BASE SQL PLANTIO'!E:E,'BASE SQL PLANTIO'!B:B,VOOS!A180))</f>
        <v/>
      </c>
      <c r="J180" s="26"/>
      <c r="K180" s="34" t="str">
        <f t="shared" si="7"/>
        <v/>
      </c>
      <c r="L180" s="35" t="str">
        <f t="shared" si="8"/>
        <v/>
      </c>
      <c r="M180" s="14"/>
      <c r="N180" s="16"/>
    </row>
    <row r="181" spans="1:14" ht="15.6" x14ac:dyDescent="0.3">
      <c r="A181" s="13" t="str">
        <f t="shared" si="6"/>
        <v>-</v>
      </c>
      <c r="B181" s="25"/>
      <c r="C181" s="25"/>
      <c r="D181" s="25"/>
      <c r="E181" s="25"/>
      <c r="F181" s="22"/>
      <c r="G181" s="34">
        <f>SUMIFS('BASE EXEC. Q.L'!N:N,'BASE EXEC. Q.L'!B:B,VOOS!A181)</f>
        <v>0</v>
      </c>
      <c r="H181" s="15" t="str">
        <f>IFERROR(_xlfn.XLOOKUP(A181,'BASE SQL PLANTIO'!B:B,'BASE SQL PLANTIO'!T:T,"verificar",0),"")</f>
        <v/>
      </c>
      <c r="I181" s="77" t="str">
        <f>IF(_xlfn.MINIFS('BASE SQL PLANTIO'!E:E,'BASE SQL PLANTIO'!B:B,VOOS!A181)=0/1/1900,"",_xlfn.MINIFS('BASE SQL PLANTIO'!E:E,'BASE SQL PLANTIO'!B:B,VOOS!A181))</f>
        <v/>
      </c>
      <c r="J181" s="26"/>
      <c r="K181" s="34" t="str">
        <f t="shared" si="7"/>
        <v/>
      </c>
      <c r="L181" s="35" t="str">
        <f t="shared" si="8"/>
        <v/>
      </c>
      <c r="M181" s="14"/>
      <c r="N181" s="16"/>
    </row>
    <row r="182" spans="1:14" ht="15.6" x14ac:dyDescent="0.3">
      <c r="A182" s="13" t="str">
        <f t="shared" si="6"/>
        <v>-</v>
      </c>
      <c r="B182" s="25"/>
      <c r="C182" s="25"/>
      <c r="D182" s="25"/>
      <c r="E182" s="25"/>
      <c r="F182" s="22"/>
      <c r="G182" s="34">
        <f>SUMIFS('BASE EXEC. Q.L'!N:N,'BASE EXEC. Q.L'!B:B,VOOS!A182)</f>
        <v>0</v>
      </c>
      <c r="H182" s="15" t="str">
        <f>IFERROR(_xlfn.XLOOKUP(A182,'BASE SQL PLANTIO'!B:B,'BASE SQL PLANTIO'!T:T,"verificar",0),"")</f>
        <v/>
      </c>
      <c r="I182" s="77" t="str">
        <f>IF(_xlfn.MINIFS('BASE SQL PLANTIO'!E:E,'BASE SQL PLANTIO'!B:B,VOOS!A182)=0/1/1900,"",_xlfn.MINIFS('BASE SQL PLANTIO'!E:E,'BASE SQL PLANTIO'!B:B,VOOS!A182))</f>
        <v/>
      </c>
      <c r="J182" s="26"/>
      <c r="K182" s="34" t="str">
        <f t="shared" si="7"/>
        <v/>
      </c>
      <c r="L182" s="35" t="str">
        <f t="shared" si="8"/>
        <v/>
      </c>
      <c r="M182" s="14"/>
      <c r="N182" s="16"/>
    </row>
    <row r="183" spans="1:14" ht="15.6" x14ac:dyDescent="0.3">
      <c r="A183" s="13" t="str">
        <f t="shared" si="6"/>
        <v>-</v>
      </c>
      <c r="B183" s="27"/>
      <c r="C183" s="26"/>
      <c r="D183" s="26"/>
      <c r="E183" s="26"/>
      <c r="F183" s="22"/>
      <c r="G183" s="34">
        <f>SUMIFS('BASE EXEC. Q.L'!N:N,'BASE EXEC. Q.L'!B:B,VOOS!A183)</f>
        <v>0</v>
      </c>
      <c r="H183" s="15" t="str">
        <f>IFERROR(_xlfn.XLOOKUP(A183,'BASE SQL PLANTIO'!B:B,'BASE SQL PLANTIO'!T:T,"verificar",0),"")</f>
        <v/>
      </c>
      <c r="I183" s="77" t="str">
        <f>IF(_xlfn.MINIFS('BASE SQL PLANTIO'!E:E,'BASE SQL PLANTIO'!B:B,VOOS!A183)=0/1/1900,"",_xlfn.MINIFS('BASE SQL PLANTIO'!E:E,'BASE SQL PLANTIO'!B:B,VOOS!A183))</f>
        <v/>
      </c>
      <c r="J183" s="26"/>
      <c r="K183" s="34" t="str">
        <f t="shared" si="7"/>
        <v/>
      </c>
      <c r="L183" s="35" t="str">
        <f t="shared" si="8"/>
        <v/>
      </c>
      <c r="M183" s="14"/>
      <c r="N183" s="18"/>
    </row>
    <row r="184" spans="1:14" ht="15.6" x14ac:dyDescent="0.3">
      <c r="A184" s="13" t="str">
        <f t="shared" si="6"/>
        <v>-</v>
      </c>
      <c r="B184" s="27"/>
      <c r="C184" s="26"/>
      <c r="D184" s="26"/>
      <c r="E184" s="26"/>
      <c r="F184" s="22"/>
      <c r="G184" s="34">
        <f>SUMIFS('BASE EXEC. Q.L'!N:N,'BASE EXEC. Q.L'!B:B,VOOS!A184)</f>
        <v>0</v>
      </c>
      <c r="H184" s="15" t="str">
        <f>IFERROR(_xlfn.XLOOKUP(A184,'BASE SQL PLANTIO'!B:B,'BASE SQL PLANTIO'!T:T,"verificar",0),"")</f>
        <v/>
      </c>
      <c r="I184" s="77" t="str">
        <f>IF(_xlfn.MINIFS('BASE SQL PLANTIO'!E:E,'BASE SQL PLANTIO'!B:B,VOOS!A184)=0/1/1900,"",_xlfn.MINIFS('BASE SQL PLANTIO'!E:E,'BASE SQL PLANTIO'!B:B,VOOS!A184))</f>
        <v/>
      </c>
      <c r="J184" s="26"/>
      <c r="K184" s="34" t="str">
        <f t="shared" si="7"/>
        <v/>
      </c>
      <c r="L184" s="35" t="str">
        <f t="shared" si="8"/>
        <v/>
      </c>
      <c r="M184" s="14"/>
      <c r="N184" s="16"/>
    </row>
    <row r="185" spans="1:14" ht="15.6" x14ac:dyDescent="0.3">
      <c r="A185" s="13" t="str">
        <f t="shared" si="6"/>
        <v>-</v>
      </c>
      <c r="B185" s="27"/>
      <c r="C185" s="26"/>
      <c r="D185" s="26"/>
      <c r="E185" s="26"/>
      <c r="F185" s="22"/>
      <c r="G185" s="34">
        <f>SUMIFS('BASE EXEC. Q.L'!N:N,'BASE EXEC. Q.L'!B:B,VOOS!A185)</f>
        <v>0</v>
      </c>
      <c r="H185" s="15" t="str">
        <f>IFERROR(_xlfn.XLOOKUP(A185,'BASE SQL PLANTIO'!B:B,'BASE SQL PLANTIO'!T:T,"verificar",0),"")</f>
        <v/>
      </c>
      <c r="I185" s="77" t="str">
        <f>IF(_xlfn.MINIFS('BASE SQL PLANTIO'!E:E,'BASE SQL PLANTIO'!B:B,VOOS!A185)=0/1/1900,"",_xlfn.MINIFS('BASE SQL PLANTIO'!E:E,'BASE SQL PLANTIO'!B:B,VOOS!A185))</f>
        <v/>
      </c>
      <c r="J185" s="26"/>
      <c r="K185" s="34" t="str">
        <f t="shared" si="7"/>
        <v/>
      </c>
      <c r="L185" s="35" t="str">
        <f t="shared" si="8"/>
        <v/>
      </c>
      <c r="M185" s="14"/>
      <c r="N185" s="16"/>
    </row>
    <row r="186" spans="1:14" ht="15.6" x14ac:dyDescent="0.3">
      <c r="A186" s="13" t="str">
        <f t="shared" si="6"/>
        <v>-</v>
      </c>
      <c r="B186" s="27"/>
      <c r="C186" s="26"/>
      <c r="D186" s="26"/>
      <c r="E186" s="26"/>
      <c r="F186" s="22"/>
      <c r="G186" s="34">
        <f>SUMIFS('BASE EXEC. Q.L'!N:N,'BASE EXEC. Q.L'!B:B,VOOS!A186)</f>
        <v>0</v>
      </c>
      <c r="H186" s="15" t="str">
        <f>IFERROR(_xlfn.XLOOKUP(A186,'BASE SQL PLANTIO'!B:B,'BASE SQL PLANTIO'!T:T,"verificar",0),"")</f>
        <v/>
      </c>
      <c r="I186" s="77" t="str">
        <f>IF(_xlfn.MINIFS('BASE SQL PLANTIO'!E:E,'BASE SQL PLANTIO'!B:B,VOOS!A186)=0/1/1900,"",_xlfn.MINIFS('BASE SQL PLANTIO'!E:E,'BASE SQL PLANTIO'!B:B,VOOS!A186))</f>
        <v/>
      </c>
      <c r="J186" s="26"/>
      <c r="K186" s="34" t="str">
        <f t="shared" si="7"/>
        <v/>
      </c>
      <c r="L186" s="35" t="str">
        <f t="shared" si="8"/>
        <v/>
      </c>
      <c r="M186" s="14"/>
      <c r="N186" s="16"/>
    </row>
    <row r="187" spans="1:14" ht="15.6" x14ac:dyDescent="0.3">
      <c r="A187" s="13" t="str">
        <f t="shared" si="6"/>
        <v>-</v>
      </c>
      <c r="B187" s="27"/>
      <c r="C187" s="26"/>
      <c r="D187" s="26"/>
      <c r="E187" s="26"/>
      <c r="F187" s="22"/>
      <c r="G187" s="34">
        <f>SUMIFS('BASE EXEC. Q.L'!N:N,'BASE EXEC. Q.L'!B:B,VOOS!A187)</f>
        <v>0</v>
      </c>
      <c r="H187" s="15" t="str">
        <f>IFERROR(_xlfn.XLOOKUP(A187,'BASE SQL PLANTIO'!B:B,'BASE SQL PLANTIO'!T:T,"verificar",0),"")</f>
        <v/>
      </c>
      <c r="I187" s="77" t="str">
        <f>IF(_xlfn.MINIFS('BASE SQL PLANTIO'!E:E,'BASE SQL PLANTIO'!B:B,VOOS!A187)=0/1/1900,"",_xlfn.MINIFS('BASE SQL PLANTIO'!E:E,'BASE SQL PLANTIO'!B:B,VOOS!A187))</f>
        <v/>
      </c>
      <c r="J187" s="26"/>
      <c r="K187" s="34" t="str">
        <f t="shared" si="7"/>
        <v/>
      </c>
      <c r="L187" s="35" t="str">
        <f t="shared" si="8"/>
        <v/>
      </c>
      <c r="M187" s="14"/>
      <c r="N187" s="16"/>
    </row>
    <row r="188" spans="1:14" ht="15.6" x14ac:dyDescent="0.3">
      <c r="A188" s="13" t="str">
        <f t="shared" si="6"/>
        <v>-</v>
      </c>
      <c r="B188" s="27"/>
      <c r="C188" s="26"/>
      <c r="D188" s="26"/>
      <c r="E188" s="26"/>
      <c r="F188" s="22"/>
      <c r="G188" s="34">
        <f>SUMIFS('BASE EXEC. Q.L'!N:N,'BASE EXEC. Q.L'!B:B,VOOS!A188)</f>
        <v>0</v>
      </c>
      <c r="H188" s="15" t="str">
        <f>IFERROR(_xlfn.XLOOKUP(A188,'BASE SQL PLANTIO'!B:B,'BASE SQL PLANTIO'!T:T,"verificar",0),"")</f>
        <v/>
      </c>
      <c r="I188" s="77" t="str">
        <f>IF(_xlfn.MINIFS('BASE SQL PLANTIO'!E:E,'BASE SQL PLANTIO'!B:B,VOOS!A188)=0/1/1900,"",_xlfn.MINIFS('BASE SQL PLANTIO'!E:E,'BASE SQL PLANTIO'!B:B,VOOS!A188))</f>
        <v/>
      </c>
      <c r="J188" s="26"/>
      <c r="K188" s="34" t="str">
        <f t="shared" si="7"/>
        <v/>
      </c>
      <c r="L188" s="35" t="str">
        <f t="shared" si="8"/>
        <v/>
      </c>
      <c r="M188" s="14"/>
      <c r="N188" s="16"/>
    </row>
    <row r="189" spans="1:14" ht="15.6" x14ac:dyDescent="0.3">
      <c r="A189" s="13" t="str">
        <f t="shared" si="6"/>
        <v>-</v>
      </c>
      <c r="B189" s="25"/>
      <c r="C189" s="25"/>
      <c r="D189" s="25"/>
      <c r="E189" s="25"/>
      <c r="F189" s="22"/>
      <c r="G189" s="34">
        <f>SUMIFS('BASE EXEC. Q.L'!N:N,'BASE EXEC. Q.L'!B:B,VOOS!A189)</f>
        <v>0</v>
      </c>
      <c r="H189" s="15" t="str">
        <f>IFERROR(_xlfn.XLOOKUP(A189,'BASE SQL PLANTIO'!B:B,'BASE SQL PLANTIO'!T:T,"verificar",0),"")</f>
        <v/>
      </c>
      <c r="I189" s="77" t="str">
        <f>IF(_xlfn.MINIFS('BASE SQL PLANTIO'!E:E,'BASE SQL PLANTIO'!B:B,VOOS!A189)=0/1/1900,"",_xlfn.MINIFS('BASE SQL PLANTIO'!E:E,'BASE SQL PLANTIO'!B:B,VOOS!A189))</f>
        <v/>
      </c>
      <c r="J189" s="26"/>
      <c r="K189" s="34" t="str">
        <f t="shared" si="7"/>
        <v/>
      </c>
      <c r="L189" s="35" t="str">
        <f t="shared" si="8"/>
        <v/>
      </c>
      <c r="M189" s="14"/>
      <c r="N189" s="16"/>
    </row>
    <row r="190" spans="1:14" ht="15.6" x14ac:dyDescent="0.3">
      <c r="A190" s="13" t="str">
        <f t="shared" si="6"/>
        <v>-</v>
      </c>
      <c r="B190" s="25"/>
      <c r="C190" s="25"/>
      <c r="D190" s="25"/>
      <c r="E190" s="25"/>
      <c r="F190" s="22"/>
      <c r="G190" s="34">
        <f>SUMIFS('BASE EXEC. Q.L'!N:N,'BASE EXEC. Q.L'!B:B,VOOS!A190)</f>
        <v>0</v>
      </c>
      <c r="H190" s="15" t="str">
        <f>IFERROR(_xlfn.XLOOKUP(A190,'BASE SQL PLANTIO'!B:B,'BASE SQL PLANTIO'!T:T,"verificar",0),"")</f>
        <v/>
      </c>
      <c r="I190" s="77" t="str">
        <f>IF(_xlfn.MINIFS('BASE SQL PLANTIO'!E:E,'BASE SQL PLANTIO'!B:B,VOOS!A190)=0/1/1900,"",_xlfn.MINIFS('BASE SQL PLANTIO'!E:E,'BASE SQL PLANTIO'!B:B,VOOS!A190))</f>
        <v/>
      </c>
      <c r="J190" s="26"/>
      <c r="K190" s="34" t="str">
        <f t="shared" si="7"/>
        <v/>
      </c>
      <c r="L190" s="35" t="str">
        <f t="shared" si="8"/>
        <v/>
      </c>
      <c r="M190" s="14"/>
      <c r="N190" s="16"/>
    </row>
    <row r="191" spans="1:14" ht="15.6" x14ac:dyDescent="0.3">
      <c r="A191" s="13" t="str">
        <f t="shared" si="6"/>
        <v>-</v>
      </c>
      <c r="B191" s="25"/>
      <c r="C191" s="25"/>
      <c r="D191" s="25"/>
      <c r="E191" s="25"/>
      <c r="F191" s="22"/>
      <c r="G191" s="34">
        <f>SUMIFS('BASE EXEC. Q.L'!N:N,'BASE EXEC. Q.L'!B:B,VOOS!A191)</f>
        <v>0</v>
      </c>
      <c r="H191" s="15" t="str">
        <f>IFERROR(_xlfn.XLOOKUP(A191,'BASE SQL PLANTIO'!B:B,'BASE SQL PLANTIO'!T:T,"verificar",0),"")</f>
        <v/>
      </c>
      <c r="I191" s="77" t="str">
        <f>IF(_xlfn.MINIFS('BASE SQL PLANTIO'!E:E,'BASE SQL PLANTIO'!B:B,VOOS!A191)=0/1/1900,"",_xlfn.MINIFS('BASE SQL PLANTIO'!E:E,'BASE SQL PLANTIO'!B:B,VOOS!A191))</f>
        <v/>
      </c>
      <c r="J191" s="26"/>
      <c r="K191" s="34" t="str">
        <f t="shared" si="7"/>
        <v/>
      </c>
      <c r="L191" s="35" t="str">
        <f t="shared" si="8"/>
        <v/>
      </c>
      <c r="M191" s="14"/>
      <c r="N191" s="16"/>
    </row>
    <row r="192" spans="1:14" ht="15.6" x14ac:dyDescent="0.3">
      <c r="A192" s="13" t="str">
        <f t="shared" si="6"/>
        <v>-</v>
      </c>
      <c r="B192" s="27"/>
      <c r="C192" s="22"/>
      <c r="D192" s="23"/>
      <c r="E192" s="23"/>
      <c r="F192" s="22"/>
      <c r="G192" s="34">
        <f>SUMIFS('BASE EXEC. Q.L'!N:N,'BASE EXEC. Q.L'!B:B,VOOS!A192)</f>
        <v>0</v>
      </c>
      <c r="H192" s="15" t="str">
        <f>IFERROR(_xlfn.XLOOKUP(A192,'BASE SQL PLANTIO'!B:B,'BASE SQL PLANTIO'!T:T,"verificar",0),"")</f>
        <v/>
      </c>
      <c r="I192" s="77" t="str">
        <f>IF(_xlfn.MINIFS('BASE SQL PLANTIO'!E:E,'BASE SQL PLANTIO'!B:B,VOOS!A192)=0/1/1900,"",_xlfn.MINIFS('BASE SQL PLANTIO'!E:E,'BASE SQL PLANTIO'!B:B,VOOS!A192))</f>
        <v/>
      </c>
      <c r="J192" s="22"/>
      <c r="K192" s="34" t="str">
        <f t="shared" si="7"/>
        <v/>
      </c>
      <c r="L192" s="35" t="str">
        <f t="shared" si="8"/>
        <v/>
      </c>
      <c r="M192" s="14"/>
      <c r="N192" s="16"/>
    </row>
    <row r="193" spans="1:14" ht="15.6" x14ac:dyDescent="0.3">
      <c r="A193" s="13" t="str">
        <f t="shared" si="6"/>
        <v>-</v>
      </c>
      <c r="B193" s="27"/>
      <c r="C193" s="26"/>
      <c r="D193" s="26"/>
      <c r="E193" s="26"/>
      <c r="F193" s="22"/>
      <c r="G193" s="34">
        <f>SUMIFS('BASE EXEC. Q.L'!N:N,'BASE EXEC. Q.L'!B:B,VOOS!A193)</f>
        <v>0</v>
      </c>
      <c r="H193" s="15" t="str">
        <f>IFERROR(_xlfn.XLOOKUP(A193,'BASE SQL PLANTIO'!B:B,'BASE SQL PLANTIO'!T:T,"verificar",0),"")</f>
        <v/>
      </c>
      <c r="I193" s="77" t="str">
        <f>IF(_xlfn.MINIFS('BASE SQL PLANTIO'!E:E,'BASE SQL PLANTIO'!B:B,VOOS!A193)=0/1/1900,"",_xlfn.MINIFS('BASE SQL PLANTIO'!E:E,'BASE SQL PLANTIO'!B:B,VOOS!A193))</f>
        <v/>
      </c>
      <c r="J193" s="26"/>
      <c r="K193" s="34" t="str">
        <f t="shared" si="7"/>
        <v/>
      </c>
      <c r="L193" s="35" t="str">
        <f t="shared" si="8"/>
        <v/>
      </c>
      <c r="M193" s="14"/>
      <c r="N193" s="16"/>
    </row>
    <row r="194" spans="1:14" ht="15.6" x14ac:dyDescent="0.3">
      <c r="A194" s="13" t="str">
        <f t="shared" si="6"/>
        <v>-</v>
      </c>
      <c r="B194" s="27"/>
      <c r="C194" s="26"/>
      <c r="D194" s="26"/>
      <c r="E194" s="26"/>
      <c r="F194" s="22"/>
      <c r="G194" s="34">
        <f>SUMIFS('BASE EXEC. Q.L'!N:N,'BASE EXEC. Q.L'!B:B,VOOS!A194)</f>
        <v>0</v>
      </c>
      <c r="H194" s="15" t="str">
        <f>IFERROR(_xlfn.XLOOKUP(A194,'BASE SQL PLANTIO'!B:B,'BASE SQL PLANTIO'!T:T,"verificar",0),"")</f>
        <v/>
      </c>
      <c r="I194" s="77" t="str">
        <f>IF(_xlfn.MINIFS('BASE SQL PLANTIO'!E:E,'BASE SQL PLANTIO'!B:B,VOOS!A194)=0/1/1900,"",_xlfn.MINIFS('BASE SQL PLANTIO'!E:E,'BASE SQL PLANTIO'!B:B,VOOS!A194))</f>
        <v/>
      </c>
      <c r="J194" s="26"/>
      <c r="K194" s="34" t="str">
        <f t="shared" si="7"/>
        <v/>
      </c>
      <c r="L194" s="35" t="str">
        <f t="shared" si="8"/>
        <v/>
      </c>
      <c r="M194" s="14"/>
      <c r="N194" s="16"/>
    </row>
    <row r="195" spans="1:14" ht="15.6" x14ac:dyDescent="0.3">
      <c r="A195" s="13" t="str">
        <f t="shared" si="6"/>
        <v>-</v>
      </c>
      <c r="B195" s="27"/>
      <c r="C195" s="26"/>
      <c r="D195" s="26"/>
      <c r="E195" s="26"/>
      <c r="F195" s="22"/>
      <c r="G195" s="34">
        <f>SUMIFS('BASE EXEC. Q.L'!N:N,'BASE EXEC. Q.L'!B:B,VOOS!A195)</f>
        <v>0</v>
      </c>
      <c r="H195" s="15" t="str">
        <f>IFERROR(_xlfn.XLOOKUP(A195,'BASE SQL PLANTIO'!B:B,'BASE SQL PLANTIO'!T:T,"verificar",0),"")</f>
        <v/>
      </c>
      <c r="I195" s="77" t="str">
        <f>IF(_xlfn.MINIFS('BASE SQL PLANTIO'!E:E,'BASE SQL PLANTIO'!B:B,VOOS!A195)=0/1/1900,"",_xlfn.MINIFS('BASE SQL PLANTIO'!E:E,'BASE SQL PLANTIO'!B:B,VOOS!A195))</f>
        <v/>
      </c>
      <c r="J195" s="26"/>
      <c r="K195" s="34" t="str">
        <f t="shared" si="7"/>
        <v/>
      </c>
      <c r="L195" s="35" t="str">
        <f t="shared" si="8"/>
        <v/>
      </c>
      <c r="M195" s="14"/>
      <c r="N195" s="16"/>
    </row>
    <row r="196" spans="1:14" ht="15.6" x14ac:dyDescent="0.3">
      <c r="A196" s="13" t="str">
        <f t="shared" si="6"/>
        <v>-</v>
      </c>
      <c r="B196" s="27"/>
      <c r="C196" s="26"/>
      <c r="D196" s="26"/>
      <c r="E196" s="26"/>
      <c r="F196" s="22"/>
      <c r="G196" s="34">
        <f>SUMIFS('BASE EXEC. Q.L'!N:N,'BASE EXEC. Q.L'!B:B,VOOS!A196)</f>
        <v>0</v>
      </c>
      <c r="H196" s="15" t="str">
        <f>IFERROR(_xlfn.XLOOKUP(A196,'BASE SQL PLANTIO'!B:B,'BASE SQL PLANTIO'!T:T,"verificar",0),"")</f>
        <v/>
      </c>
      <c r="I196" s="77" t="str">
        <f>IF(_xlfn.MINIFS('BASE SQL PLANTIO'!E:E,'BASE SQL PLANTIO'!B:B,VOOS!A196)=0/1/1900,"",_xlfn.MINIFS('BASE SQL PLANTIO'!E:E,'BASE SQL PLANTIO'!B:B,VOOS!A196))</f>
        <v/>
      </c>
      <c r="J196" s="26"/>
      <c r="K196" s="34" t="str">
        <f t="shared" si="7"/>
        <v/>
      </c>
      <c r="L196" s="35" t="str">
        <f t="shared" si="8"/>
        <v/>
      </c>
      <c r="M196" s="14"/>
      <c r="N196" s="16"/>
    </row>
    <row r="197" spans="1:14" ht="15.6" x14ac:dyDescent="0.3">
      <c r="A197" s="13" t="str">
        <f t="shared" ref="A197:A260" si="9">CONCATENATE(B197,"-",E197)</f>
        <v>-</v>
      </c>
      <c r="B197" s="27"/>
      <c r="C197" s="26"/>
      <c r="D197" s="26"/>
      <c r="E197" s="26"/>
      <c r="F197" s="22"/>
      <c r="G197" s="34">
        <f>SUMIFS('BASE EXEC. Q.L'!N:N,'BASE EXEC. Q.L'!B:B,VOOS!A197)</f>
        <v>0</v>
      </c>
      <c r="H197" s="15" t="str">
        <f>IFERROR(_xlfn.XLOOKUP(A197,'BASE SQL PLANTIO'!B:B,'BASE SQL PLANTIO'!T:T,"verificar",0),"")</f>
        <v/>
      </c>
      <c r="I197" s="77" t="str">
        <f>IF(_xlfn.MINIFS('BASE SQL PLANTIO'!E:E,'BASE SQL PLANTIO'!B:B,VOOS!A197)=0/1/1900,"",_xlfn.MINIFS('BASE SQL PLANTIO'!E:E,'BASE SQL PLANTIO'!B:B,VOOS!A197))</f>
        <v/>
      </c>
      <c r="J197" s="26"/>
      <c r="K197" s="34" t="str">
        <f t="shared" ref="K197:K260" si="10">IF(I197="","",$K$3-I197)</f>
        <v/>
      </c>
      <c r="L197" s="35" t="str">
        <f t="shared" ref="L197:L260" si="11">K197</f>
        <v/>
      </c>
      <c r="M197" s="14"/>
      <c r="N197" s="16"/>
    </row>
    <row r="198" spans="1:14" ht="15.6" x14ac:dyDescent="0.3">
      <c r="A198" s="13" t="str">
        <f t="shared" si="9"/>
        <v>-</v>
      </c>
      <c r="B198" s="27"/>
      <c r="C198" s="26"/>
      <c r="D198" s="26"/>
      <c r="E198" s="26"/>
      <c r="F198" s="22"/>
      <c r="G198" s="34">
        <f>SUMIFS('BASE EXEC. Q.L'!N:N,'BASE EXEC. Q.L'!B:B,VOOS!A198)</f>
        <v>0</v>
      </c>
      <c r="H198" s="15" t="str">
        <f>IFERROR(_xlfn.XLOOKUP(A198,'BASE SQL PLANTIO'!B:B,'BASE SQL PLANTIO'!T:T,"verificar",0),"")</f>
        <v/>
      </c>
      <c r="I198" s="77" t="str">
        <f>IF(_xlfn.MINIFS('BASE SQL PLANTIO'!E:E,'BASE SQL PLANTIO'!B:B,VOOS!A198)=0/1/1900,"",_xlfn.MINIFS('BASE SQL PLANTIO'!E:E,'BASE SQL PLANTIO'!B:B,VOOS!A198))</f>
        <v/>
      </c>
      <c r="J198" s="26"/>
      <c r="K198" s="34" t="str">
        <f t="shared" si="10"/>
        <v/>
      </c>
      <c r="L198" s="35" t="str">
        <f t="shared" si="11"/>
        <v/>
      </c>
      <c r="M198" s="14"/>
      <c r="N198" s="16"/>
    </row>
    <row r="199" spans="1:14" ht="15.6" x14ac:dyDescent="0.3">
      <c r="A199" s="13" t="str">
        <f t="shared" si="9"/>
        <v>-</v>
      </c>
      <c r="B199" s="27"/>
      <c r="C199" s="26"/>
      <c r="D199" s="26"/>
      <c r="E199" s="26"/>
      <c r="F199" s="22"/>
      <c r="G199" s="34">
        <f>SUMIFS('BASE EXEC. Q.L'!N:N,'BASE EXEC. Q.L'!B:B,VOOS!A199)</f>
        <v>0</v>
      </c>
      <c r="H199" s="15" t="str">
        <f>IFERROR(_xlfn.XLOOKUP(A199,'BASE SQL PLANTIO'!B:B,'BASE SQL PLANTIO'!T:T,"verificar",0),"")</f>
        <v/>
      </c>
      <c r="I199" s="77" t="str">
        <f>IF(_xlfn.MINIFS('BASE SQL PLANTIO'!E:E,'BASE SQL PLANTIO'!B:B,VOOS!A199)=0/1/1900,"",_xlfn.MINIFS('BASE SQL PLANTIO'!E:E,'BASE SQL PLANTIO'!B:B,VOOS!A199))</f>
        <v/>
      </c>
      <c r="J199" s="26"/>
      <c r="K199" s="34" t="str">
        <f t="shared" si="10"/>
        <v/>
      </c>
      <c r="L199" s="35" t="str">
        <f t="shared" si="11"/>
        <v/>
      </c>
      <c r="M199" s="14"/>
      <c r="N199" s="16"/>
    </row>
    <row r="200" spans="1:14" ht="15.6" x14ac:dyDescent="0.3">
      <c r="A200" s="13" t="str">
        <f t="shared" si="9"/>
        <v>-</v>
      </c>
      <c r="B200" s="27"/>
      <c r="C200" s="26"/>
      <c r="D200" s="26"/>
      <c r="E200" s="26"/>
      <c r="F200" s="22"/>
      <c r="G200" s="34">
        <f>SUMIFS('BASE EXEC. Q.L'!N:N,'BASE EXEC. Q.L'!B:B,VOOS!A200)</f>
        <v>0</v>
      </c>
      <c r="H200" s="15" t="str">
        <f>IFERROR(_xlfn.XLOOKUP(A200,'BASE SQL PLANTIO'!B:B,'BASE SQL PLANTIO'!T:T,"verificar",0),"")</f>
        <v/>
      </c>
      <c r="I200" s="77" t="str">
        <f>IF(_xlfn.MINIFS('BASE SQL PLANTIO'!E:E,'BASE SQL PLANTIO'!B:B,VOOS!A200)=0/1/1900,"",_xlfn.MINIFS('BASE SQL PLANTIO'!E:E,'BASE SQL PLANTIO'!B:B,VOOS!A200))</f>
        <v/>
      </c>
      <c r="J200" s="26"/>
      <c r="K200" s="34" t="str">
        <f t="shared" si="10"/>
        <v/>
      </c>
      <c r="L200" s="35" t="str">
        <f t="shared" si="11"/>
        <v/>
      </c>
      <c r="M200" s="14"/>
      <c r="N200" s="16"/>
    </row>
    <row r="201" spans="1:14" ht="15.6" x14ac:dyDescent="0.3">
      <c r="A201" s="13" t="str">
        <f t="shared" si="9"/>
        <v>-</v>
      </c>
      <c r="B201" s="27"/>
      <c r="C201" s="26"/>
      <c r="D201" s="26"/>
      <c r="E201" s="26"/>
      <c r="F201" s="22"/>
      <c r="G201" s="34">
        <f>SUMIFS('BASE EXEC. Q.L'!N:N,'BASE EXEC. Q.L'!B:B,VOOS!A201)</f>
        <v>0</v>
      </c>
      <c r="H201" s="15" t="str">
        <f>IFERROR(_xlfn.XLOOKUP(A201,'BASE SQL PLANTIO'!B:B,'BASE SQL PLANTIO'!T:T,"verificar",0),"")</f>
        <v/>
      </c>
      <c r="I201" s="77" t="str">
        <f>IF(_xlfn.MINIFS('BASE SQL PLANTIO'!E:E,'BASE SQL PLANTIO'!B:B,VOOS!A201)=0/1/1900,"",_xlfn.MINIFS('BASE SQL PLANTIO'!E:E,'BASE SQL PLANTIO'!B:B,VOOS!A201))</f>
        <v/>
      </c>
      <c r="J201" s="26"/>
      <c r="K201" s="34" t="str">
        <f t="shared" si="10"/>
        <v/>
      </c>
      <c r="L201" s="35" t="str">
        <f t="shared" si="11"/>
        <v/>
      </c>
      <c r="M201" s="14"/>
      <c r="N201" s="16"/>
    </row>
    <row r="202" spans="1:14" ht="15.6" x14ac:dyDescent="0.3">
      <c r="A202" s="13" t="str">
        <f t="shared" si="9"/>
        <v>-</v>
      </c>
      <c r="B202" s="25"/>
      <c r="C202" s="25"/>
      <c r="D202" s="25"/>
      <c r="E202" s="25"/>
      <c r="F202" s="28"/>
      <c r="G202" s="34">
        <f>SUMIFS('BASE EXEC. Q.L'!N:N,'BASE EXEC. Q.L'!B:B,VOOS!A202)</f>
        <v>0</v>
      </c>
      <c r="H202" s="15" t="str">
        <f>IFERROR(_xlfn.XLOOKUP(A202,'BASE SQL PLANTIO'!B:B,'BASE SQL PLANTIO'!T:T,"verificar",0),"")</f>
        <v/>
      </c>
      <c r="I202" s="77" t="str">
        <f>IF(_xlfn.MINIFS('BASE SQL PLANTIO'!E:E,'BASE SQL PLANTIO'!B:B,VOOS!A202)=0/1/1900,"",_xlfn.MINIFS('BASE SQL PLANTIO'!E:E,'BASE SQL PLANTIO'!B:B,VOOS!A202))</f>
        <v/>
      </c>
      <c r="J202" s="26"/>
      <c r="K202" s="34" t="str">
        <f t="shared" si="10"/>
        <v/>
      </c>
      <c r="L202" s="35" t="str">
        <f t="shared" si="11"/>
        <v/>
      </c>
      <c r="M202" s="14"/>
      <c r="N202" s="16"/>
    </row>
    <row r="203" spans="1:14" ht="15.6" x14ac:dyDescent="0.3">
      <c r="A203" s="13" t="str">
        <f t="shared" si="9"/>
        <v>-</v>
      </c>
      <c r="B203" s="27"/>
      <c r="C203" s="26"/>
      <c r="D203" s="26"/>
      <c r="E203" s="26"/>
      <c r="F203" s="22"/>
      <c r="G203" s="34">
        <f>SUMIFS('BASE EXEC. Q.L'!N:N,'BASE EXEC. Q.L'!B:B,VOOS!A203)</f>
        <v>0</v>
      </c>
      <c r="H203" s="15" t="str">
        <f>IFERROR(_xlfn.XLOOKUP(A203,'BASE SQL PLANTIO'!B:B,'BASE SQL PLANTIO'!T:T,"verificar",0),"")</f>
        <v/>
      </c>
      <c r="I203" s="77" t="str">
        <f>IF(_xlfn.MINIFS('BASE SQL PLANTIO'!E:E,'BASE SQL PLANTIO'!B:B,VOOS!A203)=0/1/1900,"",_xlfn.MINIFS('BASE SQL PLANTIO'!E:E,'BASE SQL PLANTIO'!B:B,VOOS!A203))</f>
        <v/>
      </c>
      <c r="J203" s="26"/>
      <c r="K203" s="34" t="str">
        <f t="shared" si="10"/>
        <v/>
      </c>
      <c r="L203" s="35" t="str">
        <f t="shared" si="11"/>
        <v/>
      </c>
      <c r="M203" s="14"/>
      <c r="N203" s="16"/>
    </row>
    <row r="204" spans="1:14" ht="15.6" x14ac:dyDescent="0.3">
      <c r="A204" s="13" t="str">
        <f t="shared" si="9"/>
        <v>-</v>
      </c>
      <c r="B204" s="27"/>
      <c r="C204" s="26"/>
      <c r="D204" s="26"/>
      <c r="E204" s="26"/>
      <c r="F204" s="22"/>
      <c r="G204" s="34">
        <f>SUMIFS('BASE EXEC. Q.L'!N:N,'BASE EXEC. Q.L'!B:B,VOOS!A204)</f>
        <v>0</v>
      </c>
      <c r="H204" s="15" t="str">
        <f>IFERROR(_xlfn.XLOOKUP(A204,'BASE SQL PLANTIO'!B:B,'BASE SQL PLANTIO'!T:T,"verificar",0),"")</f>
        <v/>
      </c>
      <c r="I204" s="77" t="str">
        <f>IF(_xlfn.MINIFS('BASE SQL PLANTIO'!E:E,'BASE SQL PLANTIO'!B:B,VOOS!A204)=0/1/1900,"",_xlfn.MINIFS('BASE SQL PLANTIO'!E:E,'BASE SQL PLANTIO'!B:B,VOOS!A204))</f>
        <v/>
      </c>
      <c r="J204" s="26"/>
      <c r="K204" s="34" t="str">
        <f t="shared" si="10"/>
        <v/>
      </c>
      <c r="L204" s="35" t="str">
        <f t="shared" si="11"/>
        <v/>
      </c>
      <c r="M204" s="14"/>
      <c r="N204" s="16"/>
    </row>
    <row r="205" spans="1:14" ht="15.6" x14ac:dyDescent="0.3">
      <c r="A205" s="13" t="str">
        <f t="shared" si="9"/>
        <v>-</v>
      </c>
      <c r="B205" s="27"/>
      <c r="C205" s="26"/>
      <c r="D205" s="26"/>
      <c r="E205" s="26"/>
      <c r="F205" s="22"/>
      <c r="G205" s="34">
        <f>SUMIFS('BASE EXEC. Q.L'!N:N,'BASE EXEC. Q.L'!B:B,VOOS!A205)</f>
        <v>0</v>
      </c>
      <c r="H205" s="15" t="str">
        <f>IFERROR(_xlfn.XLOOKUP(A205,'BASE SQL PLANTIO'!B:B,'BASE SQL PLANTIO'!T:T,"verificar",0),"")</f>
        <v/>
      </c>
      <c r="I205" s="77" t="str">
        <f>IF(_xlfn.MINIFS('BASE SQL PLANTIO'!E:E,'BASE SQL PLANTIO'!B:B,VOOS!A205)=0/1/1900,"",_xlfn.MINIFS('BASE SQL PLANTIO'!E:E,'BASE SQL PLANTIO'!B:B,VOOS!A205))</f>
        <v/>
      </c>
      <c r="J205" s="26"/>
      <c r="K205" s="34" t="str">
        <f t="shared" si="10"/>
        <v/>
      </c>
      <c r="L205" s="35" t="str">
        <f t="shared" si="11"/>
        <v/>
      </c>
      <c r="M205" s="14"/>
      <c r="N205" s="16"/>
    </row>
    <row r="206" spans="1:14" ht="15.6" x14ac:dyDescent="0.3">
      <c r="A206" s="13" t="str">
        <f t="shared" si="9"/>
        <v>-</v>
      </c>
      <c r="B206" s="25"/>
      <c r="C206" s="25"/>
      <c r="D206" s="25"/>
      <c r="E206" s="25"/>
      <c r="F206" s="22"/>
      <c r="G206" s="34">
        <f>SUMIFS('BASE EXEC. Q.L'!N:N,'BASE EXEC. Q.L'!B:B,VOOS!A206)</f>
        <v>0</v>
      </c>
      <c r="H206" s="15" t="str">
        <f>IFERROR(_xlfn.XLOOKUP(A206,'BASE SQL PLANTIO'!B:B,'BASE SQL PLANTIO'!T:T,"verificar",0),"")</f>
        <v/>
      </c>
      <c r="I206" s="77" t="str">
        <f>IF(_xlfn.MINIFS('BASE SQL PLANTIO'!E:E,'BASE SQL PLANTIO'!B:B,VOOS!A206)=0/1/1900,"",_xlfn.MINIFS('BASE SQL PLANTIO'!E:E,'BASE SQL PLANTIO'!B:B,VOOS!A206))</f>
        <v/>
      </c>
      <c r="J206" s="26"/>
      <c r="K206" s="34" t="str">
        <f t="shared" si="10"/>
        <v/>
      </c>
      <c r="L206" s="35" t="str">
        <f t="shared" si="11"/>
        <v/>
      </c>
      <c r="M206" s="14"/>
      <c r="N206" s="16"/>
    </row>
    <row r="207" spans="1:14" ht="15.6" x14ac:dyDescent="0.3">
      <c r="A207" s="13" t="str">
        <f t="shared" si="9"/>
        <v>-</v>
      </c>
      <c r="B207" s="27"/>
      <c r="C207" s="26"/>
      <c r="D207" s="26"/>
      <c r="E207" s="26"/>
      <c r="F207" s="22"/>
      <c r="G207" s="34">
        <f>SUMIFS('BASE EXEC. Q.L'!N:N,'BASE EXEC. Q.L'!B:B,VOOS!A207)</f>
        <v>0</v>
      </c>
      <c r="H207" s="15" t="str">
        <f>IFERROR(_xlfn.XLOOKUP(A207,'BASE SQL PLANTIO'!B:B,'BASE SQL PLANTIO'!T:T,"verificar",0),"")</f>
        <v/>
      </c>
      <c r="I207" s="77" t="str">
        <f>IF(_xlfn.MINIFS('BASE SQL PLANTIO'!E:E,'BASE SQL PLANTIO'!B:B,VOOS!A207)=0/1/1900,"",_xlfn.MINIFS('BASE SQL PLANTIO'!E:E,'BASE SQL PLANTIO'!B:B,VOOS!A207))</f>
        <v/>
      </c>
      <c r="J207" s="26"/>
      <c r="K207" s="34" t="str">
        <f t="shared" si="10"/>
        <v/>
      </c>
      <c r="L207" s="35" t="str">
        <f t="shared" si="11"/>
        <v/>
      </c>
      <c r="M207" s="14"/>
      <c r="N207" s="15"/>
    </row>
    <row r="208" spans="1:14" ht="15.6" x14ac:dyDescent="0.3">
      <c r="A208" s="13" t="str">
        <f t="shared" si="9"/>
        <v>-</v>
      </c>
      <c r="B208" s="27"/>
      <c r="C208" s="26"/>
      <c r="D208" s="26"/>
      <c r="E208" s="26"/>
      <c r="F208" s="22"/>
      <c r="G208" s="34">
        <f>SUMIFS('BASE EXEC. Q.L'!N:N,'BASE EXEC. Q.L'!B:B,VOOS!A208)</f>
        <v>0</v>
      </c>
      <c r="H208" s="15" t="str">
        <f>IFERROR(_xlfn.XLOOKUP(A208,'BASE SQL PLANTIO'!B:B,'BASE SQL PLANTIO'!T:T,"verificar",0),"")</f>
        <v/>
      </c>
      <c r="I208" s="77" t="str">
        <f>IF(_xlfn.MINIFS('BASE SQL PLANTIO'!E:E,'BASE SQL PLANTIO'!B:B,VOOS!A208)=0/1/1900,"",_xlfn.MINIFS('BASE SQL PLANTIO'!E:E,'BASE SQL PLANTIO'!B:B,VOOS!A208))</f>
        <v/>
      </c>
      <c r="J208" s="26"/>
      <c r="K208" s="34" t="str">
        <f t="shared" si="10"/>
        <v/>
      </c>
      <c r="L208" s="35" t="str">
        <f t="shared" si="11"/>
        <v/>
      </c>
      <c r="M208" s="14"/>
      <c r="N208" s="16"/>
    </row>
    <row r="209" spans="1:14" ht="15.6" x14ac:dyDescent="0.3">
      <c r="A209" s="13" t="str">
        <f t="shared" si="9"/>
        <v>-</v>
      </c>
      <c r="B209" s="27"/>
      <c r="C209" s="26"/>
      <c r="D209" s="26"/>
      <c r="E209" s="26"/>
      <c r="F209" s="22"/>
      <c r="G209" s="34">
        <f>SUMIFS('BASE EXEC. Q.L'!N:N,'BASE EXEC. Q.L'!B:B,VOOS!A209)</f>
        <v>0</v>
      </c>
      <c r="H209" s="15" t="str">
        <f>IFERROR(_xlfn.XLOOKUP(A209,'BASE SQL PLANTIO'!B:B,'BASE SQL PLANTIO'!T:T,"verificar",0),"")</f>
        <v/>
      </c>
      <c r="I209" s="77" t="str">
        <f>IF(_xlfn.MINIFS('BASE SQL PLANTIO'!E:E,'BASE SQL PLANTIO'!B:B,VOOS!A209)=0/1/1900,"",_xlfn.MINIFS('BASE SQL PLANTIO'!E:E,'BASE SQL PLANTIO'!B:B,VOOS!A209))</f>
        <v/>
      </c>
      <c r="J209" s="26"/>
      <c r="K209" s="34" t="str">
        <f t="shared" si="10"/>
        <v/>
      </c>
      <c r="L209" s="35" t="str">
        <f t="shared" si="11"/>
        <v/>
      </c>
      <c r="M209" s="14"/>
      <c r="N209" s="16"/>
    </row>
    <row r="210" spans="1:14" ht="15.6" x14ac:dyDescent="0.3">
      <c r="A210" s="13" t="str">
        <f t="shared" si="9"/>
        <v>-</v>
      </c>
      <c r="B210" s="27"/>
      <c r="C210" s="26"/>
      <c r="D210" s="26"/>
      <c r="E210" s="26"/>
      <c r="F210" s="22"/>
      <c r="G210" s="34">
        <f>SUMIFS('BASE EXEC. Q.L'!N:N,'BASE EXEC. Q.L'!B:B,VOOS!A210)</f>
        <v>0</v>
      </c>
      <c r="H210" s="15" t="str">
        <f>IFERROR(_xlfn.XLOOKUP(A210,'BASE SQL PLANTIO'!B:B,'BASE SQL PLANTIO'!T:T,"verificar",0),"")</f>
        <v/>
      </c>
      <c r="I210" s="77" t="str">
        <f>IF(_xlfn.MINIFS('BASE SQL PLANTIO'!E:E,'BASE SQL PLANTIO'!B:B,VOOS!A210)=0/1/1900,"",_xlfn.MINIFS('BASE SQL PLANTIO'!E:E,'BASE SQL PLANTIO'!B:B,VOOS!A210))</f>
        <v/>
      </c>
      <c r="J210" s="26"/>
      <c r="K210" s="34" t="str">
        <f t="shared" si="10"/>
        <v/>
      </c>
      <c r="L210" s="35" t="str">
        <f t="shared" si="11"/>
        <v/>
      </c>
      <c r="M210" s="14"/>
      <c r="N210" s="16"/>
    </row>
    <row r="211" spans="1:14" ht="15.6" x14ac:dyDescent="0.3">
      <c r="A211" s="13" t="str">
        <f t="shared" si="9"/>
        <v>-</v>
      </c>
      <c r="B211" s="27"/>
      <c r="C211" s="26"/>
      <c r="D211" s="26"/>
      <c r="E211" s="26"/>
      <c r="F211" s="22"/>
      <c r="G211" s="34">
        <f>SUMIFS('BASE EXEC. Q.L'!N:N,'BASE EXEC. Q.L'!B:B,VOOS!A211)</f>
        <v>0</v>
      </c>
      <c r="H211" s="15" t="str">
        <f>IFERROR(_xlfn.XLOOKUP(A211,'BASE SQL PLANTIO'!B:B,'BASE SQL PLANTIO'!T:T,"verificar",0),"")</f>
        <v/>
      </c>
      <c r="I211" s="77" t="str">
        <f>IF(_xlfn.MINIFS('BASE SQL PLANTIO'!E:E,'BASE SQL PLANTIO'!B:B,VOOS!A211)=0/1/1900,"",_xlfn.MINIFS('BASE SQL PLANTIO'!E:E,'BASE SQL PLANTIO'!B:B,VOOS!A211))</f>
        <v/>
      </c>
      <c r="J211" s="26"/>
      <c r="K211" s="34" t="str">
        <f t="shared" si="10"/>
        <v/>
      </c>
      <c r="L211" s="35" t="str">
        <f t="shared" si="11"/>
        <v/>
      </c>
      <c r="M211" s="14"/>
      <c r="N211" s="16"/>
    </row>
    <row r="212" spans="1:14" ht="15.6" x14ac:dyDescent="0.3">
      <c r="A212" s="13" t="str">
        <f t="shared" si="9"/>
        <v>-</v>
      </c>
      <c r="B212" s="27"/>
      <c r="C212" s="26"/>
      <c r="D212" s="26"/>
      <c r="E212" s="26"/>
      <c r="F212" s="22"/>
      <c r="G212" s="34">
        <f>SUMIFS('BASE EXEC. Q.L'!N:N,'BASE EXEC. Q.L'!B:B,VOOS!A212)</f>
        <v>0</v>
      </c>
      <c r="H212" s="15" t="str">
        <f>IFERROR(_xlfn.XLOOKUP(A212,'BASE SQL PLANTIO'!B:B,'BASE SQL PLANTIO'!T:T,"verificar",0),"")</f>
        <v/>
      </c>
      <c r="I212" s="77" t="str">
        <f>IF(_xlfn.MINIFS('BASE SQL PLANTIO'!E:E,'BASE SQL PLANTIO'!B:B,VOOS!A212)=0/1/1900,"",_xlfn.MINIFS('BASE SQL PLANTIO'!E:E,'BASE SQL PLANTIO'!B:B,VOOS!A212))</f>
        <v/>
      </c>
      <c r="J212" s="26"/>
      <c r="K212" s="34" t="str">
        <f t="shared" si="10"/>
        <v/>
      </c>
      <c r="L212" s="35" t="str">
        <f t="shared" si="11"/>
        <v/>
      </c>
      <c r="M212" s="14"/>
      <c r="N212" s="16"/>
    </row>
    <row r="213" spans="1:14" ht="15.6" x14ac:dyDescent="0.3">
      <c r="A213" s="13" t="str">
        <f t="shared" si="9"/>
        <v>-</v>
      </c>
      <c r="B213" s="27"/>
      <c r="C213" s="26"/>
      <c r="D213" s="26"/>
      <c r="E213" s="26"/>
      <c r="F213" s="22"/>
      <c r="G213" s="34">
        <f>SUMIFS('BASE EXEC. Q.L'!N:N,'BASE EXEC. Q.L'!B:B,VOOS!A213)</f>
        <v>0</v>
      </c>
      <c r="H213" s="15" t="str">
        <f>IFERROR(_xlfn.XLOOKUP(A213,'BASE SQL PLANTIO'!B:B,'BASE SQL PLANTIO'!T:T,"verificar",0),"")</f>
        <v/>
      </c>
      <c r="I213" s="77" t="str">
        <f>IF(_xlfn.MINIFS('BASE SQL PLANTIO'!E:E,'BASE SQL PLANTIO'!B:B,VOOS!A213)=0/1/1900,"",_xlfn.MINIFS('BASE SQL PLANTIO'!E:E,'BASE SQL PLANTIO'!B:B,VOOS!A213))</f>
        <v/>
      </c>
      <c r="J213" s="26"/>
      <c r="K213" s="34" t="str">
        <f t="shared" si="10"/>
        <v/>
      </c>
      <c r="L213" s="35" t="str">
        <f t="shared" si="11"/>
        <v/>
      </c>
      <c r="M213" s="14"/>
      <c r="N213" s="16"/>
    </row>
    <row r="214" spans="1:14" ht="15.6" x14ac:dyDescent="0.3">
      <c r="A214" s="13" t="str">
        <f t="shared" si="9"/>
        <v>-</v>
      </c>
      <c r="B214" s="27"/>
      <c r="C214" s="26"/>
      <c r="D214" s="26"/>
      <c r="E214" s="26"/>
      <c r="F214" s="22"/>
      <c r="G214" s="34">
        <f>SUMIFS('BASE EXEC. Q.L'!N:N,'BASE EXEC. Q.L'!B:B,VOOS!A214)</f>
        <v>0</v>
      </c>
      <c r="H214" s="15" t="str">
        <f>IFERROR(_xlfn.XLOOKUP(A214,'BASE SQL PLANTIO'!B:B,'BASE SQL PLANTIO'!T:T,"verificar",0),"")</f>
        <v/>
      </c>
      <c r="I214" s="77" t="str">
        <f>IF(_xlfn.MINIFS('BASE SQL PLANTIO'!E:E,'BASE SQL PLANTIO'!B:B,VOOS!A214)=0/1/1900,"",_xlfn.MINIFS('BASE SQL PLANTIO'!E:E,'BASE SQL PLANTIO'!B:B,VOOS!A214))</f>
        <v/>
      </c>
      <c r="J214" s="26"/>
      <c r="K214" s="34" t="str">
        <f t="shared" si="10"/>
        <v/>
      </c>
      <c r="L214" s="35" t="str">
        <f t="shared" si="11"/>
        <v/>
      </c>
      <c r="M214" s="14"/>
      <c r="N214" s="16"/>
    </row>
    <row r="215" spans="1:14" ht="15.6" x14ac:dyDescent="0.3">
      <c r="A215" s="13" t="str">
        <f t="shared" si="9"/>
        <v>-</v>
      </c>
      <c r="B215" s="27"/>
      <c r="C215" s="26"/>
      <c r="D215" s="26"/>
      <c r="E215" s="26"/>
      <c r="F215" s="22"/>
      <c r="G215" s="34">
        <f>SUMIFS('BASE EXEC. Q.L'!N:N,'BASE EXEC. Q.L'!B:B,VOOS!A215)</f>
        <v>0</v>
      </c>
      <c r="H215" s="15" t="str">
        <f>IFERROR(_xlfn.XLOOKUP(A215,'BASE SQL PLANTIO'!B:B,'BASE SQL PLANTIO'!T:T,"verificar",0),"")</f>
        <v/>
      </c>
      <c r="I215" s="77" t="str">
        <f>IF(_xlfn.MINIFS('BASE SQL PLANTIO'!E:E,'BASE SQL PLANTIO'!B:B,VOOS!A215)=0/1/1900,"",_xlfn.MINIFS('BASE SQL PLANTIO'!E:E,'BASE SQL PLANTIO'!B:B,VOOS!A215))</f>
        <v/>
      </c>
      <c r="J215" s="26"/>
      <c r="K215" s="34" t="str">
        <f t="shared" si="10"/>
        <v/>
      </c>
      <c r="L215" s="35" t="str">
        <f t="shared" si="11"/>
        <v/>
      </c>
      <c r="M215" s="14"/>
      <c r="N215" s="16"/>
    </row>
    <row r="216" spans="1:14" ht="15.6" x14ac:dyDescent="0.3">
      <c r="A216" s="13" t="str">
        <f t="shared" si="9"/>
        <v>-</v>
      </c>
      <c r="B216" s="27"/>
      <c r="C216" s="26"/>
      <c r="D216" s="26"/>
      <c r="E216" s="26"/>
      <c r="F216" s="22"/>
      <c r="G216" s="34">
        <f>SUMIFS('BASE EXEC. Q.L'!N:N,'BASE EXEC. Q.L'!B:B,VOOS!A216)</f>
        <v>0</v>
      </c>
      <c r="H216" s="15" t="str">
        <f>IFERROR(_xlfn.XLOOKUP(A216,'BASE SQL PLANTIO'!B:B,'BASE SQL PLANTIO'!T:T,"verificar",0),"")</f>
        <v/>
      </c>
      <c r="I216" s="77" t="str">
        <f>IF(_xlfn.MINIFS('BASE SQL PLANTIO'!E:E,'BASE SQL PLANTIO'!B:B,VOOS!A216)=0/1/1900,"",_xlfn.MINIFS('BASE SQL PLANTIO'!E:E,'BASE SQL PLANTIO'!B:B,VOOS!A216))</f>
        <v/>
      </c>
      <c r="J216" s="26"/>
      <c r="K216" s="34" t="str">
        <f t="shared" si="10"/>
        <v/>
      </c>
      <c r="L216" s="35" t="str">
        <f t="shared" si="11"/>
        <v/>
      </c>
      <c r="M216" s="14"/>
      <c r="N216" s="16"/>
    </row>
    <row r="217" spans="1:14" ht="15.6" x14ac:dyDescent="0.3">
      <c r="A217" s="13" t="str">
        <f t="shared" si="9"/>
        <v>-</v>
      </c>
      <c r="B217" s="27"/>
      <c r="C217" s="26"/>
      <c r="D217" s="26"/>
      <c r="E217" s="26"/>
      <c r="F217" s="22"/>
      <c r="G217" s="34">
        <f>SUMIFS('BASE EXEC. Q.L'!N:N,'BASE EXEC. Q.L'!B:B,VOOS!A217)</f>
        <v>0</v>
      </c>
      <c r="H217" s="15" t="str">
        <f>IFERROR(_xlfn.XLOOKUP(A217,'BASE SQL PLANTIO'!B:B,'BASE SQL PLANTIO'!T:T,"verificar",0),"")</f>
        <v/>
      </c>
      <c r="I217" s="77" t="str">
        <f>IF(_xlfn.MINIFS('BASE SQL PLANTIO'!E:E,'BASE SQL PLANTIO'!B:B,VOOS!A217)=0/1/1900,"",_xlfn.MINIFS('BASE SQL PLANTIO'!E:E,'BASE SQL PLANTIO'!B:B,VOOS!A217))</f>
        <v/>
      </c>
      <c r="J217" s="26"/>
      <c r="K217" s="34" t="str">
        <f t="shared" si="10"/>
        <v/>
      </c>
      <c r="L217" s="35" t="str">
        <f t="shared" si="11"/>
        <v/>
      </c>
      <c r="M217" s="14"/>
      <c r="N217" s="16"/>
    </row>
    <row r="218" spans="1:14" ht="15.6" x14ac:dyDescent="0.3">
      <c r="A218" s="13" t="str">
        <f t="shared" si="9"/>
        <v>-</v>
      </c>
      <c r="B218" s="27"/>
      <c r="C218" s="26"/>
      <c r="D218" s="26"/>
      <c r="E218" s="26"/>
      <c r="F218" s="22"/>
      <c r="G218" s="34">
        <f>SUMIFS('BASE EXEC. Q.L'!N:N,'BASE EXEC. Q.L'!B:B,VOOS!A218)</f>
        <v>0</v>
      </c>
      <c r="H218" s="15" t="str">
        <f>IFERROR(_xlfn.XLOOKUP(A218,'BASE SQL PLANTIO'!B:B,'BASE SQL PLANTIO'!T:T,"verificar",0),"")</f>
        <v/>
      </c>
      <c r="I218" s="77" t="str">
        <f>IF(_xlfn.MINIFS('BASE SQL PLANTIO'!E:E,'BASE SQL PLANTIO'!B:B,VOOS!A218)=0/1/1900,"",_xlfn.MINIFS('BASE SQL PLANTIO'!E:E,'BASE SQL PLANTIO'!B:B,VOOS!A218))</f>
        <v/>
      </c>
      <c r="J218" s="26"/>
      <c r="K218" s="34" t="str">
        <f t="shared" si="10"/>
        <v/>
      </c>
      <c r="L218" s="35" t="str">
        <f t="shared" si="11"/>
        <v/>
      </c>
      <c r="M218" s="14"/>
      <c r="N218" s="16"/>
    </row>
    <row r="219" spans="1:14" ht="15.6" x14ac:dyDescent="0.3">
      <c r="A219" s="13" t="str">
        <f t="shared" si="9"/>
        <v>-</v>
      </c>
      <c r="B219" s="25"/>
      <c r="C219" s="25"/>
      <c r="D219" s="25"/>
      <c r="E219" s="25"/>
      <c r="F219" s="22"/>
      <c r="G219" s="34">
        <f>SUMIFS('BASE EXEC. Q.L'!N:N,'BASE EXEC. Q.L'!B:B,VOOS!A219)</f>
        <v>0</v>
      </c>
      <c r="H219" s="15" t="str">
        <f>IFERROR(_xlfn.XLOOKUP(A219,'BASE SQL PLANTIO'!B:B,'BASE SQL PLANTIO'!T:T,"verificar",0),"")</f>
        <v/>
      </c>
      <c r="I219" s="77" t="str">
        <f>IF(_xlfn.MINIFS('BASE SQL PLANTIO'!E:E,'BASE SQL PLANTIO'!B:B,VOOS!A219)=0/1/1900,"",_xlfn.MINIFS('BASE SQL PLANTIO'!E:E,'BASE SQL PLANTIO'!B:B,VOOS!A219))</f>
        <v/>
      </c>
      <c r="J219" s="26"/>
      <c r="K219" s="34" t="str">
        <f t="shared" si="10"/>
        <v/>
      </c>
      <c r="L219" s="35" t="str">
        <f t="shared" si="11"/>
        <v/>
      </c>
      <c r="M219" s="14"/>
      <c r="N219" s="15"/>
    </row>
    <row r="220" spans="1:14" ht="15.6" x14ac:dyDescent="0.3">
      <c r="A220" s="13" t="str">
        <f t="shared" si="9"/>
        <v>-</v>
      </c>
      <c r="B220" s="25"/>
      <c r="C220" s="25"/>
      <c r="D220" s="25"/>
      <c r="E220" s="25"/>
      <c r="F220" s="22"/>
      <c r="G220" s="34">
        <f>SUMIFS('BASE EXEC. Q.L'!N:N,'BASE EXEC. Q.L'!B:B,VOOS!A220)</f>
        <v>0</v>
      </c>
      <c r="H220" s="15" t="str">
        <f>IFERROR(_xlfn.XLOOKUP(A220,'BASE SQL PLANTIO'!B:B,'BASE SQL PLANTIO'!T:T,"verificar",0),"")</f>
        <v/>
      </c>
      <c r="I220" s="77" t="str">
        <f>IF(_xlfn.MINIFS('BASE SQL PLANTIO'!E:E,'BASE SQL PLANTIO'!B:B,VOOS!A220)=0/1/1900,"",_xlfn.MINIFS('BASE SQL PLANTIO'!E:E,'BASE SQL PLANTIO'!B:B,VOOS!A220))</f>
        <v/>
      </c>
      <c r="J220" s="26"/>
      <c r="K220" s="34" t="str">
        <f t="shared" si="10"/>
        <v/>
      </c>
      <c r="L220" s="35" t="str">
        <f t="shared" si="11"/>
        <v/>
      </c>
      <c r="M220" s="14"/>
      <c r="N220" s="16"/>
    </row>
    <row r="221" spans="1:14" ht="15.6" x14ac:dyDescent="0.3">
      <c r="A221" s="13" t="str">
        <f t="shared" si="9"/>
        <v>-</v>
      </c>
      <c r="B221" s="27"/>
      <c r="C221" s="26"/>
      <c r="D221" s="26"/>
      <c r="E221" s="26"/>
      <c r="F221" s="22"/>
      <c r="G221" s="34">
        <f>SUMIFS('BASE EXEC. Q.L'!N:N,'BASE EXEC. Q.L'!B:B,VOOS!A221)</f>
        <v>0</v>
      </c>
      <c r="H221" s="15" t="str">
        <f>IFERROR(_xlfn.XLOOKUP(A221,'BASE SQL PLANTIO'!B:B,'BASE SQL PLANTIO'!T:T,"verificar",0),"")</f>
        <v/>
      </c>
      <c r="I221" s="77" t="str">
        <f>IF(_xlfn.MINIFS('BASE SQL PLANTIO'!E:E,'BASE SQL PLANTIO'!B:B,VOOS!A221)=0/1/1900,"",_xlfn.MINIFS('BASE SQL PLANTIO'!E:E,'BASE SQL PLANTIO'!B:B,VOOS!A221))</f>
        <v/>
      </c>
      <c r="J221" s="26"/>
      <c r="K221" s="34" t="str">
        <f t="shared" si="10"/>
        <v/>
      </c>
      <c r="L221" s="35" t="str">
        <f t="shared" si="11"/>
        <v/>
      </c>
      <c r="M221" s="14"/>
      <c r="N221" s="16"/>
    </row>
    <row r="222" spans="1:14" ht="15.6" x14ac:dyDescent="0.3">
      <c r="A222" s="13" t="str">
        <f t="shared" si="9"/>
        <v>-</v>
      </c>
      <c r="B222" s="27"/>
      <c r="C222" s="26"/>
      <c r="D222" s="26"/>
      <c r="E222" s="26"/>
      <c r="F222" s="22"/>
      <c r="G222" s="34">
        <f>SUMIFS('BASE EXEC. Q.L'!N:N,'BASE EXEC. Q.L'!B:B,VOOS!A222)</f>
        <v>0</v>
      </c>
      <c r="H222" s="15" t="str">
        <f>IFERROR(_xlfn.XLOOKUP(A222,'BASE SQL PLANTIO'!B:B,'BASE SQL PLANTIO'!T:T,"verificar",0),"")</f>
        <v/>
      </c>
      <c r="I222" s="77" t="str">
        <f>IF(_xlfn.MINIFS('BASE SQL PLANTIO'!E:E,'BASE SQL PLANTIO'!B:B,VOOS!A222)=0/1/1900,"",_xlfn.MINIFS('BASE SQL PLANTIO'!E:E,'BASE SQL PLANTIO'!B:B,VOOS!A222))</f>
        <v/>
      </c>
      <c r="J222" s="26"/>
      <c r="K222" s="34" t="str">
        <f t="shared" si="10"/>
        <v/>
      </c>
      <c r="L222" s="35" t="str">
        <f t="shared" si="11"/>
        <v/>
      </c>
      <c r="M222" s="14"/>
      <c r="N222" s="16"/>
    </row>
    <row r="223" spans="1:14" ht="15.6" x14ac:dyDescent="0.3">
      <c r="A223" s="13" t="str">
        <f t="shared" si="9"/>
        <v>-</v>
      </c>
      <c r="B223" s="27"/>
      <c r="C223" s="26"/>
      <c r="D223" s="26"/>
      <c r="E223" s="26"/>
      <c r="F223" s="22"/>
      <c r="G223" s="34">
        <f>SUMIFS('BASE EXEC. Q.L'!N:N,'BASE EXEC. Q.L'!B:B,VOOS!A223)</f>
        <v>0</v>
      </c>
      <c r="H223" s="15" t="str">
        <f>IFERROR(_xlfn.XLOOKUP(A223,'BASE SQL PLANTIO'!B:B,'BASE SQL PLANTIO'!T:T,"verificar",0),"")</f>
        <v/>
      </c>
      <c r="I223" s="77" t="str">
        <f>IF(_xlfn.MINIFS('BASE SQL PLANTIO'!E:E,'BASE SQL PLANTIO'!B:B,VOOS!A223)=0/1/1900,"",_xlfn.MINIFS('BASE SQL PLANTIO'!E:E,'BASE SQL PLANTIO'!B:B,VOOS!A223))</f>
        <v/>
      </c>
      <c r="J223" s="26"/>
      <c r="K223" s="34" t="str">
        <f t="shared" si="10"/>
        <v/>
      </c>
      <c r="L223" s="35" t="str">
        <f t="shared" si="11"/>
        <v/>
      </c>
      <c r="M223" s="14"/>
      <c r="N223" s="16"/>
    </row>
    <row r="224" spans="1:14" ht="15.6" x14ac:dyDescent="0.3">
      <c r="A224" s="13" t="str">
        <f t="shared" si="9"/>
        <v>-</v>
      </c>
      <c r="B224" s="27"/>
      <c r="C224" s="26"/>
      <c r="D224" s="26"/>
      <c r="E224" s="26"/>
      <c r="F224" s="22"/>
      <c r="G224" s="34">
        <f>SUMIFS('BASE EXEC. Q.L'!N:N,'BASE EXEC. Q.L'!B:B,VOOS!A224)</f>
        <v>0</v>
      </c>
      <c r="H224" s="15" t="str">
        <f>IFERROR(_xlfn.XLOOKUP(A224,'BASE SQL PLANTIO'!B:B,'BASE SQL PLANTIO'!T:T,"verificar",0),"")</f>
        <v/>
      </c>
      <c r="I224" s="77" t="str">
        <f>IF(_xlfn.MINIFS('BASE SQL PLANTIO'!E:E,'BASE SQL PLANTIO'!B:B,VOOS!A224)=0/1/1900,"",_xlfn.MINIFS('BASE SQL PLANTIO'!E:E,'BASE SQL PLANTIO'!B:B,VOOS!A224))</f>
        <v/>
      </c>
      <c r="J224" s="26"/>
      <c r="K224" s="34" t="str">
        <f t="shared" si="10"/>
        <v/>
      </c>
      <c r="L224" s="35" t="str">
        <f t="shared" si="11"/>
        <v/>
      </c>
      <c r="M224" s="14"/>
      <c r="N224" s="16"/>
    </row>
    <row r="225" spans="1:14" ht="15.6" x14ac:dyDescent="0.3">
      <c r="A225" s="13" t="str">
        <f t="shared" si="9"/>
        <v>-</v>
      </c>
      <c r="B225" s="27"/>
      <c r="C225" s="26"/>
      <c r="D225" s="26"/>
      <c r="E225" s="26"/>
      <c r="F225" s="22"/>
      <c r="G225" s="34">
        <f>SUMIFS('BASE EXEC. Q.L'!N:N,'BASE EXEC. Q.L'!B:B,VOOS!A225)</f>
        <v>0</v>
      </c>
      <c r="H225" s="15" t="str">
        <f>IFERROR(_xlfn.XLOOKUP(A225,'BASE SQL PLANTIO'!B:B,'BASE SQL PLANTIO'!T:T,"verificar",0),"")</f>
        <v/>
      </c>
      <c r="I225" s="77" t="str">
        <f>IF(_xlfn.MINIFS('BASE SQL PLANTIO'!E:E,'BASE SQL PLANTIO'!B:B,VOOS!A225)=0/1/1900,"",_xlfn.MINIFS('BASE SQL PLANTIO'!E:E,'BASE SQL PLANTIO'!B:B,VOOS!A225))</f>
        <v/>
      </c>
      <c r="J225" s="26"/>
      <c r="K225" s="34" t="str">
        <f t="shared" si="10"/>
        <v/>
      </c>
      <c r="L225" s="35" t="str">
        <f t="shared" si="11"/>
        <v/>
      </c>
      <c r="M225" s="14"/>
      <c r="N225" s="16"/>
    </row>
    <row r="226" spans="1:14" ht="15.6" x14ac:dyDescent="0.3">
      <c r="A226" s="13" t="str">
        <f t="shared" si="9"/>
        <v>-</v>
      </c>
      <c r="B226" s="25"/>
      <c r="C226" s="25"/>
      <c r="D226" s="25"/>
      <c r="E226" s="25"/>
      <c r="F226" s="22"/>
      <c r="G226" s="34">
        <f>SUMIFS('BASE EXEC. Q.L'!N:N,'BASE EXEC. Q.L'!B:B,VOOS!A226)</f>
        <v>0</v>
      </c>
      <c r="H226" s="15" t="str">
        <f>IFERROR(_xlfn.XLOOKUP(A226,'BASE SQL PLANTIO'!B:B,'BASE SQL PLANTIO'!T:T,"verificar",0),"")</f>
        <v/>
      </c>
      <c r="I226" s="77" t="str">
        <f>IF(_xlfn.MINIFS('BASE SQL PLANTIO'!E:E,'BASE SQL PLANTIO'!B:B,VOOS!A226)=0/1/1900,"",_xlfn.MINIFS('BASE SQL PLANTIO'!E:E,'BASE SQL PLANTIO'!B:B,VOOS!A226))</f>
        <v/>
      </c>
      <c r="J226" s="26"/>
      <c r="K226" s="34" t="str">
        <f t="shared" si="10"/>
        <v/>
      </c>
      <c r="L226" s="35" t="str">
        <f t="shared" si="11"/>
        <v/>
      </c>
      <c r="M226" s="14"/>
      <c r="N226" s="16"/>
    </row>
    <row r="227" spans="1:14" ht="15.6" x14ac:dyDescent="0.3">
      <c r="A227" s="13" t="str">
        <f t="shared" si="9"/>
        <v>-</v>
      </c>
      <c r="B227" s="25"/>
      <c r="C227" s="25"/>
      <c r="D227" s="25"/>
      <c r="E227" s="25"/>
      <c r="F227" s="22"/>
      <c r="G227" s="34">
        <f>SUMIFS('BASE EXEC. Q.L'!N:N,'BASE EXEC. Q.L'!B:B,VOOS!A227)</f>
        <v>0</v>
      </c>
      <c r="H227" s="15" t="str">
        <f>IFERROR(_xlfn.XLOOKUP(A227,'BASE SQL PLANTIO'!B:B,'BASE SQL PLANTIO'!T:T,"verificar",0),"")</f>
        <v/>
      </c>
      <c r="I227" s="77" t="str">
        <f>IF(_xlfn.MINIFS('BASE SQL PLANTIO'!E:E,'BASE SQL PLANTIO'!B:B,VOOS!A227)=0/1/1900,"",_xlfn.MINIFS('BASE SQL PLANTIO'!E:E,'BASE SQL PLANTIO'!B:B,VOOS!A227))</f>
        <v/>
      </c>
      <c r="J227" s="26"/>
      <c r="K227" s="34" t="str">
        <f t="shared" si="10"/>
        <v/>
      </c>
      <c r="L227" s="35" t="str">
        <f t="shared" si="11"/>
        <v/>
      </c>
      <c r="M227" s="14"/>
      <c r="N227" s="16"/>
    </row>
    <row r="228" spans="1:14" ht="15.6" x14ac:dyDescent="0.3">
      <c r="A228" s="13" t="str">
        <f t="shared" si="9"/>
        <v>-</v>
      </c>
      <c r="B228" s="25"/>
      <c r="C228" s="25"/>
      <c r="D228" s="25"/>
      <c r="E228" s="25"/>
      <c r="F228" s="22"/>
      <c r="G228" s="34">
        <f>SUMIFS('BASE EXEC. Q.L'!N:N,'BASE EXEC. Q.L'!B:B,VOOS!A228)</f>
        <v>0</v>
      </c>
      <c r="H228" s="15" t="str">
        <f>IFERROR(_xlfn.XLOOKUP(A228,'BASE SQL PLANTIO'!B:B,'BASE SQL PLANTIO'!T:T,"verificar",0),"")</f>
        <v/>
      </c>
      <c r="I228" s="77" t="str">
        <f>IF(_xlfn.MINIFS('BASE SQL PLANTIO'!E:E,'BASE SQL PLANTIO'!B:B,VOOS!A228)=0/1/1900,"",_xlfn.MINIFS('BASE SQL PLANTIO'!E:E,'BASE SQL PLANTIO'!B:B,VOOS!A228))</f>
        <v/>
      </c>
      <c r="J228" s="26"/>
      <c r="K228" s="34" t="str">
        <f t="shared" si="10"/>
        <v/>
      </c>
      <c r="L228" s="35" t="str">
        <f t="shared" si="11"/>
        <v/>
      </c>
      <c r="M228" s="14"/>
      <c r="N228" s="16"/>
    </row>
    <row r="229" spans="1:14" ht="15.6" x14ac:dyDescent="0.3">
      <c r="A229" s="13" t="str">
        <f t="shared" si="9"/>
        <v>-</v>
      </c>
      <c r="B229" s="27"/>
      <c r="C229" s="26"/>
      <c r="D229" s="26"/>
      <c r="E229" s="26"/>
      <c r="F229" s="22"/>
      <c r="G229" s="34">
        <f>SUMIFS('BASE EXEC. Q.L'!N:N,'BASE EXEC. Q.L'!B:B,VOOS!A229)</f>
        <v>0</v>
      </c>
      <c r="H229" s="15" t="str">
        <f>IFERROR(_xlfn.XLOOKUP(A229,'BASE SQL PLANTIO'!B:B,'BASE SQL PLANTIO'!T:T,"verificar",0),"")</f>
        <v/>
      </c>
      <c r="I229" s="77" t="str">
        <f>IF(_xlfn.MINIFS('BASE SQL PLANTIO'!E:E,'BASE SQL PLANTIO'!B:B,VOOS!A229)=0/1/1900,"",_xlfn.MINIFS('BASE SQL PLANTIO'!E:E,'BASE SQL PLANTIO'!B:B,VOOS!A229))</f>
        <v/>
      </c>
      <c r="J229" s="26"/>
      <c r="K229" s="34" t="str">
        <f t="shared" si="10"/>
        <v/>
      </c>
      <c r="L229" s="35" t="str">
        <f t="shared" si="11"/>
        <v/>
      </c>
      <c r="M229" s="14"/>
      <c r="N229" s="16"/>
    </row>
    <row r="230" spans="1:14" ht="15.6" x14ac:dyDescent="0.3">
      <c r="A230" s="13" t="str">
        <f t="shared" si="9"/>
        <v>-</v>
      </c>
      <c r="B230" s="27"/>
      <c r="C230" s="26"/>
      <c r="D230" s="26"/>
      <c r="E230" s="26"/>
      <c r="F230" s="22"/>
      <c r="G230" s="34">
        <f>SUMIFS('BASE EXEC. Q.L'!N:N,'BASE EXEC. Q.L'!B:B,VOOS!A230)</f>
        <v>0</v>
      </c>
      <c r="H230" s="15" t="str">
        <f>IFERROR(_xlfn.XLOOKUP(A230,'BASE SQL PLANTIO'!B:B,'BASE SQL PLANTIO'!T:T,"verificar",0),"")</f>
        <v/>
      </c>
      <c r="I230" s="77" t="str">
        <f>IF(_xlfn.MINIFS('BASE SQL PLANTIO'!E:E,'BASE SQL PLANTIO'!B:B,VOOS!A230)=0/1/1900,"",_xlfn.MINIFS('BASE SQL PLANTIO'!E:E,'BASE SQL PLANTIO'!B:B,VOOS!A230))</f>
        <v/>
      </c>
      <c r="J230" s="26"/>
      <c r="K230" s="34" t="str">
        <f t="shared" si="10"/>
        <v/>
      </c>
      <c r="L230" s="35" t="str">
        <f t="shared" si="11"/>
        <v/>
      </c>
      <c r="M230" s="14"/>
      <c r="N230" s="16"/>
    </row>
    <row r="231" spans="1:14" ht="15.6" x14ac:dyDescent="0.3">
      <c r="A231" s="13" t="str">
        <f t="shared" si="9"/>
        <v>-</v>
      </c>
      <c r="B231" s="27"/>
      <c r="C231" s="22"/>
      <c r="D231" s="23"/>
      <c r="E231" s="23"/>
      <c r="F231" s="22"/>
      <c r="G231" s="34">
        <f>SUMIFS('BASE EXEC. Q.L'!N:N,'BASE EXEC. Q.L'!B:B,VOOS!A231)</f>
        <v>0</v>
      </c>
      <c r="H231" s="15" t="str">
        <f>IFERROR(_xlfn.XLOOKUP(A231,'BASE SQL PLANTIO'!B:B,'BASE SQL PLANTIO'!T:T,"verificar",0),"")</f>
        <v/>
      </c>
      <c r="I231" s="77" t="str">
        <f>IF(_xlfn.MINIFS('BASE SQL PLANTIO'!E:E,'BASE SQL PLANTIO'!B:B,VOOS!A231)=0/1/1900,"",_xlfn.MINIFS('BASE SQL PLANTIO'!E:E,'BASE SQL PLANTIO'!B:B,VOOS!A231))</f>
        <v/>
      </c>
      <c r="J231" s="22"/>
      <c r="K231" s="34" t="str">
        <f t="shared" si="10"/>
        <v/>
      </c>
      <c r="L231" s="35" t="str">
        <f t="shared" si="11"/>
        <v/>
      </c>
      <c r="M231" s="14"/>
      <c r="N231" s="16"/>
    </row>
    <row r="232" spans="1:14" ht="15.6" x14ac:dyDescent="0.3">
      <c r="A232" s="13" t="str">
        <f t="shared" si="9"/>
        <v>-</v>
      </c>
      <c r="B232" s="27"/>
      <c r="C232" s="26"/>
      <c r="D232" s="26"/>
      <c r="E232" s="26"/>
      <c r="F232" s="22"/>
      <c r="G232" s="34">
        <f>SUMIFS('BASE EXEC. Q.L'!N:N,'BASE EXEC. Q.L'!B:B,VOOS!A232)</f>
        <v>0</v>
      </c>
      <c r="H232" s="15" t="str">
        <f>IFERROR(_xlfn.XLOOKUP(A232,'BASE SQL PLANTIO'!B:B,'BASE SQL PLANTIO'!T:T,"verificar",0),"")</f>
        <v/>
      </c>
      <c r="I232" s="77" t="str">
        <f>IF(_xlfn.MINIFS('BASE SQL PLANTIO'!E:E,'BASE SQL PLANTIO'!B:B,VOOS!A232)=0/1/1900,"",_xlfn.MINIFS('BASE SQL PLANTIO'!E:E,'BASE SQL PLANTIO'!B:B,VOOS!A232))</f>
        <v/>
      </c>
      <c r="J232" s="26"/>
      <c r="K232" s="34" t="str">
        <f t="shared" si="10"/>
        <v/>
      </c>
      <c r="L232" s="35" t="str">
        <f t="shared" si="11"/>
        <v/>
      </c>
      <c r="M232" s="14"/>
      <c r="N232" s="15"/>
    </row>
    <row r="233" spans="1:14" ht="15.6" x14ac:dyDescent="0.3">
      <c r="A233" s="13" t="str">
        <f t="shared" si="9"/>
        <v>-</v>
      </c>
      <c r="B233" s="27"/>
      <c r="C233" s="26"/>
      <c r="D233" s="26"/>
      <c r="E233" s="26"/>
      <c r="F233" s="22"/>
      <c r="G233" s="34">
        <f>SUMIFS('BASE EXEC. Q.L'!N:N,'BASE EXEC. Q.L'!B:B,VOOS!A233)</f>
        <v>0</v>
      </c>
      <c r="H233" s="15" t="str">
        <f>IFERROR(_xlfn.XLOOKUP(A233,'BASE SQL PLANTIO'!B:B,'BASE SQL PLANTIO'!T:T,"verificar",0),"")</f>
        <v/>
      </c>
      <c r="I233" s="77" t="str">
        <f>IF(_xlfn.MINIFS('BASE SQL PLANTIO'!E:E,'BASE SQL PLANTIO'!B:B,VOOS!A233)=0/1/1900,"",_xlfn.MINIFS('BASE SQL PLANTIO'!E:E,'BASE SQL PLANTIO'!B:B,VOOS!A233))</f>
        <v/>
      </c>
      <c r="J233" s="26"/>
      <c r="K233" s="34" t="str">
        <f t="shared" si="10"/>
        <v/>
      </c>
      <c r="L233" s="35" t="str">
        <f t="shared" si="11"/>
        <v/>
      </c>
      <c r="M233" s="14"/>
      <c r="N233" s="16"/>
    </row>
    <row r="234" spans="1:14" ht="15.6" x14ac:dyDescent="0.3">
      <c r="A234" s="13" t="str">
        <f t="shared" si="9"/>
        <v>-</v>
      </c>
      <c r="B234" s="27"/>
      <c r="C234" s="26"/>
      <c r="D234" s="26"/>
      <c r="E234" s="26"/>
      <c r="F234" s="22"/>
      <c r="G234" s="34">
        <f>SUMIFS('BASE EXEC. Q.L'!N:N,'BASE EXEC. Q.L'!B:B,VOOS!A234)</f>
        <v>0</v>
      </c>
      <c r="H234" s="15" t="str">
        <f>IFERROR(_xlfn.XLOOKUP(A234,'BASE SQL PLANTIO'!B:B,'BASE SQL PLANTIO'!T:T,"verificar",0),"")</f>
        <v/>
      </c>
      <c r="I234" s="77" t="str">
        <f>IF(_xlfn.MINIFS('BASE SQL PLANTIO'!E:E,'BASE SQL PLANTIO'!B:B,VOOS!A234)=0/1/1900,"",_xlfn.MINIFS('BASE SQL PLANTIO'!E:E,'BASE SQL PLANTIO'!B:B,VOOS!A234))</f>
        <v/>
      </c>
      <c r="J234" s="26"/>
      <c r="K234" s="34" t="str">
        <f t="shared" si="10"/>
        <v/>
      </c>
      <c r="L234" s="35" t="str">
        <f t="shared" si="11"/>
        <v/>
      </c>
      <c r="M234" s="14"/>
      <c r="N234" s="16"/>
    </row>
    <row r="235" spans="1:14" ht="15.6" x14ac:dyDescent="0.3">
      <c r="A235" s="13" t="str">
        <f t="shared" si="9"/>
        <v>-</v>
      </c>
      <c r="B235" s="27"/>
      <c r="C235" s="26"/>
      <c r="D235" s="26"/>
      <c r="E235" s="26"/>
      <c r="F235" s="22"/>
      <c r="G235" s="34">
        <f>SUMIFS('BASE EXEC. Q.L'!N:N,'BASE EXEC. Q.L'!B:B,VOOS!A235)</f>
        <v>0</v>
      </c>
      <c r="H235" s="15" t="str">
        <f>IFERROR(_xlfn.XLOOKUP(A235,'BASE SQL PLANTIO'!B:B,'BASE SQL PLANTIO'!T:T,"verificar",0),"")</f>
        <v/>
      </c>
      <c r="I235" s="77" t="str">
        <f>IF(_xlfn.MINIFS('BASE SQL PLANTIO'!E:E,'BASE SQL PLANTIO'!B:B,VOOS!A235)=0/1/1900,"",_xlfn.MINIFS('BASE SQL PLANTIO'!E:E,'BASE SQL PLANTIO'!B:B,VOOS!A235))</f>
        <v/>
      </c>
      <c r="J235" s="26"/>
      <c r="K235" s="34" t="str">
        <f t="shared" si="10"/>
        <v/>
      </c>
      <c r="L235" s="35" t="str">
        <f t="shared" si="11"/>
        <v/>
      </c>
      <c r="M235" s="14"/>
      <c r="N235" s="16"/>
    </row>
    <row r="236" spans="1:14" ht="15.6" x14ac:dyDescent="0.3">
      <c r="A236" s="13" t="str">
        <f t="shared" si="9"/>
        <v>-</v>
      </c>
      <c r="B236" s="27"/>
      <c r="C236" s="26"/>
      <c r="D236" s="26"/>
      <c r="E236" s="26"/>
      <c r="F236" s="22"/>
      <c r="G236" s="34">
        <f>SUMIFS('BASE EXEC. Q.L'!N:N,'BASE EXEC. Q.L'!B:B,VOOS!A236)</f>
        <v>0</v>
      </c>
      <c r="H236" s="15" t="str">
        <f>IFERROR(_xlfn.XLOOKUP(A236,'BASE SQL PLANTIO'!B:B,'BASE SQL PLANTIO'!T:T,"verificar",0),"")</f>
        <v/>
      </c>
      <c r="I236" s="77" t="str">
        <f>IF(_xlfn.MINIFS('BASE SQL PLANTIO'!E:E,'BASE SQL PLANTIO'!B:B,VOOS!A236)=0/1/1900,"",_xlfn.MINIFS('BASE SQL PLANTIO'!E:E,'BASE SQL PLANTIO'!B:B,VOOS!A236))</f>
        <v/>
      </c>
      <c r="J236" s="26"/>
      <c r="K236" s="34" t="str">
        <f t="shared" si="10"/>
        <v/>
      </c>
      <c r="L236" s="35" t="str">
        <f t="shared" si="11"/>
        <v/>
      </c>
      <c r="M236" s="14"/>
      <c r="N236" s="16"/>
    </row>
    <row r="237" spans="1:14" ht="15.6" x14ac:dyDescent="0.3">
      <c r="A237" s="13" t="str">
        <f t="shared" si="9"/>
        <v>-</v>
      </c>
      <c r="B237" s="27"/>
      <c r="C237" s="26"/>
      <c r="D237" s="26"/>
      <c r="E237" s="26"/>
      <c r="F237" s="22"/>
      <c r="G237" s="34">
        <f>SUMIFS('BASE EXEC. Q.L'!N:N,'BASE EXEC. Q.L'!B:B,VOOS!A237)</f>
        <v>0</v>
      </c>
      <c r="H237" s="15" t="str">
        <f>IFERROR(_xlfn.XLOOKUP(A237,'BASE SQL PLANTIO'!B:B,'BASE SQL PLANTIO'!T:T,"verificar",0),"")</f>
        <v/>
      </c>
      <c r="I237" s="77" t="str">
        <f>IF(_xlfn.MINIFS('BASE SQL PLANTIO'!E:E,'BASE SQL PLANTIO'!B:B,VOOS!A237)=0/1/1900,"",_xlfn.MINIFS('BASE SQL PLANTIO'!E:E,'BASE SQL PLANTIO'!B:B,VOOS!A237))</f>
        <v/>
      </c>
      <c r="J237" s="26"/>
      <c r="K237" s="34" t="str">
        <f t="shared" si="10"/>
        <v/>
      </c>
      <c r="L237" s="35" t="str">
        <f t="shared" si="11"/>
        <v/>
      </c>
      <c r="M237" s="14"/>
      <c r="N237" s="16"/>
    </row>
    <row r="238" spans="1:14" ht="15.6" x14ac:dyDescent="0.3">
      <c r="A238" s="13" t="str">
        <f t="shared" si="9"/>
        <v>-</v>
      </c>
      <c r="B238" s="27"/>
      <c r="C238" s="26"/>
      <c r="D238" s="26"/>
      <c r="E238" s="26"/>
      <c r="F238" s="22"/>
      <c r="G238" s="34">
        <f>SUMIFS('BASE EXEC. Q.L'!N:N,'BASE EXEC. Q.L'!B:B,VOOS!A238)</f>
        <v>0</v>
      </c>
      <c r="H238" s="15" t="str">
        <f>IFERROR(_xlfn.XLOOKUP(A238,'BASE SQL PLANTIO'!B:B,'BASE SQL PLANTIO'!T:T,"verificar",0),"")</f>
        <v/>
      </c>
      <c r="I238" s="77" t="str">
        <f>IF(_xlfn.MINIFS('BASE SQL PLANTIO'!E:E,'BASE SQL PLANTIO'!B:B,VOOS!A238)=0/1/1900,"",_xlfn.MINIFS('BASE SQL PLANTIO'!E:E,'BASE SQL PLANTIO'!B:B,VOOS!A238))</f>
        <v/>
      </c>
      <c r="J238" s="26"/>
      <c r="K238" s="34" t="str">
        <f t="shared" si="10"/>
        <v/>
      </c>
      <c r="L238" s="35" t="str">
        <f t="shared" si="11"/>
        <v/>
      </c>
      <c r="M238" s="14"/>
      <c r="N238" s="16"/>
    </row>
    <row r="239" spans="1:14" ht="15.6" x14ac:dyDescent="0.3">
      <c r="A239" s="13" t="str">
        <f t="shared" si="9"/>
        <v>-</v>
      </c>
      <c r="B239" s="27"/>
      <c r="C239" s="26"/>
      <c r="D239" s="26"/>
      <c r="E239" s="26"/>
      <c r="F239" s="22"/>
      <c r="G239" s="34">
        <f>SUMIFS('BASE EXEC. Q.L'!N:N,'BASE EXEC. Q.L'!B:B,VOOS!A239)</f>
        <v>0</v>
      </c>
      <c r="H239" s="15" t="str">
        <f>IFERROR(_xlfn.XLOOKUP(A239,'BASE SQL PLANTIO'!B:B,'BASE SQL PLANTIO'!T:T,"verificar",0),"")</f>
        <v/>
      </c>
      <c r="I239" s="77" t="str">
        <f>IF(_xlfn.MINIFS('BASE SQL PLANTIO'!E:E,'BASE SQL PLANTIO'!B:B,VOOS!A239)=0/1/1900,"",_xlfn.MINIFS('BASE SQL PLANTIO'!E:E,'BASE SQL PLANTIO'!B:B,VOOS!A239))</f>
        <v/>
      </c>
      <c r="J239" s="26"/>
      <c r="K239" s="34" t="str">
        <f t="shared" si="10"/>
        <v/>
      </c>
      <c r="L239" s="35" t="str">
        <f t="shared" si="11"/>
        <v/>
      </c>
      <c r="M239" s="14"/>
      <c r="N239" s="16"/>
    </row>
    <row r="240" spans="1:14" ht="15.6" x14ac:dyDescent="0.3">
      <c r="A240" s="13" t="str">
        <f t="shared" si="9"/>
        <v>-</v>
      </c>
      <c r="B240" s="27"/>
      <c r="C240" s="26"/>
      <c r="D240" s="26"/>
      <c r="E240" s="26"/>
      <c r="F240" s="22"/>
      <c r="G240" s="34">
        <f>SUMIFS('BASE EXEC. Q.L'!N:N,'BASE EXEC. Q.L'!B:B,VOOS!A240)</f>
        <v>0</v>
      </c>
      <c r="H240" s="15" t="str">
        <f>IFERROR(_xlfn.XLOOKUP(A240,'BASE SQL PLANTIO'!B:B,'BASE SQL PLANTIO'!T:T,"verificar",0),"")</f>
        <v/>
      </c>
      <c r="I240" s="77" t="str">
        <f>IF(_xlfn.MINIFS('BASE SQL PLANTIO'!E:E,'BASE SQL PLANTIO'!B:B,VOOS!A240)=0/1/1900,"",_xlfn.MINIFS('BASE SQL PLANTIO'!E:E,'BASE SQL PLANTIO'!B:B,VOOS!A240))</f>
        <v/>
      </c>
      <c r="J240" s="26"/>
      <c r="K240" s="34" t="str">
        <f t="shared" si="10"/>
        <v/>
      </c>
      <c r="L240" s="35" t="str">
        <f t="shared" si="11"/>
        <v/>
      </c>
      <c r="M240" s="14"/>
      <c r="N240" s="16"/>
    </row>
    <row r="241" spans="1:14" ht="15.6" x14ac:dyDescent="0.3">
      <c r="A241" s="13" t="str">
        <f t="shared" si="9"/>
        <v>-</v>
      </c>
      <c r="B241" s="27"/>
      <c r="C241" s="26"/>
      <c r="D241" s="26"/>
      <c r="E241" s="26"/>
      <c r="F241" s="22"/>
      <c r="G241" s="34">
        <f>SUMIFS('BASE EXEC. Q.L'!N:N,'BASE EXEC. Q.L'!B:B,VOOS!A241)</f>
        <v>0</v>
      </c>
      <c r="H241" s="15" t="str">
        <f>IFERROR(_xlfn.XLOOKUP(A241,'BASE SQL PLANTIO'!B:B,'BASE SQL PLANTIO'!T:T,"verificar",0),"")</f>
        <v/>
      </c>
      <c r="I241" s="77" t="str">
        <f>IF(_xlfn.MINIFS('BASE SQL PLANTIO'!E:E,'BASE SQL PLANTIO'!B:B,VOOS!A241)=0/1/1900,"",_xlfn.MINIFS('BASE SQL PLANTIO'!E:E,'BASE SQL PLANTIO'!B:B,VOOS!A241))</f>
        <v/>
      </c>
      <c r="J241" s="26"/>
      <c r="K241" s="34" t="str">
        <f t="shared" si="10"/>
        <v/>
      </c>
      <c r="L241" s="35" t="str">
        <f t="shared" si="11"/>
        <v/>
      </c>
      <c r="M241" s="14"/>
      <c r="N241" s="16"/>
    </row>
    <row r="242" spans="1:14" ht="15.6" x14ac:dyDescent="0.3">
      <c r="A242" s="13" t="str">
        <f t="shared" si="9"/>
        <v>-</v>
      </c>
      <c r="B242" s="27"/>
      <c r="C242" s="26"/>
      <c r="D242" s="26"/>
      <c r="E242" s="26"/>
      <c r="F242" s="22"/>
      <c r="G242" s="34">
        <f>SUMIFS('BASE EXEC. Q.L'!N:N,'BASE EXEC. Q.L'!B:B,VOOS!A242)</f>
        <v>0</v>
      </c>
      <c r="H242" s="15" t="str">
        <f>IFERROR(_xlfn.XLOOKUP(A242,'BASE SQL PLANTIO'!B:B,'BASE SQL PLANTIO'!T:T,"verificar",0),"")</f>
        <v/>
      </c>
      <c r="I242" s="77" t="str">
        <f>IF(_xlfn.MINIFS('BASE SQL PLANTIO'!E:E,'BASE SQL PLANTIO'!B:B,VOOS!A242)=0/1/1900,"",_xlfn.MINIFS('BASE SQL PLANTIO'!E:E,'BASE SQL PLANTIO'!B:B,VOOS!A242))</f>
        <v/>
      </c>
      <c r="J242" s="26"/>
      <c r="K242" s="34" t="str">
        <f t="shared" si="10"/>
        <v/>
      </c>
      <c r="L242" s="35" t="str">
        <f t="shared" si="11"/>
        <v/>
      </c>
      <c r="M242" s="14"/>
      <c r="N242" s="16"/>
    </row>
    <row r="243" spans="1:14" ht="15.6" x14ac:dyDescent="0.3">
      <c r="A243" s="13" t="str">
        <f t="shared" si="9"/>
        <v>-</v>
      </c>
      <c r="B243" s="27"/>
      <c r="C243" s="26"/>
      <c r="D243" s="26"/>
      <c r="E243" s="26"/>
      <c r="F243" s="22"/>
      <c r="G243" s="34">
        <f>SUMIFS('BASE EXEC. Q.L'!N:N,'BASE EXEC. Q.L'!B:B,VOOS!A243)</f>
        <v>0</v>
      </c>
      <c r="H243" s="15" t="str">
        <f>IFERROR(_xlfn.XLOOKUP(A243,'BASE SQL PLANTIO'!B:B,'BASE SQL PLANTIO'!T:T,"verificar",0),"")</f>
        <v/>
      </c>
      <c r="I243" s="77" t="str">
        <f>IF(_xlfn.MINIFS('BASE SQL PLANTIO'!E:E,'BASE SQL PLANTIO'!B:B,VOOS!A243)=0/1/1900,"",_xlfn.MINIFS('BASE SQL PLANTIO'!E:E,'BASE SQL PLANTIO'!B:B,VOOS!A243))</f>
        <v/>
      </c>
      <c r="J243" s="26"/>
      <c r="K243" s="34" t="str">
        <f t="shared" si="10"/>
        <v/>
      </c>
      <c r="L243" s="35" t="str">
        <f t="shared" si="11"/>
        <v/>
      </c>
      <c r="M243" s="14"/>
      <c r="N243" s="16"/>
    </row>
    <row r="244" spans="1:14" ht="15.6" x14ac:dyDescent="0.3">
      <c r="A244" s="13" t="str">
        <f t="shared" si="9"/>
        <v>-</v>
      </c>
      <c r="B244" s="27"/>
      <c r="C244" s="26"/>
      <c r="D244" s="26"/>
      <c r="E244" s="26"/>
      <c r="F244" s="22"/>
      <c r="G244" s="34">
        <f>SUMIFS('BASE EXEC. Q.L'!N:N,'BASE EXEC. Q.L'!B:B,VOOS!A244)</f>
        <v>0</v>
      </c>
      <c r="H244" s="15" t="str">
        <f>IFERROR(_xlfn.XLOOKUP(A244,'BASE SQL PLANTIO'!B:B,'BASE SQL PLANTIO'!T:T,"verificar",0),"")</f>
        <v/>
      </c>
      <c r="I244" s="77" t="str">
        <f>IF(_xlfn.MINIFS('BASE SQL PLANTIO'!E:E,'BASE SQL PLANTIO'!B:B,VOOS!A244)=0/1/1900,"",_xlfn.MINIFS('BASE SQL PLANTIO'!E:E,'BASE SQL PLANTIO'!B:B,VOOS!A244))</f>
        <v/>
      </c>
      <c r="J244" s="26"/>
      <c r="K244" s="34" t="str">
        <f t="shared" si="10"/>
        <v/>
      </c>
      <c r="L244" s="35" t="str">
        <f t="shared" si="11"/>
        <v/>
      </c>
      <c r="M244" s="14"/>
      <c r="N244" s="16"/>
    </row>
    <row r="245" spans="1:14" ht="15.6" x14ac:dyDescent="0.3">
      <c r="A245" s="13" t="str">
        <f t="shared" si="9"/>
        <v>-</v>
      </c>
      <c r="B245" s="27"/>
      <c r="C245" s="26"/>
      <c r="D245" s="26"/>
      <c r="E245" s="26"/>
      <c r="F245" s="22"/>
      <c r="G245" s="34">
        <f>SUMIFS('BASE EXEC. Q.L'!N:N,'BASE EXEC. Q.L'!B:B,VOOS!A245)</f>
        <v>0</v>
      </c>
      <c r="H245" s="15" t="str">
        <f>IFERROR(_xlfn.XLOOKUP(A245,'BASE SQL PLANTIO'!B:B,'BASE SQL PLANTIO'!T:T,"verificar",0),"")</f>
        <v/>
      </c>
      <c r="I245" s="77" t="str">
        <f>IF(_xlfn.MINIFS('BASE SQL PLANTIO'!E:E,'BASE SQL PLANTIO'!B:B,VOOS!A245)=0/1/1900,"",_xlfn.MINIFS('BASE SQL PLANTIO'!E:E,'BASE SQL PLANTIO'!B:B,VOOS!A245))</f>
        <v/>
      </c>
      <c r="J245" s="26"/>
      <c r="K245" s="34" t="str">
        <f t="shared" si="10"/>
        <v/>
      </c>
      <c r="L245" s="35" t="str">
        <f t="shared" si="11"/>
        <v/>
      </c>
      <c r="M245" s="14"/>
      <c r="N245" s="16"/>
    </row>
    <row r="246" spans="1:14" ht="15.6" x14ac:dyDescent="0.3">
      <c r="A246" s="13" t="str">
        <f t="shared" si="9"/>
        <v>-</v>
      </c>
      <c r="B246" s="25"/>
      <c r="C246" s="25"/>
      <c r="D246" s="25"/>
      <c r="E246" s="25"/>
      <c r="F246" s="22"/>
      <c r="G246" s="34">
        <f>SUMIFS('BASE EXEC. Q.L'!N:N,'BASE EXEC. Q.L'!B:B,VOOS!A246)</f>
        <v>0</v>
      </c>
      <c r="H246" s="15" t="str">
        <f>IFERROR(_xlfn.XLOOKUP(A246,'BASE SQL PLANTIO'!B:B,'BASE SQL PLANTIO'!T:T,"verificar",0),"")</f>
        <v/>
      </c>
      <c r="I246" s="77" t="str">
        <f>IF(_xlfn.MINIFS('BASE SQL PLANTIO'!E:E,'BASE SQL PLANTIO'!B:B,VOOS!A246)=0/1/1900,"",_xlfn.MINIFS('BASE SQL PLANTIO'!E:E,'BASE SQL PLANTIO'!B:B,VOOS!A246))</f>
        <v/>
      </c>
      <c r="J246" s="26"/>
      <c r="K246" s="34" t="str">
        <f t="shared" si="10"/>
        <v/>
      </c>
      <c r="L246" s="35" t="str">
        <f t="shared" si="11"/>
        <v/>
      </c>
      <c r="M246" s="14"/>
      <c r="N246" s="16"/>
    </row>
    <row r="247" spans="1:14" ht="15.6" x14ac:dyDescent="0.3">
      <c r="A247" s="13" t="str">
        <f t="shared" si="9"/>
        <v>-</v>
      </c>
      <c r="B247" s="25"/>
      <c r="C247" s="25"/>
      <c r="D247" s="25"/>
      <c r="E247" s="25"/>
      <c r="F247" s="22"/>
      <c r="G247" s="34">
        <f>SUMIFS('BASE EXEC. Q.L'!N:N,'BASE EXEC. Q.L'!B:B,VOOS!A247)</f>
        <v>0</v>
      </c>
      <c r="H247" s="15" t="str">
        <f>IFERROR(_xlfn.XLOOKUP(A247,'BASE SQL PLANTIO'!B:B,'BASE SQL PLANTIO'!T:T,"verificar",0),"")</f>
        <v/>
      </c>
      <c r="I247" s="77" t="str">
        <f>IF(_xlfn.MINIFS('BASE SQL PLANTIO'!E:E,'BASE SQL PLANTIO'!B:B,VOOS!A247)=0/1/1900,"",_xlfn.MINIFS('BASE SQL PLANTIO'!E:E,'BASE SQL PLANTIO'!B:B,VOOS!A247))</f>
        <v/>
      </c>
      <c r="J247" s="26"/>
      <c r="K247" s="34" t="str">
        <f t="shared" si="10"/>
        <v/>
      </c>
      <c r="L247" s="35" t="str">
        <f t="shared" si="11"/>
        <v/>
      </c>
      <c r="M247" s="14"/>
      <c r="N247" s="16"/>
    </row>
    <row r="248" spans="1:14" ht="15.6" x14ac:dyDescent="0.3">
      <c r="A248" s="13" t="str">
        <f t="shared" si="9"/>
        <v>-</v>
      </c>
      <c r="B248" s="27"/>
      <c r="C248" s="26"/>
      <c r="D248" s="26"/>
      <c r="E248" s="26"/>
      <c r="F248" s="22"/>
      <c r="G248" s="34">
        <f>SUMIFS('BASE EXEC. Q.L'!N:N,'BASE EXEC. Q.L'!B:B,VOOS!A248)</f>
        <v>0</v>
      </c>
      <c r="H248" s="15" t="str">
        <f>IFERROR(_xlfn.XLOOKUP(A248,'BASE SQL PLANTIO'!B:B,'BASE SQL PLANTIO'!T:T,"verificar",0),"")</f>
        <v/>
      </c>
      <c r="I248" s="77" t="str">
        <f>IF(_xlfn.MINIFS('BASE SQL PLANTIO'!E:E,'BASE SQL PLANTIO'!B:B,VOOS!A248)=0/1/1900,"",_xlfn.MINIFS('BASE SQL PLANTIO'!E:E,'BASE SQL PLANTIO'!B:B,VOOS!A248))</f>
        <v/>
      </c>
      <c r="J248" s="26"/>
      <c r="K248" s="34" t="str">
        <f t="shared" si="10"/>
        <v/>
      </c>
      <c r="L248" s="35" t="str">
        <f t="shared" si="11"/>
        <v/>
      </c>
      <c r="M248" s="14"/>
      <c r="N248" s="16"/>
    </row>
    <row r="249" spans="1:14" ht="15.6" x14ac:dyDescent="0.3">
      <c r="A249" s="13" t="str">
        <f t="shared" si="9"/>
        <v>-</v>
      </c>
      <c r="B249" s="27"/>
      <c r="C249" s="26"/>
      <c r="D249" s="26"/>
      <c r="E249" s="26"/>
      <c r="F249" s="22"/>
      <c r="G249" s="34">
        <f>SUMIFS('BASE EXEC. Q.L'!N:N,'BASE EXEC. Q.L'!B:B,VOOS!A249)</f>
        <v>0</v>
      </c>
      <c r="H249" s="15" t="str">
        <f>IFERROR(_xlfn.XLOOKUP(A249,'BASE SQL PLANTIO'!B:B,'BASE SQL PLANTIO'!T:T,"verificar",0),"")</f>
        <v/>
      </c>
      <c r="I249" s="77" t="str">
        <f>IF(_xlfn.MINIFS('BASE SQL PLANTIO'!E:E,'BASE SQL PLANTIO'!B:B,VOOS!A249)=0/1/1900,"",_xlfn.MINIFS('BASE SQL PLANTIO'!E:E,'BASE SQL PLANTIO'!B:B,VOOS!A249))</f>
        <v/>
      </c>
      <c r="J249" s="26"/>
      <c r="K249" s="34" t="str">
        <f t="shared" si="10"/>
        <v/>
      </c>
      <c r="L249" s="35" t="str">
        <f t="shared" si="11"/>
        <v/>
      </c>
      <c r="M249" s="14"/>
      <c r="N249" s="16"/>
    </row>
    <row r="250" spans="1:14" ht="15.6" x14ac:dyDescent="0.3">
      <c r="A250" s="13" t="str">
        <f t="shared" si="9"/>
        <v>-</v>
      </c>
      <c r="B250" s="25"/>
      <c r="C250" s="25"/>
      <c r="D250" s="25"/>
      <c r="E250" s="25"/>
      <c r="F250" s="28"/>
      <c r="G250" s="34">
        <f>SUMIFS('BASE EXEC. Q.L'!N:N,'BASE EXEC. Q.L'!B:B,VOOS!A250)</f>
        <v>0</v>
      </c>
      <c r="H250" s="15" t="str">
        <f>IFERROR(_xlfn.XLOOKUP(A250,'BASE SQL PLANTIO'!B:B,'BASE SQL PLANTIO'!T:T,"verificar",0),"")</f>
        <v/>
      </c>
      <c r="I250" s="77" t="str">
        <f>IF(_xlfn.MINIFS('BASE SQL PLANTIO'!E:E,'BASE SQL PLANTIO'!B:B,VOOS!A250)=0/1/1900,"",_xlfn.MINIFS('BASE SQL PLANTIO'!E:E,'BASE SQL PLANTIO'!B:B,VOOS!A250))</f>
        <v/>
      </c>
      <c r="J250" s="26"/>
      <c r="K250" s="34" t="str">
        <f t="shared" si="10"/>
        <v/>
      </c>
      <c r="L250" s="35" t="str">
        <f t="shared" si="11"/>
        <v/>
      </c>
      <c r="M250" s="14"/>
      <c r="N250" s="16"/>
    </row>
    <row r="251" spans="1:14" ht="15.6" x14ac:dyDescent="0.3">
      <c r="A251" s="13" t="str">
        <f t="shared" si="9"/>
        <v>-</v>
      </c>
      <c r="B251" s="27"/>
      <c r="C251" s="26"/>
      <c r="D251" s="26"/>
      <c r="E251" s="26"/>
      <c r="F251" s="22"/>
      <c r="G251" s="34">
        <f>SUMIFS('BASE EXEC. Q.L'!N:N,'BASE EXEC. Q.L'!B:B,VOOS!A251)</f>
        <v>0</v>
      </c>
      <c r="H251" s="15" t="str">
        <f>IFERROR(_xlfn.XLOOKUP(A251,'BASE SQL PLANTIO'!B:B,'BASE SQL PLANTIO'!T:T,"verificar",0),"")</f>
        <v/>
      </c>
      <c r="I251" s="77" t="str">
        <f>IF(_xlfn.MINIFS('BASE SQL PLANTIO'!E:E,'BASE SQL PLANTIO'!B:B,VOOS!A251)=0/1/1900,"",_xlfn.MINIFS('BASE SQL PLANTIO'!E:E,'BASE SQL PLANTIO'!B:B,VOOS!A251))</f>
        <v/>
      </c>
      <c r="J251" s="26"/>
      <c r="K251" s="34" t="str">
        <f t="shared" si="10"/>
        <v/>
      </c>
      <c r="L251" s="35" t="str">
        <f t="shared" si="11"/>
        <v/>
      </c>
      <c r="M251" s="14"/>
      <c r="N251" s="16"/>
    </row>
    <row r="252" spans="1:14" ht="15.6" x14ac:dyDescent="0.3">
      <c r="A252" s="13" t="str">
        <f t="shared" si="9"/>
        <v>-</v>
      </c>
      <c r="B252" s="25"/>
      <c r="C252" s="25"/>
      <c r="D252" s="25"/>
      <c r="E252" s="25"/>
      <c r="F252" s="22"/>
      <c r="G252" s="34">
        <f>SUMIFS('BASE EXEC. Q.L'!N:N,'BASE EXEC. Q.L'!B:B,VOOS!A252)</f>
        <v>0</v>
      </c>
      <c r="H252" s="15" t="str">
        <f>IFERROR(_xlfn.XLOOKUP(A252,'BASE SQL PLANTIO'!B:B,'BASE SQL PLANTIO'!T:T,"verificar",0),"")</f>
        <v/>
      </c>
      <c r="I252" s="77" t="str">
        <f>IF(_xlfn.MINIFS('BASE SQL PLANTIO'!E:E,'BASE SQL PLANTIO'!B:B,VOOS!A252)=0/1/1900,"",_xlfn.MINIFS('BASE SQL PLANTIO'!E:E,'BASE SQL PLANTIO'!B:B,VOOS!A252))</f>
        <v/>
      </c>
      <c r="J252" s="26"/>
      <c r="K252" s="34" t="str">
        <f t="shared" si="10"/>
        <v/>
      </c>
      <c r="L252" s="35" t="str">
        <f t="shared" si="11"/>
        <v/>
      </c>
      <c r="M252" s="14"/>
      <c r="N252" s="16"/>
    </row>
    <row r="253" spans="1:14" ht="15.6" x14ac:dyDescent="0.3">
      <c r="A253" s="13" t="str">
        <f t="shared" si="9"/>
        <v>-</v>
      </c>
      <c r="B253" s="25"/>
      <c r="C253" s="25"/>
      <c r="D253" s="25"/>
      <c r="E253" s="25"/>
      <c r="F253" s="22"/>
      <c r="G253" s="34">
        <f>SUMIFS('BASE EXEC. Q.L'!N:N,'BASE EXEC. Q.L'!B:B,VOOS!A253)</f>
        <v>0</v>
      </c>
      <c r="H253" s="15" t="str">
        <f>IFERROR(_xlfn.XLOOKUP(A253,'BASE SQL PLANTIO'!B:B,'BASE SQL PLANTIO'!T:T,"verificar",0),"")</f>
        <v/>
      </c>
      <c r="I253" s="77" t="str">
        <f>IF(_xlfn.MINIFS('BASE SQL PLANTIO'!E:E,'BASE SQL PLANTIO'!B:B,VOOS!A253)=0/1/1900,"",_xlfn.MINIFS('BASE SQL PLANTIO'!E:E,'BASE SQL PLANTIO'!B:B,VOOS!A253))</f>
        <v/>
      </c>
      <c r="J253" s="26"/>
      <c r="K253" s="34" t="str">
        <f t="shared" si="10"/>
        <v/>
      </c>
      <c r="L253" s="35" t="str">
        <f t="shared" si="11"/>
        <v/>
      </c>
      <c r="M253" s="14"/>
      <c r="N253" s="16"/>
    </row>
    <row r="254" spans="1:14" ht="15.6" x14ac:dyDescent="0.3">
      <c r="A254" s="13" t="str">
        <f t="shared" si="9"/>
        <v>-</v>
      </c>
      <c r="B254" s="25"/>
      <c r="C254" s="25"/>
      <c r="D254" s="25"/>
      <c r="E254" s="25"/>
      <c r="F254" s="22"/>
      <c r="G254" s="34">
        <f>SUMIFS('BASE EXEC. Q.L'!N:N,'BASE EXEC. Q.L'!B:B,VOOS!A254)</f>
        <v>0</v>
      </c>
      <c r="H254" s="15" t="str">
        <f>IFERROR(_xlfn.XLOOKUP(A254,'BASE SQL PLANTIO'!B:B,'BASE SQL PLANTIO'!T:T,"verificar",0),"")</f>
        <v/>
      </c>
      <c r="I254" s="77" t="str">
        <f>IF(_xlfn.MINIFS('BASE SQL PLANTIO'!E:E,'BASE SQL PLANTIO'!B:B,VOOS!A254)=0/1/1900,"",_xlfn.MINIFS('BASE SQL PLANTIO'!E:E,'BASE SQL PLANTIO'!B:B,VOOS!A254))</f>
        <v/>
      </c>
      <c r="J254" s="26"/>
      <c r="K254" s="34" t="str">
        <f t="shared" si="10"/>
        <v/>
      </c>
      <c r="L254" s="35" t="str">
        <f t="shared" si="11"/>
        <v/>
      </c>
      <c r="M254" s="14"/>
      <c r="N254" s="16"/>
    </row>
    <row r="255" spans="1:14" ht="15.6" x14ac:dyDescent="0.3">
      <c r="A255" s="13" t="str">
        <f t="shared" si="9"/>
        <v>-</v>
      </c>
      <c r="B255" s="27"/>
      <c r="C255" s="22"/>
      <c r="D255" s="23"/>
      <c r="E255" s="23"/>
      <c r="F255" s="22"/>
      <c r="G255" s="34">
        <f>SUMIFS('BASE EXEC. Q.L'!N:N,'BASE EXEC. Q.L'!B:B,VOOS!A255)</f>
        <v>0</v>
      </c>
      <c r="H255" s="15" t="str">
        <f>IFERROR(_xlfn.XLOOKUP(A255,'BASE SQL PLANTIO'!B:B,'BASE SQL PLANTIO'!T:T,"verificar",0),"")</f>
        <v/>
      </c>
      <c r="I255" s="77" t="str">
        <f>IF(_xlfn.MINIFS('BASE SQL PLANTIO'!E:E,'BASE SQL PLANTIO'!B:B,VOOS!A255)=0/1/1900,"",_xlfn.MINIFS('BASE SQL PLANTIO'!E:E,'BASE SQL PLANTIO'!B:B,VOOS!A255))</f>
        <v/>
      </c>
      <c r="J255" s="22"/>
      <c r="K255" s="34" t="str">
        <f t="shared" si="10"/>
        <v/>
      </c>
      <c r="L255" s="35" t="str">
        <f t="shared" si="11"/>
        <v/>
      </c>
      <c r="M255" s="14"/>
      <c r="N255" s="15"/>
    </row>
    <row r="256" spans="1:14" ht="15.6" x14ac:dyDescent="0.3">
      <c r="A256" s="13" t="str">
        <f t="shared" si="9"/>
        <v>-</v>
      </c>
      <c r="B256" s="27"/>
      <c r="C256" s="26"/>
      <c r="D256" s="26"/>
      <c r="E256" s="26"/>
      <c r="F256" s="22"/>
      <c r="G256" s="34">
        <f>SUMIFS('BASE EXEC. Q.L'!N:N,'BASE EXEC. Q.L'!B:B,VOOS!A256)</f>
        <v>0</v>
      </c>
      <c r="H256" s="15" t="str">
        <f>IFERROR(_xlfn.XLOOKUP(A256,'BASE SQL PLANTIO'!B:B,'BASE SQL PLANTIO'!T:T,"verificar",0),"")</f>
        <v/>
      </c>
      <c r="I256" s="77" t="str">
        <f>IF(_xlfn.MINIFS('BASE SQL PLANTIO'!E:E,'BASE SQL PLANTIO'!B:B,VOOS!A256)=0/1/1900,"",_xlfn.MINIFS('BASE SQL PLANTIO'!E:E,'BASE SQL PLANTIO'!B:B,VOOS!A256))</f>
        <v/>
      </c>
      <c r="J256" s="26"/>
      <c r="K256" s="34" t="str">
        <f t="shared" si="10"/>
        <v/>
      </c>
      <c r="L256" s="35" t="str">
        <f t="shared" si="11"/>
        <v/>
      </c>
      <c r="M256" s="14"/>
      <c r="N256" s="16"/>
    </row>
    <row r="257" spans="1:14" ht="15.6" x14ac:dyDescent="0.3">
      <c r="A257" s="13" t="str">
        <f t="shared" si="9"/>
        <v>-</v>
      </c>
      <c r="B257" s="27"/>
      <c r="C257" s="26"/>
      <c r="D257" s="26"/>
      <c r="E257" s="26"/>
      <c r="F257" s="22"/>
      <c r="G257" s="34">
        <f>SUMIFS('BASE EXEC. Q.L'!N:N,'BASE EXEC. Q.L'!B:B,VOOS!A257)</f>
        <v>0</v>
      </c>
      <c r="H257" s="15" t="str">
        <f>IFERROR(_xlfn.XLOOKUP(A257,'BASE SQL PLANTIO'!B:B,'BASE SQL PLANTIO'!T:T,"verificar",0),"")</f>
        <v/>
      </c>
      <c r="I257" s="77" t="str">
        <f>IF(_xlfn.MINIFS('BASE SQL PLANTIO'!E:E,'BASE SQL PLANTIO'!B:B,VOOS!A257)=0/1/1900,"",_xlfn.MINIFS('BASE SQL PLANTIO'!E:E,'BASE SQL PLANTIO'!B:B,VOOS!A257))</f>
        <v/>
      </c>
      <c r="J257" s="26"/>
      <c r="K257" s="34" t="str">
        <f t="shared" si="10"/>
        <v/>
      </c>
      <c r="L257" s="35" t="str">
        <f t="shared" si="11"/>
        <v/>
      </c>
      <c r="M257" s="14"/>
      <c r="N257" s="16"/>
    </row>
    <row r="258" spans="1:14" ht="15.6" x14ac:dyDescent="0.3">
      <c r="A258" s="13" t="str">
        <f t="shared" si="9"/>
        <v>-</v>
      </c>
      <c r="B258" s="27"/>
      <c r="C258" s="26"/>
      <c r="D258" s="26"/>
      <c r="E258" s="26"/>
      <c r="F258" s="22"/>
      <c r="G258" s="34">
        <f>SUMIFS('BASE EXEC. Q.L'!N:N,'BASE EXEC. Q.L'!B:B,VOOS!A258)</f>
        <v>0</v>
      </c>
      <c r="H258" s="15" t="str">
        <f>IFERROR(_xlfn.XLOOKUP(A258,'BASE SQL PLANTIO'!B:B,'BASE SQL PLANTIO'!T:T,"verificar",0),"")</f>
        <v/>
      </c>
      <c r="I258" s="77" t="str">
        <f>IF(_xlfn.MINIFS('BASE SQL PLANTIO'!E:E,'BASE SQL PLANTIO'!B:B,VOOS!A258)=0/1/1900,"",_xlfn.MINIFS('BASE SQL PLANTIO'!E:E,'BASE SQL PLANTIO'!B:B,VOOS!A258))</f>
        <v/>
      </c>
      <c r="J258" s="26"/>
      <c r="K258" s="34" t="str">
        <f t="shared" si="10"/>
        <v/>
      </c>
      <c r="L258" s="35" t="str">
        <f t="shared" si="11"/>
        <v/>
      </c>
      <c r="M258" s="14"/>
      <c r="N258" s="16"/>
    </row>
    <row r="259" spans="1:14" ht="15.6" x14ac:dyDescent="0.3">
      <c r="A259" s="13" t="str">
        <f t="shared" si="9"/>
        <v>-</v>
      </c>
      <c r="B259" s="25"/>
      <c r="C259" s="25"/>
      <c r="D259" s="25"/>
      <c r="E259" s="25"/>
      <c r="F259" s="22"/>
      <c r="G259" s="34">
        <f>SUMIFS('BASE EXEC. Q.L'!N:N,'BASE EXEC. Q.L'!B:B,VOOS!A259)</f>
        <v>0</v>
      </c>
      <c r="H259" s="15" t="str">
        <f>IFERROR(_xlfn.XLOOKUP(A259,'BASE SQL PLANTIO'!B:B,'BASE SQL PLANTIO'!T:T,"verificar",0),"")</f>
        <v/>
      </c>
      <c r="I259" s="77" t="str">
        <f>IF(_xlfn.MINIFS('BASE SQL PLANTIO'!E:E,'BASE SQL PLANTIO'!B:B,VOOS!A259)=0/1/1900,"",_xlfn.MINIFS('BASE SQL PLANTIO'!E:E,'BASE SQL PLANTIO'!B:B,VOOS!A259))</f>
        <v/>
      </c>
      <c r="J259" s="26"/>
      <c r="K259" s="34" t="str">
        <f t="shared" si="10"/>
        <v/>
      </c>
      <c r="L259" s="35" t="str">
        <f t="shared" si="11"/>
        <v/>
      </c>
      <c r="M259" s="14"/>
      <c r="N259" s="16"/>
    </row>
    <row r="260" spans="1:14" ht="15.6" x14ac:dyDescent="0.3">
      <c r="A260" s="13" t="str">
        <f t="shared" si="9"/>
        <v>-</v>
      </c>
      <c r="B260" s="27"/>
      <c r="C260" s="26"/>
      <c r="D260" s="26"/>
      <c r="E260" s="26"/>
      <c r="F260" s="22"/>
      <c r="G260" s="34">
        <f>SUMIFS('BASE EXEC. Q.L'!N:N,'BASE EXEC. Q.L'!B:B,VOOS!A260)</f>
        <v>0</v>
      </c>
      <c r="H260" s="15" t="str">
        <f>IFERROR(_xlfn.XLOOKUP(A260,'BASE SQL PLANTIO'!B:B,'BASE SQL PLANTIO'!T:T,"verificar",0),"")</f>
        <v/>
      </c>
      <c r="I260" s="77" t="str">
        <f>IF(_xlfn.MINIFS('BASE SQL PLANTIO'!E:E,'BASE SQL PLANTIO'!B:B,VOOS!A260)=0/1/1900,"",_xlfn.MINIFS('BASE SQL PLANTIO'!E:E,'BASE SQL PLANTIO'!B:B,VOOS!A260))</f>
        <v/>
      </c>
      <c r="J260" s="26"/>
      <c r="K260" s="34" t="str">
        <f t="shared" si="10"/>
        <v/>
      </c>
      <c r="L260" s="35" t="str">
        <f t="shared" si="11"/>
        <v/>
      </c>
      <c r="M260" s="14"/>
      <c r="N260" s="16"/>
    </row>
    <row r="261" spans="1:14" ht="15.6" x14ac:dyDescent="0.3">
      <c r="A261" s="13" t="str">
        <f t="shared" ref="A261:A324" si="12">CONCATENATE(B261,"-",E261)</f>
        <v>-</v>
      </c>
      <c r="B261" s="27"/>
      <c r="C261" s="26"/>
      <c r="D261" s="26"/>
      <c r="E261" s="26"/>
      <c r="F261" s="22"/>
      <c r="G261" s="34">
        <f>SUMIFS('BASE EXEC. Q.L'!N:N,'BASE EXEC. Q.L'!B:B,VOOS!A261)</f>
        <v>0</v>
      </c>
      <c r="H261" s="15" t="str">
        <f>IFERROR(_xlfn.XLOOKUP(A261,'BASE SQL PLANTIO'!B:B,'BASE SQL PLANTIO'!T:T,"verificar",0),"")</f>
        <v/>
      </c>
      <c r="I261" s="77" t="str">
        <f>IF(_xlfn.MINIFS('BASE SQL PLANTIO'!E:E,'BASE SQL PLANTIO'!B:B,VOOS!A261)=0/1/1900,"",_xlfn.MINIFS('BASE SQL PLANTIO'!E:E,'BASE SQL PLANTIO'!B:B,VOOS!A261))</f>
        <v/>
      </c>
      <c r="J261" s="26"/>
      <c r="K261" s="34" t="str">
        <f t="shared" ref="K261:K324" si="13">IF(I261="","",$K$3-I261)</f>
        <v/>
      </c>
      <c r="L261" s="35" t="str">
        <f t="shared" ref="L261:L324" si="14">K261</f>
        <v/>
      </c>
      <c r="M261" s="14"/>
      <c r="N261" s="16"/>
    </row>
    <row r="262" spans="1:14" ht="15.6" x14ac:dyDescent="0.3">
      <c r="A262" s="13" t="str">
        <f t="shared" si="12"/>
        <v>-</v>
      </c>
      <c r="B262" s="27"/>
      <c r="C262" s="26"/>
      <c r="D262" s="26"/>
      <c r="E262" s="26"/>
      <c r="F262" s="22"/>
      <c r="G262" s="34">
        <f>SUMIFS('BASE EXEC. Q.L'!N:N,'BASE EXEC. Q.L'!B:B,VOOS!A262)</f>
        <v>0</v>
      </c>
      <c r="H262" s="15" t="str">
        <f>IFERROR(_xlfn.XLOOKUP(A262,'BASE SQL PLANTIO'!B:B,'BASE SQL PLANTIO'!T:T,"verificar",0),"")</f>
        <v/>
      </c>
      <c r="I262" s="77" t="str">
        <f>IF(_xlfn.MINIFS('BASE SQL PLANTIO'!E:E,'BASE SQL PLANTIO'!B:B,VOOS!A262)=0/1/1900,"",_xlfn.MINIFS('BASE SQL PLANTIO'!E:E,'BASE SQL PLANTIO'!B:B,VOOS!A262))</f>
        <v/>
      </c>
      <c r="J262" s="26"/>
      <c r="K262" s="34" t="str">
        <f t="shared" si="13"/>
        <v/>
      </c>
      <c r="L262" s="35" t="str">
        <f t="shared" si="14"/>
        <v/>
      </c>
      <c r="M262" s="14"/>
      <c r="N262" s="16"/>
    </row>
    <row r="263" spans="1:14" ht="15.6" x14ac:dyDescent="0.3">
      <c r="A263" s="13" t="str">
        <f t="shared" si="12"/>
        <v>-</v>
      </c>
      <c r="B263" s="27"/>
      <c r="C263" s="26"/>
      <c r="D263" s="26"/>
      <c r="E263" s="26"/>
      <c r="F263" s="26"/>
      <c r="G263" s="34">
        <f>SUMIFS('BASE EXEC. Q.L'!N:N,'BASE EXEC. Q.L'!B:B,VOOS!A263)</f>
        <v>0</v>
      </c>
      <c r="H263" s="15" t="str">
        <f>IFERROR(_xlfn.XLOOKUP(A263,'BASE SQL PLANTIO'!B:B,'BASE SQL PLANTIO'!T:T,"verificar",0),"")</f>
        <v/>
      </c>
      <c r="I263" s="77" t="str">
        <f>IF(_xlfn.MINIFS('BASE SQL PLANTIO'!E:E,'BASE SQL PLANTIO'!B:B,VOOS!A263)=0/1/1900,"",_xlfn.MINIFS('BASE SQL PLANTIO'!E:E,'BASE SQL PLANTIO'!B:B,VOOS!A263))</f>
        <v/>
      </c>
      <c r="J263" s="26"/>
      <c r="K263" s="34" t="str">
        <f t="shared" si="13"/>
        <v/>
      </c>
      <c r="L263" s="35" t="str">
        <f t="shared" si="14"/>
        <v/>
      </c>
      <c r="M263" s="14"/>
      <c r="N263" s="16"/>
    </row>
    <row r="264" spans="1:14" ht="15.6" x14ac:dyDescent="0.3">
      <c r="A264" s="13" t="str">
        <f t="shared" si="12"/>
        <v>-</v>
      </c>
      <c r="B264" s="27"/>
      <c r="C264" s="26"/>
      <c r="D264" s="26"/>
      <c r="E264" s="26"/>
      <c r="F264" s="26"/>
      <c r="G264" s="34">
        <f>SUMIFS('BASE EXEC. Q.L'!N:N,'BASE EXEC. Q.L'!B:B,VOOS!A264)</f>
        <v>0</v>
      </c>
      <c r="H264" s="15" t="str">
        <f>IFERROR(_xlfn.XLOOKUP(A264,'BASE SQL PLANTIO'!B:B,'BASE SQL PLANTIO'!T:T,"verificar",0),"")</f>
        <v/>
      </c>
      <c r="I264" s="77" t="str">
        <f>IF(_xlfn.MINIFS('BASE SQL PLANTIO'!E:E,'BASE SQL PLANTIO'!B:B,VOOS!A264)=0/1/1900,"",_xlfn.MINIFS('BASE SQL PLANTIO'!E:E,'BASE SQL PLANTIO'!B:B,VOOS!A264))</f>
        <v/>
      </c>
      <c r="J264" s="26"/>
      <c r="K264" s="34" t="str">
        <f t="shared" si="13"/>
        <v/>
      </c>
      <c r="L264" s="35" t="str">
        <f t="shared" si="14"/>
        <v/>
      </c>
      <c r="M264" s="14"/>
      <c r="N264" s="15"/>
    </row>
    <row r="265" spans="1:14" ht="15.6" x14ac:dyDescent="0.3">
      <c r="A265" s="13" t="str">
        <f t="shared" si="12"/>
        <v>-</v>
      </c>
      <c r="B265" s="27"/>
      <c r="C265" s="26"/>
      <c r="D265" s="26"/>
      <c r="E265" s="26"/>
      <c r="F265" s="26"/>
      <c r="G265" s="34">
        <f>SUMIFS('BASE EXEC. Q.L'!N:N,'BASE EXEC. Q.L'!B:B,VOOS!A265)</f>
        <v>0</v>
      </c>
      <c r="H265" s="15" t="str">
        <f>IFERROR(_xlfn.XLOOKUP(A265,'BASE SQL PLANTIO'!B:B,'BASE SQL PLANTIO'!T:T,"verificar",0),"")</f>
        <v/>
      </c>
      <c r="I265" s="77" t="str">
        <f>IF(_xlfn.MINIFS('BASE SQL PLANTIO'!E:E,'BASE SQL PLANTIO'!B:B,VOOS!A265)=0/1/1900,"",_xlfn.MINIFS('BASE SQL PLANTIO'!E:E,'BASE SQL PLANTIO'!B:B,VOOS!A265))</f>
        <v/>
      </c>
      <c r="J265" s="26"/>
      <c r="K265" s="34" t="str">
        <f t="shared" si="13"/>
        <v/>
      </c>
      <c r="L265" s="35" t="str">
        <f t="shared" si="14"/>
        <v/>
      </c>
      <c r="M265" s="14"/>
      <c r="N265" s="16"/>
    </row>
    <row r="266" spans="1:14" ht="15.6" x14ac:dyDescent="0.3">
      <c r="A266" s="13" t="str">
        <f t="shared" si="12"/>
        <v>-</v>
      </c>
      <c r="B266" s="27"/>
      <c r="C266" s="22"/>
      <c r="D266" s="23"/>
      <c r="E266" s="23"/>
      <c r="F266" s="22"/>
      <c r="G266" s="34">
        <f>SUMIFS('BASE EXEC. Q.L'!N:N,'BASE EXEC. Q.L'!B:B,VOOS!A266)</f>
        <v>0</v>
      </c>
      <c r="H266" s="15" t="str">
        <f>IFERROR(_xlfn.XLOOKUP(A266,'BASE SQL PLANTIO'!B:B,'BASE SQL PLANTIO'!T:T,"verificar",0),"")</f>
        <v/>
      </c>
      <c r="I266" s="77" t="str">
        <f>IF(_xlfn.MINIFS('BASE SQL PLANTIO'!E:E,'BASE SQL PLANTIO'!B:B,VOOS!A266)=0/1/1900,"",_xlfn.MINIFS('BASE SQL PLANTIO'!E:E,'BASE SQL PLANTIO'!B:B,VOOS!A266))</f>
        <v/>
      </c>
      <c r="J266" s="22"/>
      <c r="K266" s="34" t="str">
        <f t="shared" si="13"/>
        <v/>
      </c>
      <c r="L266" s="35" t="str">
        <f t="shared" si="14"/>
        <v/>
      </c>
      <c r="M266" s="14"/>
      <c r="N266" s="16"/>
    </row>
    <row r="267" spans="1:14" ht="15.6" x14ac:dyDescent="0.3">
      <c r="A267" s="13" t="str">
        <f t="shared" si="12"/>
        <v>-</v>
      </c>
      <c r="B267" s="27"/>
      <c r="C267" s="26"/>
      <c r="D267" s="26"/>
      <c r="E267" s="26"/>
      <c r="F267" s="26"/>
      <c r="G267" s="34">
        <f>SUMIFS('BASE EXEC. Q.L'!N:N,'BASE EXEC. Q.L'!B:B,VOOS!A267)</f>
        <v>0</v>
      </c>
      <c r="H267" s="15" t="str">
        <f>IFERROR(_xlfn.XLOOKUP(A267,'BASE SQL PLANTIO'!B:B,'BASE SQL PLANTIO'!T:T,"verificar",0),"")</f>
        <v/>
      </c>
      <c r="I267" s="77" t="str">
        <f>IF(_xlfn.MINIFS('BASE SQL PLANTIO'!E:E,'BASE SQL PLANTIO'!B:B,VOOS!A267)=0/1/1900,"",_xlfn.MINIFS('BASE SQL PLANTIO'!E:E,'BASE SQL PLANTIO'!B:B,VOOS!A267))</f>
        <v/>
      </c>
      <c r="J267" s="26"/>
      <c r="K267" s="34" t="str">
        <f t="shared" si="13"/>
        <v/>
      </c>
      <c r="L267" s="35" t="str">
        <f t="shared" si="14"/>
        <v/>
      </c>
      <c r="M267" s="14"/>
      <c r="N267" s="16"/>
    </row>
    <row r="268" spans="1:14" ht="15.6" x14ac:dyDescent="0.3">
      <c r="A268" s="13" t="str">
        <f t="shared" si="12"/>
        <v>-</v>
      </c>
      <c r="B268" s="27"/>
      <c r="C268" s="26"/>
      <c r="D268" s="26"/>
      <c r="E268" s="26"/>
      <c r="F268" s="26"/>
      <c r="G268" s="34">
        <f>SUMIFS('BASE EXEC. Q.L'!N:N,'BASE EXEC. Q.L'!B:B,VOOS!A268)</f>
        <v>0</v>
      </c>
      <c r="H268" s="15" t="str">
        <f>IFERROR(_xlfn.XLOOKUP(A268,'BASE SQL PLANTIO'!B:B,'BASE SQL PLANTIO'!T:T,"verificar",0),"")</f>
        <v/>
      </c>
      <c r="I268" s="77" t="str">
        <f>IF(_xlfn.MINIFS('BASE SQL PLANTIO'!E:E,'BASE SQL PLANTIO'!B:B,VOOS!A268)=0/1/1900,"",_xlfn.MINIFS('BASE SQL PLANTIO'!E:E,'BASE SQL PLANTIO'!B:B,VOOS!A268))</f>
        <v/>
      </c>
      <c r="J268" s="26"/>
      <c r="K268" s="34" t="str">
        <f t="shared" si="13"/>
        <v/>
      </c>
      <c r="L268" s="35" t="str">
        <f t="shared" si="14"/>
        <v/>
      </c>
      <c r="M268" s="14"/>
      <c r="N268" s="16"/>
    </row>
    <row r="269" spans="1:14" ht="15.6" x14ac:dyDescent="0.3">
      <c r="A269" s="13" t="str">
        <f t="shared" si="12"/>
        <v>-</v>
      </c>
      <c r="B269" s="27"/>
      <c r="C269" s="26"/>
      <c r="D269" s="26"/>
      <c r="E269" s="26"/>
      <c r="F269" s="26"/>
      <c r="G269" s="34">
        <f>SUMIFS('BASE EXEC. Q.L'!N:N,'BASE EXEC. Q.L'!B:B,VOOS!A269)</f>
        <v>0</v>
      </c>
      <c r="H269" s="15" t="str">
        <f>IFERROR(_xlfn.XLOOKUP(A269,'BASE SQL PLANTIO'!B:B,'BASE SQL PLANTIO'!T:T,"verificar",0),"")</f>
        <v/>
      </c>
      <c r="I269" s="77" t="str">
        <f>IF(_xlfn.MINIFS('BASE SQL PLANTIO'!E:E,'BASE SQL PLANTIO'!B:B,VOOS!A269)=0/1/1900,"",_xlfn.MINIFS('BASE SQL PLANTIO'!E:E,'BASE SQL PLANTIO'!B:B,VOOS!A269))</f>
        <v/>
      </c>
      <c r="J269" s="26"/>
      <c r="K269" s="34" t="str">
        <f t="shared" si="13"/>
        <v/>
      </c>
      <c r="L269" s="35" t="str">
        <f t="shared" si="14"/>
        <v/>
      </c>
      <c r="M269" s="14"/>
      <c r="N269" s="16"/>
    </row>
    <row r="270" spans="1:14" ht="15.6" x14ac:dyDescent="0.3">
      <c r="A270" s="13" t="str">
        <f t="shared" si="12"/>
        <v>-</v>
      </c>
      <c r="B270" s="27"/>
      <c r="C270" s="26"/>
      <c r="D270" s="26"/>
      <c r="E270" s="26"/>
      <c r="F270" s="26"/>
      <c r="G270" s="34">
        <f>SUMIFS('BASE EXEC. Q.L'!N:N,'BASE EXEC. Q.L'!B:B,VOOS!A270)</f>
        <v>0</v>
      </c>
      <c r="H270" s="15" t="str">
        <f>IFERROR(_xlfn.XLOOKUP(A270,'BASE SQL PLANTIO'!B:B,'BASE SQL PLANTIO'!T:T,"verificar",0),"")</f>
        <v/>
      </c>
      <c r="I270" s="77" t="str">
        <f>IF(_xlfn.MINIFS('BASE SQL PLANTIO'!E:E,'BASE SQL PLANTIO'!B:B,VOOS!A270)=0/1/1900,"",_xlfn.MINIFS('BASE SQL PLANTIO'!E:E,'BASE SQL PLANTIO'!B:B,VOOS!A270))</f>
        <v/>
      </c>
      <c r="J270" s="26"/>
      <c r="K270" s="34" t="str">
        <f t="shared" si="13"/>
        <v/>
      </c>
      <c r="L270" s="35" t="str">
        <f t="shared" si="14"/>
        <v/>
      </c>
      <c r="M270" s="14"/>
      <c r="N270" s="16"/>
    </row>
    <row r="271" spans="1:14" ht="15.6" x14ac:dyDescent="0.3">
      <c r="A271" s="13" t="str">
        <f t="shared" si="12"/>
        <v>-</v>
      </c>
      <c r="B271" s="27"/>
      <c r="C271" s="26"/>
      <c r="D271" s="26"/>
      <c r="E271" s="26"/>
      <c r="F271" s="26"/>
      <c r="G271" s="34">
        <f>SUMIFS('BASE EXEC. Q.L'!N:N,'BASE EXEC. Q.L'!B:B,VOOS!A271)</f>
        <v>0</v>
      </c>
      <c r="H271" s="15" t="str">
        <f>IFERROR(_xlfn.XLOOKUP(A271,'BASE SQL PLANTIO'!B:B,'BASE SQL PLANTIO'!T:T,"verificar",0),"")</f>
        <v/>
      </c>
      <c r="I271" s="77" t="str">
        <f>IF(_xlfn.MINIFS('BASE SQL PLANTIO'!E:E,'BASE SQL PLANTIO'!B:B,VOOS!A271)=0/1/1900,"",_xlfn.MINIFS('BASE SQL PLANTIO'!E:E,'BASE SQL PLANTIO'!B:B,VOOS!A271))</f>
        <v/>
      </c>
      <c r="J271" s="26"/>
      <c r="K271" s="34" t="str">
        <f t="shared" si="13"/>
        <v/>
      </c>
      <c r="L271" s="35" t="str">
        <f t="shared" si="14"/>
        <v/>
      </c>
      <c r="M271" s="14"/>
      <c r="N271" s="16"/>
    </row>
    <row r="272" spans="1:14" ht="15.6" x14ac:dyDescent="0.3">
      <c r="A272" s="13" t="str">
        <f t="shared" si="12"/>
        <v>-</v>
      </c>
      <c r="B272" s="27"/>
      <c r="C272" s="26"/>
      <c r="D272" s="26"/>
      <c r="E272" s="26"/>
      <c r="F272" s="26"/>
      <c r="G272" s="34">
        <f>SUMIFS('BASE EXEC. Q.L'!N:N,'BASE EXEC. Q.L'!B:B,VOOS!A272)</f>
        <v>0</v>
      </c>
      <c r="H272" s="15" t="str">
        <f>IFERROR(_xlfn.XLOOKUP(A272,'BASE SQL PLANTIO'!B:B,'BASE SQL PLANTIO'!T:T,"verificar",0),"")</f>
        <v/>
      </c>
      <c r="I272" s="77" t="str">
        <f>IF(_xlfn.MINIFS('BASE SQL PLANTIO'!E:E,'BASE SQL PLANTIO'!B:B,VOOS!A272)=0/1/1900,"",_xlfn.MINIFS('BASE SQL PLANTIO'!E:E,'BASE SQL PLANTIO'!B:B,VOOS!A272))</f>
        <v/>
      </c>
      <c r="J272" s="26"/>
      <c r="K272" s="34" t="str">
        <f t="shared" si="13"/>
        <v/>
      </c>
      <c r="L272" s="35" t="str">
        <f t="shared" si="14"/>
        <v/>
      </c>
      <c r="M272" s="14"/>
      <c r="N272" s="16"/>
    </row>
    <row r="273" spans="1:14" ht="15.6" x14ac:dyDescent="0.3">
      <c r="A273" s="13" t="str">
        <f t="shared" si="12"/>
        <v>-</v>
      </c>
      <c r="B273" s="27"/>
      <c r="C273" s="26"/>
      <c r="D273" s="26"/>
      <c r="E273" s="26"/>
      <c r="F273" s="26"/>
      <c r="G273" s="34">
        <f>SUMIFS('BASE EXEC. Q.L'!N:N,'BASE EXEC. Q.L'!B:B,VOOS!A273)</f>
        <v>0</v>
      </c>
      <c r="H273" s="15" t="str">
        <f>IFERROR(_xlfn.XLOOKUP(A273,'BASE SQL PLANTIO'!B:B,'BASE SQL PLANTIO'!T:T,"verificar",0),"")</f>
        <v/>
      </c>
      <c r="I273" s="77" t="str">
        <f>IF(_xlfn.MINIFS('BASE SQL PLANTIO'!E:E,'BASE SQL PLANTIO'!B:B,VOOS!A273)=0/1/1900,"",_xlfn.MINIFS('BASE SQL PLANTIO'!E:E,'BASE SQL PLANTIO'!B:B,VOOS!A273))</f>
        <v/>
      </c>
      <c r="J273" s="26"/>
      <c r="K273" s="34" t="str">
        <f t="shared" si="13"/>
        <v/>
      </c>
      <c r="L273" s="35" t="str">
        <f t="shared" si="14"/>
        <v/>
      </c>
      <c r="M273" s="14"/>
      <c r="N273" s="16"/>
    </row>
    <row r="274" spans="1:14" ht="15.6" x14ac:dyDescent="0.3">
      <c r="A274" s="13" t="str">
        <f t="shared" si="12"/>
        <v>-</v>
      </c>
      <c r="B274" s="27"/>
      <c r="C274" s="26"/>
      <c r="D274" s="26"/>
      <c r="E274" s="26"/>
      <c r="F274" s="26"/>
      <c r="G274" s="34">
        <f>SUMIFS('BASE EXEC. Q.L'!N:N,'BASE EXEC. Q.L'!B:B,VOOS!A274)</f>
        <v>0</v>
      </c>
      <c r="H274" s="15" t="str">
        <f>IFERROR(_xlfn.XLOOKUP(A274,'BASE SQL PLANTIO'!B:B,'BASE SQL PLANTIO'!T:T,"verificar",0),"")</f>
        <v/>
      </c>
      <c r="I274" s="77" t="str">
        <f>IF(_xlfn.MINIFS('BASE SQL PLANTIO'!E:E,'BASE SQL PLANTIO'!B:B,VOOS!A274)=0/1/1900,"",_xlfn.MINIFS('BASE SQL PLANTIO'!E:E,'BASE SQL PLANTIO'!B:B,VOOS!A274))</f>
        <v/>
      </c>
      <c r="J274" s="26"/>
      <c r="K274" s="34" t="str">
        <f t="shared" si="13"/>
        <v/>
      </c>
      <c r="L274" s="35" t="str">
        <f t="shared" si="14"/>
        <v/>
      </c>
      <c r="M274" s="14"/>
      <c r="N274" s="16"/>
    </row>
    <row r="275" spans="1:14" ht="15.6" x14ac:dyDescent="0.3">
      <c r="A275" s="13" t="str">
        <f t="shared" si="12"/>
        <v>-</v>
      </c>
      <c r="B275" s="25"/>
      <c r="C275" s="25"/>
      <c r="D275" s="25"/>
      <c r="E275" s="25"/>
      <c r="F275" s="31"/>
      <c r="G275" s="34">
        <f>SUMIFS('BASE EXEC. Q.L'!N:N,'BASE EXEC. Q.L'!B:B,VOOS!A275)</f>
        <v>0</v>
      </c>
      <c r="H275" s="15" t="str">
        <f>IFERROR(_xlfn.XLOOKUP(A275,'BASE SQL PLANTIO'!B:B,'BASE SQL PLANTIO'!T:T,"verificar",0),"")</f>
        <v/>
      </c>
      <c r="I275" s="77" t="str">
        <f>IF(_xlfn.MINIFS('BASE SQL PLANTIO'!E:E,'BASE SQL PLANTIO'!B:B,VOOS!A275)=0/1/1900,"",_xlfn.MINIFS('BASE SQL PLANTIO'!E:E,'BASE SQL PLANTIO'!B:B,VOOS!A275))</f>
        <v/>
      </c>
      <c r="J275" s="26"/>
      <c r="K275" s="34" t="str">
        <f t="shared" si="13"/>
        <v/>
      </c>
      <c r="L275" s="35" t="str">
        <f t="shared" si="14"/>
        <v/>
      </c>
      <c r="M275" s="14"/>
      <c r="N275" s="15"/>
    </row>
    <row r="276" spans="1:14" ht="15.6" x14ac:dyDescent="0.3">
      <c r="A276" s="13" t="str">
        <f t="shared" si="12"/>
        <v>-</v>
      </c>
      <c r="B276" s="27"/>
      <c r="C276" s="26"/>
      <c r="D276" s="26"/>
      <c r="E276" s="26"/>
      <c r="F276" s="26"/>
      <c r="G276" s="34">
        <f>SUMIFS('BASE EXEC. Q.L'!N:N,'BASE EXEC. Q.L'!B:B,VOOS!A276)</f>
        <v>0</v>
      </c>
      <c r="H276" s="15" t="str">
        <f>IFERROR(_xlfn.XLOOKUP(A276,'BASE SQL PLANTIO'!B:B,'BASE SQL PLANTIO'!T:T,"verificar",0),"")</f>
        <v/>
      </c>
      <c r="I276" s="77" t="str">
        <f>IF(_xlfn.MINIFS('BASE SQL PLANTIO'!E:E,'BASE SQL PLANTIO'!B:B,VOOS!A276)=0/1/1900,"",_xlfn.MINIFS('BASE SQL PLANTIO'!E:E,'BASE SQL PLANTIO'!B:B,VOOS!A276))</f>
        <v/>
      </c>
      <c r="J276" s="26"/>
      <c r="K276" s="34" t="str">
        <f t="shared" si="13"/>
        <v/>
      </c>
      <c r="L276" s="35" t="str">
        <f t="shared" si="14"/>
        <v/>
      </c>
      <c r="M276" s="14"/>
      <c r="N276" s="16"/>
    </row>
    <row r="277" spans="1:14" ht="15.6" x14ac:dyDescent="0.3">
      <c r="A277" s="13" t="str">
        <f t="shared" si="12"/>
        <v>-</v>
      </c>
      <c r="B277" s="27"/>
      <c r="C277" s="26"/>
      <c r="D277" s="26"/>
      <c r="E277" s="26"/>
      <c r="F277" s="26"/>
      <c r="G277" s="34">
        <f>SUMIFS('BASE EXEC. Q.L'!N:N,'BASE EXEC. Q.L'!B:B,VOOS!A277)</f>
        <v>0</v>
      </c>
      <c r="H277" s="15" t="str">
        <f>IFERROR(_xlfn.XLOOKUP(A277,'BASE SQL PLANTIO'!B:B,'BASE SQL PLANTIO'!T:T,"verificar",0),"")</f>
        <v/>
      </c>
      <c r="I277" s="77" t="str">
        <f>IF(_xlfn.MINIFS('BASE SQL PLANTIO'!E:E,'BASE SQL PLANTIO'!B:B,VOOS!A277)=0/1/1900,"",_xlfn.MINIFS('BASE SQL PLANTIO'!E:E,'BASE SQL PLANTIO'!B:B,VOOS!A277))</f>
        <v/>
      </c>
      <c r="J277" s="26"/>
      <c r="K277" s="34" t="str">
        <f t="shared" si="13"/>
        <v/>
      </c>
      <c r="L277" s="35" t="str">
        <f t="shared" si="14"/>
        <v/>
      </c>
      <c r="M277" s="14"/>
      <c r="N277" s="16"/>
    </row>
    <row r="278" spans="1:14" ht="15.6" x14ac:dyDescent="0.3">
      <c r="A278" s="13" t="str">
        <f t="shared" si="12"/>
        <v>-</v>
      </c>
      <c r="B278" s="27"/>
      <c r="C278" s="26"/>
      <c r="D278" s="26"/>
      <c r="E278" s="26"/>
      <c r="F278" s="26"/>
      <c r="G278" s="34">
        <f>SUMIFS('BASE EXEC. Q.L'!N:N,'BASE EXEC. Q.L'!B:B,VOOS!A278)</f>
        <v>0</v>
      </c>
      <c r="H278" s="15" t="str">
        <f>IFERROR(_xlfn.XLOOKUP(A278,'BASE SQL PLANTIO'!B:B,'BASE SQL PLANTIO'!T:T,"verificar",0),"")</f>
        <v/>
      </c>
      <c r="I278" s="77" t="str">
        <f>IF(_xlfn.MINIFS('BASE SQL PLANTIO'!E:E,'BASE SQL PLANTIO'!B:B,VOOS!A278)=0/1/1900,"",_xlfn.MINIFS('BASE SQL PLANTIO'!E:E,'BASE SQL PLANTIO'!B:B,VOOS!A278))</f>
        <v/>
      </c>
      <c r="J278" s="26"/>
      <c r="K278" s="34" t="str">
        <f t="shared" si="13"/>
        <v/>
      </c>
      <c r="L278" s="35" t="str">
        <f t="shared" si="14"/>
        <v/>
      </c>
      <c r="M278" s="14"/>
      <c r="N278" s="16"/>
    </row>
    <row r="279" spans="1:14" ht="15.6" x14ac:dyDescent="0.3">
      <c r="A279" s="13" t="str">
        <f t="shared" si="12"/>
        <v>-</v>
      </c>
      <c r="B279" s="27"/>
      <c r="C279" s="26"/>
      <c r="D279" s="26"/>
      <c r="E279" s="26"/>
      <c r="F279" s="26"/>
      <c r="G279" s="34">
        <f>SUMIFS('BASE EXEC. Q.L'!N:N,'BASE EXEC. Q.L'!B:B,VOOS!A279)</f>
        <v>0</v>
      </c>
      <c r="H279" s="15" t="str">
        <f>IFERROR(_xlfn.XLOOKUP(A279,'BASE SQL PLANTIO'!B:B,'BASE SQL PLANTIO'!T:T,"verificar",0),"")</f>
        <v/>
      </c>
      <c r="I279" s="77" t="str">
        <f>IF(_xlfn.MINIFS('BASE SQL PLANTIO'!E:E,'BASE SQL PLANTIO'!B:B,VOOS!A279)=0/1/1900,"",_xlfn.MINIFS('BASE SQL PLANTIO'!E:E,'BASE SQL PLANTIO'!B:B,VOOS!A279))</f>
        <v/>
      </c>
      <c r="J279" s="26"/>
      <c r="K279" s="34" t="str">
        <f t="shared" si="13"/>
        <v/>
      </c>
      <c r="L279" s="35" t="str">
        <f t="shared" si="14"/>
        <v/>
      </c>
      <c r="M279" s="14"/>
      <c r="N279" s="17"/>
    </row>
    <row r="280" spans="1:14" ht="15.6" x14ac:dyDescent="0.3">
      <c r="A280" s="13" t="str">
        <f t="shared" si="12"/>
        <v>-</v>
      </c>
      <c r="B280" s="25"/>
      <c r="C280" s="25"/>
      <c r="D280" s="25"/>
      <c r="E280" s="25"/>
      <c r="F280" s="31"/>
      <c r="G280" s="34">
        <f>SUMIFS('BASE EXEC. Q.L'!N:N,'BASE EXEC. Q.L'!B:B,VOOS!A280)</f>
        <v>0</v>
      </c>
      <c r="H280" s="15" t="str">
        <f>IFERROR(_xlfn.XLOOKUP(A280,'BASE SQL PLANTIO'!B:B,'BASE SQL PLANTIO'!T:T,"verificar",0),"")</f>
        <v/>
      </c>
      <c r="I280" s="77" t="str">
        <f>IF(_xlfn.MINIFS('BASE SQL PLANTIO'!E:E,'BASE SQL PLANTIO'!B:B,VOOS!A280)=0/1/1900,"",_xlfn.MINIFS('BASE SQL PLANTIO'!E:E,'BASE SQL PLANTIO'!B:B,VOOS!A280))</f>
        <v/>
      </c>
      <c r="J280" s="26"/>
      <c r="K280" s="34" t="str">
        <f t="shared" si="13"/>
        <v/>
      </c>
      <c r="L280" s="35" t="str">
        <f t="shared" si="14"/>
        <v/>
      </c>
      <c r="M280" s="14"/>
      <c r="N280" s="19"/>
    </row>
    <row r="281" spans="1:14" ht="15.6" x14ac:dyDescent="0.3">
      <c r="A281" s="13" t="str">
        <f t="shared" si="12"/>
        <v>-</v>
      </c>
      <c r="B281" s="25"/>
      <c r="C281" s="25"/>
      <c r="D281" s="25"/>
      <c r="E281" s="25"/>
      <c r="F281" s="31"/>
      <c r="G281" s="34">
        <f>SUMIFS('BASE EXEC. Q.L'!N:N,'BASE EXEC. Q.L'!B:B,VOOS!A281)</f>
        <v>0</v>
      </c>
      <c r="H281" s="15" t="str">
        <f>IFERROR(_xlfn.XLOOKUP(A281,'BASE SQL PLANTIO'!B:B,'BASE SQL PLANTIO'!T:T,"verificar",0),"")</f>
        <v/>
      </c>
      <c r="I281" s="77" t="str">
        <f>IF(_xlfn.MINIFS('BASE SQL PLANTIO'!E:E,'BASE SQL PLANTIO'!B:B,VOOS!A281)=0/1/1900,"",_xlfn.MINIFS('BASE SQL PLANTIO'!E:E,'BASE SQL PLANTIO'!B:B,VOOS!A281))</f>
        <v/>
      </c>
      <c r="J281" s="26"/>
      <c r="K281" s="34" t="str">
        <f t="shared" si="13"/>
        <v/>
      </c>
      <c r="L281" s="35" t="str">
        <f t="shared" si="14"/>
        <v/>
      </c>
      <c r="M281" s="14"/>
      <c r="N281" s="20"/>
    </row>
    <row r="282" spans="1:14" ht="15.6" x14ac:dyDescent="0.3">
      <c r="A282" s="13" t="str">
        <f t="shared" si="12"/>
        <v>-</v>
      </c>
      <c r="B282" s="27"/>
      <c r="C282" s="26"/>
      <c r="D282" s="26"/>
      <c r="E282" s="26"/>
      <c r="F282" s="26"/>
      <c r="G282" s="34">
        <f>SUMIFS('BASE EXEC. Q.L'!N:N,'BASE EXEC. Q.L'!B:B,VOOS!A282)</f>
        <v>0</v>
      </c>
      <c r="H282" s="15" t="str">
        <f>IFERROR(_xlfn.XLOOKUP(A282,'BASE SQL PLANTIO'!B:B,'BASE SQL PLANTIO'!T:T,"verificar",0),"")</f>
        <v/>
      </c>
      <c r="I282" s="77" t="str">
        <f>IF(_xlfn.MINIFS('BASE SQL PLANTIO'!E:E,'BASE SQL PLANTIO'!B:B,VOOS!A282)=0/1/1900,"",_xlfn.MINIFS('BASE SQL PLANTIO'!E:E,'BASE SQL PLANTIO'!B:B,VOOS!A282))</f>
        <v/>
      </c>
      <c r="J282" s="26"/>
      <c r="K282" s="34" t="str">
        <f t="shared" si="13"/>
        <v/>
      </c>
      <c r="L282" s="35" t="str">
        <f t="shared" si="14"/>
        <v/>
      </c>
      <c r="M282" s="14"/>
      <c r="N282" s="17"/>
    </row>
    <row r="283" spans="1:14" ht="15.6" x14ac:dyDescent="0.3">
      <c r="A283" s="13" t="str">
        <f t="shared" si="12"/>
        <v>-</v>
      </c>
      <c r="B283" s="27"/>
      <c r="C283" s="26"/>
      <c r="D283" s="26"/>
      <c r="E283" s="26"/>
      <c r="F283" s="26"/>
      <c r="G283" s="34">
        <f>SUMIFS('BASE EXEC. Q.L'!N:N,'BASE EXEC. Q.L'!B:B,VOOS!A283)</f>
        <v>0</v>
      </c>
      <c r="H283" s="15" t="str">
        <f>IFERROR(_xlfn.XLOOKUP(A283,'BASE SQL PLANTIO'!B:B,'BASE SQL PLANTIO'!T:T,"verificar",0),"")</f>
        <v/>
      </c>
      <c r="I283" s="77" t="str">
        <f>IF(_xlfn.MINIFS('BASE SQL PLANTIO'!E:E,'BASE SQL PLANTIO'!B:B,VOOS!A283)=0/1/1900,"",_xlfn.MINIFS('BASE SQL PLANTIO'!E:E,'BASE SQL PLANTIO'!B:B,VOOS!A283))</f>
        <v/>
      </c>
      <c r="J283" s="26"/>
      <c r="K283" s="34" t="str">
        <f t="shared" si="13"/>
        <v/>
      </c>
      <c r="L283" s="35" t="str">
        <f t="shared" si="14"/>
        <v/>
      </c>
      <c r="M283" s="14"/>
      <c r="N283" s="17"/>
    </row>
    <row r="284" spans="1:14" ht="15.6" x14ac:dyDescent="0.3">
      <c r="A284" s="13" t="str">
        <f t="shared" si="12"/>
        <v>-</v>
      </c>
      <c r="B284" s="27"/>
      <c r="C284" s="26"/>
      <c r="D284" s="26"/>
      <c r="E284" s="26"/>
      <c r="F284" s="26"/>
      <c r="G284" s="34">
        <f>SUMIFS('BASE EXEC. Q.L'!N:N,'BASE EXEC. Q.L'!B:B,VOOS!A284)</f>
        <v>0</v>
      </c>
      <c r="H284" s="15" t="str">
        <f>IFERROR(_xlfn.XLOOKUP(A284,'BASE SQL PLANTIO'!B:B,'BASE SQL PLANTIO'!T:T,"verificar",0),"")</f>
        <v/>
      </c>
      <c r="I284" s="77" t="str">
        <f>IF(_xlfn.MINIFS('BASE SQL PLANTIO'!E:E,'BASE SQL PLANTIO'!B:B,VOOS!A284)=0/1/1900,"",_xlfn.MINIFS('BASE SQL PLANTIO'!E:E,'BASE SQL PLANTIO'!B:B,VOOS!A284))</f>
        <v/>
      </c>
      <c r="J284" s="26"/>
      <c r="K284" s="34" t="str">
        <f t="shared" si="13"/>
        <v/>
      </c>
      <c r="L284" s="35" t="str">
        <f t="shared" si="14"/>
        <v/>
      </c>
      <c r="M284" s="14"/>
      <c r="N284" s="17"/>
    </row>
    <row r="285" spans="1:14" ht="15.6" x14ac:dyDescent="0.3">
      <c r="A285" s="13" t="str">
        <f t="shared" si="12"/>
        <v>-</v>
      </c>
      <c r="B285" s="25"/>
      <c r="C285" s="25"/>
      <c r="D285" s="25"/>
      <c r="E285" s="25"/>
      <c r="F285" s="31"/>
      <c r="G285" s="34">
        <f>SUMIFS('BASE EXEC. Q.L'!N:N,'BASE EXEC. Q.L'!B:B,VOOS!A285)</f>
        <v>0</v>
      </c>
      <c r="H285" s="15" t="str">
        <f>IFERROR(_xlfn.XLOOKUP(A285,'BASE SQL PLANTIO'!B:B,'BASE SQL PLANTIO'!T:T,"verificar",0),"")</f>
        <v/>
      </c>
      <c r="I285" s="77" t="str">
        <f>IF(_xlfn.MINIFS('BASE SQL PLANTIO'!E:E,'BASE SQL PLANTIO'!B:B,VOOS!A285)=0/1/1900,"",_xlfn.MINIFS('BASE SQL PLANTIO'!E:E,'BASE SQL PLANTIO'!B:B,VOOS!A285))</f>
        <v/>
      </c>
      <c r="J285" s="26"/>
      <c r="K285" s="34" t="str">
        <f t="shared" si="13"/>
        <v/>
      </c>
      <c r="L285" s="35" t="str">
        <f t="shared" si="14"/>
        <v/>
      </c>
      <c r="M285" s="14"/>
      <c r="N285" s="16"/>
    </row>
    <row r="286" spans="1:14" ht="15.6" x14ac:dyDescent="0.3">
      <c r="A286" s="13" t="str">
        <f t="shared" si="12"/>
        <v>-</v>
      </c>
      <c r="B286" s="25"/>
      <c r="C286" s="25"/>
      <c r="D286" s="25"/>
      <c r="E286" s="25"/>
      <c r="F286" s="31"/>
      <c r="G286" s="34">
        <f>SUMIFS('BASE EXEC. Q.L'!N:N,'BASE EXEC. Q.L'!B:B,VOOS!A286)</f>
        <v>0</v>
      </c>
      <c r="H286" s="15" t="str">
        <f>IFERROR(_xlfn.XLOOKUP(A286,'BASE SQL PLANTIO'!B:B,'BASE SQL PLANTIO'!T:T,"verificar",0),"")</f>
        <v/>
      </c>
      <c r="I286" s="77" t="str">
        <f>IF(_xlfn.MINIFS('BASE SQL PLANTIO'!E:E,'BASE SQL PLANTIO'!B:B,VOOS!A286)=0/1/1900,"",_xlfn.MINIFS('BASE SQL PLANTIO'!E:E,'BASE SQL PLANTIO'!B:B,VOOS!A286))</f>
        <v/>
      </c>
      <c r="J286" s="26"/>
      <c r="K286" s="34" t="str">
        <f t="shared" si="13"/>
        <v/>
      </c>
      <c r="L286" s="35" t="str">
        <f t="shared" si="14"/>
        <v/>
      </c>
      <c r="M286" s="14"/>
      <c r="N286" s="16"/>
    </row>
    <row r="287" spans="1:14" ht="15.6" x14ac:dyDescent="0.3">
      <c r="A287" s="13" t="str">
        <f t="shared" si="12"/>
        <v>-</v>
      </c>
      <c r="B287" s="27"/>
      <c r="C287" s="26"/>
      <c r="D287" s="26"/>
      <c r="E287" s="26"/>
      <c r="F287" s="26"/>
      <c r="G287" s="34">
        <f>SUMIFS('BASE EXEC. Q.L'!N:N,'BASE EXEC. Q.L'!B:B,VOOS!A287)</f>
        <v>0</v>
      </c>
      <c r="H287" s="15" t="str">
        <f>IFERROR(_xlfn.XLOOKUP(A287,'BASE SQL PLANTIO'!B:B,'BASE SQL PLANTIO'!T:T,"verificar",0),"")</f>
        <v/>
      </c>
      <c r="I287" s="77" t="str">
        <f>IF(_xlfn.MINIFS('BASE SQL PLANTIO'!E:E,'BASE SQL PLANTIO'!B:B,VOOS!A287)=0/1/1900,"",_xlfn.MINIFS('BASE SQL PLANTIO'!E:E,'BASE SQL PLANTIO'!B:B,VOOS!A287))</f>
        <v/>
      </c>
      <c r="J287" s="26"/>
      <c r="K287" s="34" t="str">
        <f t="shared" si="13"/>
        <v/>
      </c>
      <c r="L287" s="35" t="str">
        <f t="shared" si="14"/>
        <v/>
      </c>
      <c r="M287" s="14"/>
      <c r="N287" s="16"/>
    </row>
    <row r="288" spans="1:14" ht="15.6" x14ac:dyDescent="0.3">
      <c r="A288" s="13" t="str">
        <f t="shared" si="12"/>
        <v>-</v>
      </c>
      <c r="B288" s="27"/>
      <c r="C288" s="26"/>
      <c r="D288" s="26"/>
      <c r="E288" s="26"/>
      <c r="F288" s="26"/>
      <c r="G288" s="34">
        <f>SUMIFS('BASE EXEC. Q.L'!N:N,'BASE EXEC. Q.L'!B:B,VOOS!A288)</f>
        <v>0</v>
      </c>
      <c r="H288" s="15" t="str">
        <f>IFERROR(_xlfn.XLOOKUP(A288,'BASE SQL PLANTIO'!B:B,'BASE SQL PLANTIO'!T:T,"verificar",0),"")</f>
        <v/>
      </c>
      <c r="I288" s="77" t="str">
        <f>IF(_xlfn.MINIFS('BASE SQL PLANTIO'!E:E,'BASE SQL PLANTIO'!B:B,VOOS!A288)=0/1/1900,"",_xlfn.MINIFS('BASE SQL PLANTIO'!E:E,'BASE SQL PLANTIO'!B:B,VOOS!A288))</f>
        <v/>
      </c>
      <c r="J288" s="26"/>
      <c r="K288" s="34" t="str">
        <f t="shared" si="13"/>
        <v/>
      </c>
      <c r="L288" s="35" t="str">
        <f t="shared" si="14"/>
        <v/>
      </c>
      <c r="M288" s="14"/>
      <c r="N288" s="16"/>
    </row>
    <row r="289" spans="1:14" ht="15.6" x14ac:dyDescent="0.3">
      <c r="A289" s="13" t="str">
        <f t="shared" si="12"/>
        <v>-</v>
      </c>
      <c r="B289" s="27"/>
      <c r="C289" s="26"/>
      <c r="D289" s="26"/>
      <c r="E289" s="26"/>
      <c r="F289" s="26"/>
      <c r="G289" s="34">
        <f>SUMIFS('BASE EXEC. Q.L'!N:N,'BASE EXEC. Q.L'!B:B,VOOS!A289)</f>
        <v>0</v>
      </c>
      <c r="H289" s="15" t="str">
        <f>IFERROR(_xlfn.XLOOKUP(A289,'BASE SQL PLANTIO'!B:B,'BASE SQL PLANTIO'!T:T,"verificar",0),"")</f>
        <v/>
      </c>
      <c r="I289" s="77" t="str">
        <f>IF(_xlfn.MINIFS('BASE SQL PLANTIO'!E:E,'BASE SQL PLANTIO'!B:B,VOOS!A289)=0/1/1900,"",_xlfn.MINIFS('BASE SQL PLANTIO'!E:E,'BASE SQL PLANTIO'!B:B,VOOS!A289))</f>
        <v/>
      </c>
      <c r="J289" s="26"/>
      <c r="K289" s="34" t="str">
        <f t="shared" si="13"/>
        <v/>
      </c>
      <c r="L289" s="35" t="str">
        <f t="shared" si="14"/>
        <v/>
      </c>
      <c r="M289" s="14"/>
      <c r="N289" s="16"/>
    </row>
    <row r="290" spans="1:14" ht="15.6" x14ac:dyDescent="0.3">
      <c r="A290" s="13" t="str">
        <f t="shared" si="12"/>
        <v>-</v>
      </c>
      <c r="B290" s="27"/>
      <c r="C290" s="26"/>
      <c r="D290" s="26"/>
      <c r="E290" s="26"/>
      <c r="F290" s="26"/>
      <c r="G290" s="34">
        <f>SUMIFS('BASE EXEC. Q.L'!N:N,'BASE EXEC. Q.L'!B:B,VOOS!A290)</f>
        <v>0</v>
      </c>
      <c r="H290" s="15" t="str">
        <f>IFERROR(_xlfn.XLOOKUP(A290,'BASE SQL PLANTIO'!B:B,'BASE SQL PLANTIO'!T:T,"verificar",0),"")</f>
        <v/>
      </c>
      <c r="I290" s="77" t="str">
        <f>IF(_xlfn.MINIFS('BASE SQL PLANTIO'!E:E,'BASE SQL PLANTIO'!B:B,VOOS!A290)=0/1/1900,"",_xlfn.MINIFS('BASE SQL PLANTIO'!E:E,'BASE SQL PLANTIO'!B:B,VOOS!A290))</f>
        <v/>
      </c>
      <c r="J290" s="26"/>
      <c r="K290" s="34" t="str">
        <f t="shared" si="13"/>
        <v/>
      </c>
      <c r="L290" s="35" t="str">
        <f t="shared" si="14"/>
        <v/>
      </c>
      <c r="M290" s="14"/>
      <c r="N290" s="16"/>
    </row>
    <row r="291" spans="1:14" ht="15.6" x14ac:dyDescent="0.3">
      <c r="A291" s="13" t="str">
        <f t="shared" si="12"/>
        <v>-</v>
      </c>
      <c r="B291" s="27"/>
      <c r="C291" s="26"/>
      <c r="D291" s="26"/>
      <c r="E291" s="26"/>
      <c r="F291" s="26"/>
      <c r="G291" s="34">
        <f>SUMIFS('BASE EXEC. Q.L'!N:N,'BASE EXEC. Q.L'!B:B,VOOS!A291)</f>
        <v>0</v>
      </c>
      <c r="H291" s="15" t="str">
        <f>IFERROR(_xlfn.XLOOKUP(A291,'BASE SQL PLANTIO'!B:B,'BASE SQL PLANTIO'!T:T,"verificar",0),"")</f>
        <v/>
      </c>
      <c r="I291" s="77" t="str">
        <f>IF(_xlfn.MINIFS('BASE SQL PLANTIO'!E:E,'BASE SQL PLANTIO'!B:B,VOOS!A291)=0/1/1900,"",_xlfn.MINIFS('BASE SQL PLANTIO'!E:E,'BASE SQL PLANTIO'!B:B,VOOS!A291))</f>
        <v/>
      </c>
      <c r="J291" s="26"/>
      <c r="K291" s="34" t="str">
        <f t="shared" si="13"/>
        <v/>
      </c>
      <c r="L291" s="35" t="str">
        <f t="shared" si="14"/>
        <v/>
      </c>
      <c r="M291" s="14"/>
      <c r="N291" s="16"/>
    </row>
    <row r="292" spans="1:14" ht="15.6" x14ac:dyDescent="0.3">
      <c r="A292" s="13" t="str">
        <f t="shared" si="12"/>
        <v>-</v>
      </c>
      <c r="B292" s="27"/>
      <c r="C292" s="26"/>
      <c r="D292" s="26"/>
      <c r="E292" s="26"/>
      <c r="F292" s="26"/>
      <c r="G292" s="34">
        <f>SUMIFS('BASE EXEC. Q.L'!N:N,'BASE EXEC. Q.L'!B:B,VOOS!A292)</f>
        <v>0</v>
      </c>
      <c r="H292" s="15" t="str">
        <f>IFERROR(_xlfn.XLOOKUP(A292,'BASE SQL PLANTIO'!B:B,'BASE SQL PLANTIO'!T:T,"verificar",0),"")</f>
        <v/>
      </c>
      <c r="I292" s="77" t="str">
        <f>IF(_xlfn.MINIFS('BASE SQL PLANTIO'!E:E,'BASE SQL PLANTIO'!B:B,VOOS!A292)=0/1/1900,"",_xlfn.MINIFS('BASE SQL PLANTIO'!E:E,'BASE SQL PLANTIO'!B:B,VOOS!A292))</f>
        <v/>
      </c>
      <c r="J292" s="26"/>
      <c r="K292" s="34" t="str">
        <f t="shared" si="13"/>
        <v/>
      </c>
      <c r="L292" s="35" t="str">
        <f t="shared" si="14"/>
        <v/>
      </c>
      <c r="M292" s="14"/>
      <c r="N292" s="16"/>
    </row>
    <row r="293" spans="1:14" ht="15.6" x14ac:dyDescent="0.3">
      <c r="A293" s="13" t="str">
        <f t="shared" si="12"/>
        <v>-</v>
      </c>
      <c r="B293" s="27"/>
      <c r="C293" s="26"/>
      <c r="D293" s="26"/>
      <c r="E293" s="26"/>
      <c r="F293" s="26"/>
      <c r="G293" s="34">
        <f>SUMIFS('BASE EXEC. Q.L'!N:N,'BASE EXEC. Q.L'!B:B,VOOS!A293)</f>
        <v>0</v>
      </c>
      <c r="H293" s="15" t="str">
        <f>IFERROR(_xlfn.XLOOKUP(A293,'BASE SQL PLANTIO'!B:B,'BASE SQL PLANTIO'!T:T,"verificar",0),"")</f>
        <v/>
      </c>
      <c r="I293" s="77" t="str">
        <f>IF(_xlfn.MINIFS('BASE SQL PLANTIO'!E:E,'BASE SQL PLANTIO'!B:B,VOOS!A293)=0/1/1900,"",_xlfn.MINIFS('BASE SQL PLANTIO'!E:E,'BASE SQL PLANTIO'!B:B,VOOS!A293))</f>
        <v/>
      </c>
      <c r="J293" s="26"/>
      <c r="K293" s="34" t="str">
        <f t="shared" si="13"/>
        <v/>
      </c>
      <c r="L293" s="35" t="str">
        <f t="shared" si="14"/>
        <v/>
      </c>
      <c r="M293" s="14"/>
      <c r="N293" s="18"/>
    </row>
    <row r="294" spans="1:14" ht="15.6" x14ac:dyDescent="0.3">
      <c r="A294" s="13" t="str">
        <f t="shared" si="12"/>
        <v>-</v>
      </c>
      <c r="B294" s="27"/>
      <c r="C294" s="26"/>
      <c r="D294" s="26"/>
      <c r="E294" s="26"/>
      <c r="F294" s="26"/>
      <c r="G294" s="34">
        <f>SUMIFS('BASE EXEC. Q.L'!N:N,'BASE EXEC. Q.L'!B:B,VOOS!A294)</f>
        <v>0</v>
      </c>
      <c r="H294" s="15" t="str">
        <f>IFERROR(_xlfn.XLOOKUP(A294,'BASE SQL PLANTIO'!B:B,'BASE SQL PLANTIO'!T:T,"verificar",0),"")</f>
        <v/>
      </c>
      <c r="I294" s="77" t="str">
        <f>IF(_xlfn.MINIFS('BASE SQL PLANTIO'!E:E,'BASE SQL PLANTIO'!B:B,VOOS!A294)=0/1/1900,"",_xlfn.MINIFS('BASE SQL PLANTIO'!E:E,'BASE SQL PLANTIO'!B:B,VOOS!A294))</f>
        <v/>
      </c>
      <c r="J294" s="26"/>
      <c r="K294" s="34" t="str">
        <f t="shared" si="13"/>
        <v/>
      </c>
      <c r="L294" s="35" t="str">
        <f t="shared" si="14"/>
        <v/>
      </c>
      <c r="M294" s="14"/>
      <c r="N294" s="16"/>
    </row>
    <row r="295" spans="1:14" ht="15.6" x14ac:dyDescent="0.3">
      <c r="A295" s="13" t="str">
        <f t="shared" si="12"/>
        <v>-</v>
      </c>
      <c r="B295" s="27"/>
      <c r="C295" s="26"/>
      <c r="D295" s="26"/>
      <c r="E295" s="26"/>
      <c r="F295" s="26"/>
      <c r="G295" s="34">
        <f>SUMIFS('BASE EXEC. Q.L'!N:N,'BASE EXEC. Q.L'!B:B,VOOS!A295)</f>
        <v>0</v>
      </c>
      <c r="H295" s="15" t="str">
        <f>IFERROR(_xlfn.XLOOKUP(A295,'BASE SQL PLANTIO'!B:B,'BASE SQL PLANTIO'!T:T,"verificar",0),"")</f>
        <v/>
      </c>
      <c r="I295" s="77" t="str">
        <f>IF(_xlfn.MINIFS('BASE SQL PLANTIO'!E:E,'BASE SQL PLANTIO'!B:B,VOOS!A295)=0/1/1900,"",_xlfn.MINIFS('BASE SQL PLANTIO'!E:E,'BASE SQL PLANTIO'!B:B,VOOS!A295))</f>
        <v/>
      </c>
      <c r="J295" s="26"/>
      <c r="K295" s="34" t="str">
        <f t="shared" si="13"/>
        <v/>
      </c>
      <c r="L295" s="35" t="str">
        <f t="shared" si="14"/>
        <v/>
      </c>
      <c r="M295" s="14"/>
      <c r="N295" s="16"/>
    </row>
    <row r="296" spans="1:14" ht="15.6" x14ac:dyDescent="0.3">
      <c r="A296" s="13" t="str">
        <f t="shared" si="12"/>
        <v>-</v>
      </c>
      <c r="B296" s="27"/>
      <c r="C296" s="26"/>
      <c r="D296" s="26"/>
      <c r="E296" s="26"/>
      <c r="F296" s="26"/>
      <c r="G296" s="34">
        <f>SUMIFS('BASE EXEC. Q.L'!N:N,'BASE EXEC. Q.L'!B:B,VOOS!A296)</f>
        <v>0</v>
      </c>
      <c r="H296" s="15" t="str">
        <f>IFERROR(_xlfn.XLOOKUP(A296,'BASE SQL PLANTIO'!B:B,'BASE SQL PLANTIO'!T:T,"verificar",0),"")</f>
        <v/>
      </c>
      <c r="I296" s="77" t="str">
        <f>IF(_xlfn.MINIFS('BASE SQL PLANTIO'!E:E,'BASE SQL PLANTIO'!B:B,VOOS!A296)=0/1/1900,"",_xlfn.MINIFS('BASE SQL PLANTIO'!E:E,'BASE SQL PLANTIO'!B:B,VOOS!A296))</f>
        <v/>
      </c>
      <c r="J296" s="26"/>
      <c r="K296" s="34" t="str">
        <f t="shared" si="13"/>
        <v/>
      </c>
      <c r="L296" s="35" t="str">
        <f t="shared" si="14"/>
        <v/>
      </c>
      <c r="M296" s="14"/>
      <c r="N296" s="16"/>
    </row>
    <row r="297" spans="1:14" ht="15.6" x14ac:dyDescent="0.3">
      <c r="A297" s="13" t="str">
        <f t="shared" si="12"/>
        <v>-</v>
      </c>
      <c r="B297" s="27"/>
      <c r="C297" s="22"/>
      <c r="D297" s="23"/>
      <c r="E297" s="23"/>
      <c r="F297" s="22"/>
      <c r="G297" s="34">
        <f>SUMIFS('BASE EXEC. Q.L'!N:N,'BASE EXEC. Q.L'!B:B,VOOS!A297)</f>
        <v>0</v>
      </c>
      <c r="H297" s="15" t="str">
        <f>IFERROR(_xlfn.XLOOKUP(A297,'BASE SQL PLANTIO'!B:B,'BASE SQL PLANTIO'!T:T,"verificar",0),"")</f>
        <v/>
      </c>
      <c r="I297" s="77" t="str">
        <f>IF(_xlfn.MINIFS('BASE SQL PLANTIO'!E:E,'BASE SQL PLANTIO'!B:B,VOOS!A297)=0/1/1900,"",_xlfn.MINIFS('BASE SQL PLANTIO'!E:E,'BASE SQL PLANTIO'!B:B,VOOS!A297))</f>
        <v/>
      </c>
      <c r="J297" s="22"/>
      <c r="K297" s="34" t="str">
        <f t="shared" si="13"/>
        <v/>
      </c>
      <c r="L297" s="35" t="str">
        <f t="shared" si="14"/>
        <v/>
      </c>
      <c r="M297" s="14"/>
      <c r="N297" s="16"/>
    </row>
    <row r="298" spans="1:14" ht="15.6" x14ac:dyDescent="0.3">
      <c r="A298" s="13" t="str">
        <f t="shared" si="12"/>
        <v>-</v>
      </c>
      <c r="B298" s="27"/>
      <c r="C298" s="26"/>
      <c r="D298" s="26"/>
      <c r="E298" s="26"/>
      <c r="F298" s="26"/>
      <c r="G298" s="34">
        <f>SUMIFS('BASE EXEC. Q.L'!N:N,'BASE EXEC. Q.L'!B:B,VOOS!A298)</f>
        <v>0</v>
      </c>
      <c r="H298" s="15" t="str">
        <f>IFERROR(_xlfn.XLOOKUP(A298,'BASE SQL PLANTIO'!B:B,'BASE SQL PLANTIO'!T:T,"verificar",0),"")</f>
        <v/>
      </c>
      <c r="I298" s="77" t="str">
        <f>IF(_xlfn.MINIFS('BASE SQL PLANTIO'!E:E,'BASE SQL PLANTIO'!B:B,VOOS!A298)=0/1/1900,"",_xlfn.MINIFS('BASE SQL PLANTIO'!E:E,'BASE SQL PLANTIO'!B:B,VOOS!A298))</f>
        <v/>
      </c>
      <c r="J298" s="26"/>
      <c r="K298" s="34" t="str">
        <f t="shared" si="13"/>
        <v/>
      </c>
      <c r="L298" s="35" t="str">
        <f t="shared" si="14"/>
        <v/>
      </c>
      <c r="M298" s="14"/>
      <c r="N298" s="15"/>
    </row>
    <row r="299" spans="1:14" ht="15.6" x14ac:dyDescent="0.3">
      <c r="A299" s="13" t="str">
        <f t="shared" si="12"/>
        <v>-</v>
      </c>
      <c r="B299" s="27"/>
      <c r="C299" s="26"/>
      <c r="D299" s="26"/>
      <c r="E299" s="26"/>
      <c r="F299" s="26"/>
      <c r="G299" s="34">
        <f>SUMIFS('BASE EXEC. Q.L'!N:N,'BASE EXEC. Q.L'!B:B,VOOS!A299)</f>
        <v>0</v>
      </c>
      <c r="H299" s="15" t="str">
        <f>IFERROR(_xlfn.XLOOKUP(A299,'BASE SQL PLANTIO'!B:B,'BASE SQL PLANTIO'!T:T,"verificar",0),"")</f>
        <v/>
      </c>
      <c r="I299" s="77" t="str">
        <f>IF(_xlfn.MINIFS('BASE SQL PLANTIO'!E:E,'BASE SQL PLANTIO'!B:B,VOOS!A299)=0/1/1900,"",_xlfn.MINIFS('BASE SQL PLANTIO'!E:E,'BASE SQL PLANTIO'!B:B,VOOS!A299))</f>
        <v/>
      </c>
      <c r="J299" s="26"/>
      <c r="K299" s="34" t="str">
        <f t="shared" si="13"/>
        <v/>
      </c>
      <c r="L299" s="35" t="str">
        <f t="shared" si="14"/>
        <v/>
      </c>
      <c r="M299" s="14"/>
      <c r="N299" s="16"/>
    </row>
    <row r="300" spans="1:14" ht="15.6" x14ac:dyDescent="0.3">
      <c r="A300" s="13" t="str">
        <f t="shared" si="12"/>
        <v>-</v>
      </c>
      <c r="B300" s="27"/>
      <c r="C300" s="26"/>
      <c r="D300" s="26"/>
      <c r="E300" s="26"/>
      <c r="F300" s="26"/>
      <c r="G300" s="34">
        <f>SUMIFS('BASE EXEC. Q.L'!N:N,'BASE EXEC. Q.L'!B:B,VOOS!A300)</f>
        <v>0</v>
      </c>
      <c r="H300" s="15" t="str">
        <f>IFERROR(_xlfn.XLOOKUP(A300,'BASE SQL PLANTIO'!B:B,'BASE SQL PLANTIO'!T:T,"verificar",0),"")</f>
        <v/>
      </c>
      <c r="I300" s="77" t="str">
        <f>IF(_xlfn.MINIFS('BASE SQL PLANTIO'!E:E,'BASE SQL PLANTIO'!B:B,VOOS!A300)=0/1/1900,"",_xlfn.MINIFS('BASE SQL PLANTIO'!E:E,'BASE SQL PLANTIO'!B:B,VOOS!A300))</f>
        <v/>
      </c>
      <c r="J300" s="26"/>
      <c r="K300" s="34" t="str">
        <f t="shared" si="13"/>
        <v/>
      </c>
      <c r="L300" s="35" t="str">
        <f t="shared" si="14"/>
        <v/>
      </c>
      <c r="M300" s="14"/>
      <c r="N300" s="16"/>
    </row>
    <row r="301" spans="1:14" ht="15.6" x14ac:dyDescent="0.3">
      <c r="A301" s="13" t="str">
        <f t="shared" si="12"/>
        <v>-</v>
      </c>
      <c r="B301" s="27"/>
      <c r="C301" s="26"/>
      <c r="D301" s="26"/>
      <c r="E301" s="26"/>
      <c r="F301" s="26"/>
      <c r="G301" s="34">
        <f>SUMIFS('BASE EXEC. Q.L'!N:N,'BASE EXEC. Q.L'!B:B,VOOS!A301)</f>
        <v>0</v>
      </c>
      <c r="H301" s="15" t="str">
        <f>IFERROR(_xlfn.XLOOKUP(A301,'BASE SQL PLANTIO'!B:B,'BASE SQL PLANTIO'!T:T,"verificar",0),"")</f>
        <v/>
      </c>
      <c r="I301" s="77" t="str">
        <f>IF(_xlfn.MINIFS('BASE SQL PLANTIO'!E:E,'BASE SQL PLANTIO'!B:B,VOOS!A301)=0/1/1900,"",_xlfn.MINIFS('BASE SQL PLANTIO'!E:E,'BASE SQL PLANTIO'!B:B,VOOS!A301))</f>
        <v/>
      </c>
      <c r="J301" s="26"/>
      <c r="K301" s="34" t="str">
        <f t="shared" si="13"/>
        <v/>
      </c>
      <c r="L301" s="35" t="str">
        <f t="shared" si="14"/>
        <v/>
      </c>
      <c r="M301" s="14"/>
      <c r="N301" s="16"/>
    </row>
    <row r="302" spans="1:14" ht="15.6" x14ac:dyDescent="0.3">
      <c r="A302" s="13" t="str">
        <f t="shared" si="12"/>
        <v>-</v>
      </c>
      <c r="B302" s="25"/>
      <c r="C302" s="25"/>
      <c r="D302" s="25"/>
      <c r="E302" s="25"/>
      <c r="F302" s="31"/>
      <c r="G302" s="34">
        <f>SUMIFS('BASE EXEC. Q.L'!N:N,'BASE EXEC. Q.L'!B:B,VOOS!A302)</f>
        <v>0</v>
      </c>
      <c r="H302" s="15" t="str">
        <f>IFERROR(_xlfn.XLOOKUP(A302,'BASE SQL PLANTIO'!B:B,'BASE SQL PLANTIO'!T:T,"verificar",0),"")</f>
        <v/>
      </c>
      <c r="I302" s="77" t="str">
        <f>IF(_xlfn.MINIFS('BASE SQL PLANTIO'!E:E,'BASE SQL PLANTIO'!B:B,VOOS!A302)=0/1/1900,"",_xlfn.MINIFS('BASE SQL PLANTIO'!E:E,'BASE SQL PLANTIO'!B:B,VOOS!A302))</f>
        <v/>
      </c>
      <c r="J302" s="26"/>
      <c r="K302" s="34" t="str">
        <f t="shared" si="13"/>
        <v/>
      </c>
      <c r="L302" s="35" t="str">
        <f t="shared" si="14"/>
        <v/>
      </c>
      <c r="M302" s="14"/>
      <c r="N302" s="16"/>
    </row>
    <row r="303" spans="1:14" ht="15.6" x14ac:dyDescent="0.3">
      <c r="A303" s="13" t="str">
        <f t="shared" si="12"/>
        <v>-</v>
      </c>
      <c r="B303" s="25"/>
      <c r="C303" s="25"/>
      <c r="D303" s="25"/>
      <c r="E303" s="25"/>
      <c r="F303" s="31"/>
      <c r="G303" s="34">
        <f>SUMIFS('BASE EXEC. Q.L'!N:N,'BASE EXEC. Q.L'!B:B,VOOS!A303)</f>
        <v>0</v>
      </c>
      <c r="H303" s="15" t="str">
        <f>IFERROR(_xlfn.XLOOKUP(A303,'BASE SQL PLANTIO'!B:B,'BASE SQL PLANTIO'!T:T,"verificar",0),"")</f>
        <v/>
      </c>
      <c r="I303" s="77" t="str">
        <f>IF(_xlfn.MINIFS('BASE SQL PLANTIO'!E:E,'BASE SQL PLANTIO'!B:B,VOOS!A303)=0/1/1900,"",_xlfn.MINIFS('BASE SQL PLANTIO'!E:E,'BASE SQL PLANTIO'!B:B,VOOS!A303))</f>
        <v/>
      </c>
      <c r="J303" s="26"/>
      <c r="K303" s="34" t="str">
        <f t="shared" si="13"/>
        <v/>
      </c>
      <c r="L303" s="35" t="str">
        <f t="shared" si="14"/>
        <v/>
      </c>
      <c r="M303" s="14"/>
      <c r="N303" s="16"/>
    </row>
    <row r="304" spans="1:14" ht="15.6" x14ac:dyDescent="0.3">
      <c r="A304" s="13" t="str">
        <f t="shared" si="12"/>
        <v>-</v>
      </c>
      <c r="B304" s="25"/>
      <c r="C304" s="25"/>
      <c r="D304" s="25"/>
      <c r="E304" s="25"/>
      <c r="F304" s="31"/>
      <c r="G304" s="34">
        <f>SUMIFS('BASE EXEC. Q.L'!N:N,'BASE EXEC. Q.L'!B:B,VOOS!A304)</f>
        <v>0</v>
      </c>
      <c r="H304" s="15" t="str">
        <f>IFERROR(_xlfn.XLOOKUP(A304,'BASE SQL PLANTIO'!B:B,'BASE SQL PLANTIO'!T:T,"verificar",0),"")</f>
        <v/>
      </c>
      <c r="I304" s="77" t="str">
        <f>IF(_xlfn.MINIFS('BASE SQL PLANTIO'!E:E,'BASE SQL PLANTIO'!B:B,VOOS!A304)=0/1/1900,"",_xlfn.MINIFS('BASE SQL PLANTIO'!E:E,'BASE SQL PLANTIO'!B:B,VOOS!A304))</f>
        <v/>
      </c>
      <c r="J304" s="26"/>
      <c r="K304" s="34" t="str">
        <f t="shared" si="13"/>
        <v/>
      </c>
      <c r="L304" s="35" t="str">
        <f t="shared" si="14"/>
        <v/>
      </c>
      <c r="M304" s="14"/>
      <c r="N304" s="16"/>
    </row>
    <row r="305" spans="1:14" ht="15.6" x14ac:dyDescent="0.3">
      <c r="A305" s="13" t="str">
        <f t="shared" si="12"/>
        <v>-</v>
      </c>
      <c r="B305" s="27"/>
      <c r="C305" s="26"/>
      <c r="D305" s="26"/>
      <c r="E305" s="26"/>
      <c r="F305" s="26"/>
      <c r="G305" s="34">
        <f>SUMIFS('BASE EXEC. Q.L'!N:N,'BASE EXEC. Q.L'!B:B,VOOS!A305)</f>
        <v>0</v>
      </c>
      <c r="H305" s="15" t="str">
        <f>IFERROR(_xlfn.XLOOKUP(A305,'BASE SQL PLANTIO'!B:B,'BASE SQL PLANTIO'!T:T,"verificar",0),"")</f>
        <v/>
      </c>
      <c r="I305" s="77" t="str">
        <f>IF(_xlfn.MINIFS('BASE SQL PLANTIO'!E:E,'BASE SQL PLANTIO'!B:B,VOOS!A305)=0/1/1900,"",_xlfn.MINIFS('BASE SQL PLANTIO'!E:E,'BASE SQL PLANTIO'!B:B,VOOS!A305))</f>
        <v/>
      </c>
      <c r="J305" s="26"/>
      <c r="K305" s="34" t="str">
        <f t="shared" si="13"/>
        <v/>
      </c>
      <c r="L305" s="35" t="str">
        <f t="shared" si="14"/>
        <v/>
      </c>
      <c r="M305" s="14"/>
      <c r="N305" s="16"/>
    </row>
    <row r="306" spans="1:14" ht="15.6" x14ac:dyDescent="0.3">
      <c r="A306" s="13" t="str">
        <f t="shared" si="12"/>
        <v>-</v>
      </c>
      <c r="B306" s="27"/>
      <c r="C306" s="26"/>
      <c r="D306" s="26"/>
      <c r="E306" s="26"/>
      <c r="F306" s="26"/>
      <c r="G306" s="34">
        <f>SUMIFS('BASE EXEC. Q.L'!N:N,'BASE EXEC. Q.L'!B:B,VOOS!A306)</f>
        <v>0</v>
      </c>
      <c r="H306" s="15" t="str">
        <f>IFERROR(_xlfn.XLOOKUP(A306,'BASE SQL PLANTIO'!B:B,'BASE SQL PLANTIO'!T:T,"verificar",0),"")</f>
        <v/>
      </c>
      <c r="I306" s="77" t="str">
        <f>IF(_xlfn.MINIFS('BASE SQL PLANTIO'!E:E,'BASE SQL PLANTIO'!B:B,VOOS!A306)=0/1/1900,"",_xlfn.MINIFS('BASE SQL PLANTIO'!E:E,'BASE SQL PLANTIO'!B:B,VOOS!A306))</f>
        <v/>
      </c>
      <c r="J306" s="26"/>
      <c r="K306" s="34" t="str">
        <f t="shared" si="13"/>
        <v/>
      </c>
      <c r="L306" s="35" t="str">
        <f t="shared" si="14"/>
        <v/>
      </c>
      <c r="M306" s="14"/>
      <c r="N306" s="16"/>
    </row>
    <row r="307" spans="1:14" ht="15.6" x14ac:dyDescent="0.3">
      <c r="A307" s="13" t="str">
        <f t="shared" si="12"/>
        <v>-</v>
      </c>
      <c r="B307" s="27"/>
      <c r="C307" s="26"/>
      <c r="D307" s="26"/>
      <c r="E307" s="26"/>
      <c r="F307" s="26"/>
      <c r="G307" s="34">
        <f>SUMIFS('BASE EXEC. Q.L'!N:N,'BASE EXEC. Q.L'!B:B,VOOS!A307)</f>
        <v>0</v>
      </c>
      <c r="H307" s="15" t="str">
        <f>IFERROR(_xlfn.XLOOKUP(A307,'BASE SQL PLANTIO'!B:B,'BASE SQL PLANTIO'!T:T,"verificar",0),"")</f>
        <v/>
      </c>
      <c r="I307" s="77" t="str">
        <f>IF(_xlfn.MINIFS('BASE SQL PLANTIO'!E:E,'BASE SQL PLANTIO'!B:B,VOOS!A307)=0/1/1900,"",_xlfn.MINIFS('BASE SQL PLANTIO'!E:E,'BASE SQL PLANTIO'!B:B,VOOS!A307))</f>
        <v/>
      </c>
      <c r="J307" s="26"/>
      <c r="K307" s="34" t="str">
        <f t="shared" si="13"/>
        <v/>
      </c>
      <c r="L307" s="35" t="str">
        <f t="shared" si="14"/>
        <v/>
      </c>
      <c r="M307" s="14"/>
      <c r="N307" s="16"/>
    </row>
    <row r="308" spans="1:14" ht="15.6" x14ac:dyDescent="0.3">
      <c r="A308" s="13" t="str">
        <f t="shared" si="12"/>
        <v>-</v>
      </c>
      <c r="B308" s="27"/>
      <c r="C308" s="26"/>
      <c r="D308" s="26"/>
      <c r="E308" s="26"/>
      <c r="F308" s="26"/>
      <c r="G308" s="34">
        <f>SUMIFS('BASE EXEC. Q.L'!N:N,'BASE EXEC. Q.L'!B:B,VOOS!A308)</f>
        <v>0</v>
      </c>
      <c r="H308" s="15" t="str">
        <f>IFERROR(_xlfn.XLOOKUP(A308,'BASE SQL PLANTIO'!B:B,'BASE SQL PLANTIO'!T:T,"verificar",0),"")</f>
        <v/>
      </c>
      <c r="I308" s="77" t="str">
        <f>IF(_xlfn.MINIFS('BASE SQL PLANTIO'!E:E,'BASE SQL PLANTIO'!B:B,VOOS!A308)=0/1/1900,"",_xlfn.MINIFS('BASE SQL PLANTIO'!E:E,'BASE SQL PLANTIO'!B:B,VOOS!A308))</f>
        <v/>
      </c>
      <c r="J308" s="26"/>
      <c r="K308" s="34" t="str">
        <f t="shared" si="13"/>
        <v/>
      </c>
      <c r="L308" s="35" t="str">
        <f t="shared" si="14"/>
        <v/>
      </c>
      <c r="M308" s="14"/>
      <c r="N308" s="16"/>
    </row>
    <row r="309" spans="1:14" ht="15.6" x14ac:dyDescent="0.3">
      <c r="A309" s="13" t="str">
        <f t="shared" si="12"/>
        <v>-</v>
      </c>
      <c r="B309" s="27"/>
      <c r="C309" s="26"/>
      <c r="D309" s="26"/>
      <c r="E309" s="26"/>
      <c r="F309" s="26"/>
      <c r="G309" s="34">
        <f>SUMIFS('BASE EXEC. Q.L'!N:N,'BASE EXEC. Q.L'!B:B,VOOS!A309)</f>
        <v>0</v>
      </c>
      <c r="H309" s="15" t="str">
        <f>IFERROR(_xlfn.XLOOKUP(A309,'BASE SQL PLANTIO'!B:B,'BASE SQL PLANTIO'!T:T,"verificar",0),"")</f>
        <v/>
      </c>
      <c r="I309" s="77" t="str">
        <f>IF(_xlfn.MINIFS('BASE SQL PLANTIO'!E:E,'BASE SQL PLANTIO'!B:B,VOOS!A309)=0/1/1900,"",_xlfn.MINIFS('BASE SQL PLANTIO'!E:E,'BASE SQL PLANTIO'!B:B,VOOS!A309))</f>
        <v/>
      </c>
      <c r="J309" s="26"/>
      <c r="K309" s="34" t="str">
        <f t="shared" si="13"/>
        <v/>
      </c>
      <c r="L309" s="35" t="str">
        <f t="shared" si="14"/>
        <v/>
      </c>
      <c r="M309" s="14"/>
      <c r="N309" s="15"/>
    </row>
    <row r="310" spans="1:14" ht="15.6" x14ac:dyDescent="0.3">
      <c r="A310" s="13" t="str">
        <f t="shared" si="12"/>
        <v>-</v>
      </c>
      <c r="B310" s="27"/>
      <c r="C310" s="26"/>
      <c r="D310" s="26"/>
      <c r="E310" s="26"/>
      <c r="F310" s="26"/>
      <c r="G310" s="34">
        <f>SUMIFS('BASE EXEC. Q.L'!N:N,'BASE EXEC. Q.L'!B:B,VOOS!A310)</f>
        <v>0</v>
      </c>
      <c r="H310" s="15" t="str">
        <f>IFERROR(_xlfn.XLOOKUP(A310,'BASE SQL PLANTIO'!B:B,'BASE SQL PLANTIO'!T:T,"verificar",0),"")</f>
        <v/>
      </c>
      <c r="I310" s="77" t="str">
        <f>IF(_xlfn.MINIFS('BASE SQL PLANTIO'!E:E,'BASE SQL PLANTIO'!B:B,VOOS!A310)=0/1/1900,"",_xlfn.MINIFS('BASE SQL PLANTIO'!E:E,'BASE SQL PLANTIO'!B:B,VOOS!A310))</f>
        <v/>
      </c>
      <c r="J310" s="26"/>
      <c r="K310" s="34" t="str">
        <f t="shared" si="13"/>
        <v/>
      </c>
      <c r="L310" s="35" t="str">
        <f t="shared" si="14"/>
        <v/>
      </c>
      <c r="M310" s="14"/>
      <c r="N310" s="16"/>
    </row>
    <row r="311" spans="1:14" ht="15.6" x14ac:dyDescent="0.3">
      <c r="A311" s="13" t="str">
        <f t="shared" si="12"/>
        <v>-</v>
      </c>
      <c r="B311" s="27"/>
      <c r="C311" s="26"/>
      <c r="D311" s="26"/>
      <c r="E311" s="26"/>
      <c r="F311" s="26"/>
      <c r="G311" s="34">
        <f>SUMIFS('BASE EXEC. Q.L'!N:N,'BASE EXEC. Q.L'!B:B,VOOS!A311)</f>
        <v>0</v>
      </c>
      <c r="H311" s="15" t="str">
        <f>IFERROR(_xlfn.XLOOKUP(A311,'BASE SQL PLANTIO'!B:B,'BASE SQL PLANTIO'!T:T,"verificar",0),"")</f>
        <v/>
      </c>
      <c r="I311" s="77" t="str">
        <f>IF(_xlfn.MINIFS('BASE SQL PLANTIO'!E:E,'BASE SQL PLANTIO'!B:B,VOOS!A311)=0/1/1900,"",_xlfn.MINIFS('BASE SQL PLANTIO'!E:E,'BASE SQL PLANTIO'!B:B,VOOS!A311))</f>
        <v/>
      </c>
      <c r="J311" s="26"/>
      <c r="K311" s="34" t="str">
        <f t="shared" si="13"/>
        <v/>
      </c>
      <c r="L311" s="35" t="str">
        <f t="shared" si="14"/>
        <v/>
      </c>
      <c r="M311" s="14"/>
      <c r="N311" s="16"/>
    </row>
    <row r="312" spans="1:14" ht="15.6" x14ac:dyDescent="0.3">
      <c r="A312" s="13" t="str">
        <f t="shared" si="12"/>
        <v>-</v>
      </c>
      <c r="B312" s="27"/>
      <c r="C312" s="26"/>
      <c r="D312" s="26"/>
      <c r="E312" s="26"/>
      <c r="F312" s="26"/>
      <c r="G312" s="34">
        <f>SUMIFS('BASE EXEC. Q.L'!N:N,'BASE EXEC. Q.L'!B:B,VOOS!A312)</f>
        <v>0</v>
      </c>
      <c r="H312" s="15" t="str">
        <f>IFERROR(_xlfn.XLOOKUP(A312,'BASE SQL PLANTIO'!B:B,'BASE SQL PLANTIO'!T:T,"verificar",0),"")</f>
        <v/>
      </c>
      <c r="I312" s="77" t="str">
        <f>IF(_xlfn.MINIFS('BASE SQL PLANTIO'!E:E,'BASE SQL PLANTIO'!B:B,VOOS!A312)=0/1/1900,"",_xlfn.MINIFS('BASE SQL PLANTIO'!E:E,'BASE SQL PLANTIO'!B:B,VOOS!A312))</f>
        <v/>
      </c>
      <c r="J312" s="26"/>
      <c r="K312" s="34" t="str">
        <f t="shared" si="13"/>
        <v/>
      </c>
      <c r="L312" s="35" t="str">
        <f t="shared" si="14"/>
        <v/>
      </c>
      <c r="M312" s="14"/>
      <c r="N312" s="16"/>
    </row>
    <row r="313" spans="1:14" ht="15.6" x14ac:dyDescent="0.3">
      <c r="A313" s="13" t="str">
        <f t="shared" si="12"/>
        <v>-</v>
      </c>
      <c r="B313" s="27"/>
      <c r="C313" s="26"/>
      <c r="D313" s="26"/>
      <c r="E313" s="26"/>
      <c r="F313" s="26"/>
      <c r="G313" s="34">
        <f>SUMIFS('BASE EXEC. Q.L'!N:N,'BASE EXEC. Q.L'!B:B,VOOS!A313)</f>
        <v>0</v>
      </c>
      <c r="H313" s="15" t="str">
        <f>IFERROR(_xlfn.XLOOKUP(A313,'BASE SQL PLANTIO'!B:B,'BASE SQL PLANTIO'!T:T,"verificar",0),"")</f>
        <v/>
      </c>
      <c r="I313" s="77" t="str">
        <f>IF(_xlfn.MINIFS('BASE SQL PLANTIO'!E:E,'BASE SQL PLANTIO'!B:B,VOOS!A313)=0/1/1900,"",_xlfn.MINIFS('BASE SQL PLANTIO'!E:E,'BASE SQL PLANTIO'!B:B,VOOS!A313))</f>
        <v/>
      </c>
      <c r="J313" s="26"/>
      <c r="K313" s="34" t="str">
        <f t="shared" si="13"/>
        <v/>
      </c>
      <c r="L313" s="35" t="str">
        <f t="shared" si="14"/>
        <v/>
      </c>
      <c r="M313" s="14"/>
      <c r="N313" s="16"/>
    </row>
    <row r="314" spans="1:14" ht="15.6" x14ac:dyDescent="0.3">
      <c r="A314" s="13" t="str">
        <f t="shared" si="12"/>
        <v>-</v>
      </c>
      <c r="B314" s="27"/>
      <c r="C314" s="26"/>
      <c r="D314" s="26"/>
      <c r="E314" s="26"/>
      <c r="F314" s="26"/>
      <c r="G314" s="34">
        <f>SUMIFS('BASE EXEC. Q.L'!N:N,'BASE EXEC. Q.L'!B:B,VOOS!A314)</f>
        <v>0</v>
      </c>
      <c r="H314" s="15" t="str">
        <f>IFERROR(_xlfn.XLOOKUP(A314,'BASE SQL PLANTIO'!B:B,'BASE SQL PLANTIO'!T:T,"verificar",0),"")</f>
        <v/>
      </c>
      <c r="I314" s="77" t="str">
        <f>IF(_xlfn.MINIFS('BASE SQL PLANTIO'!E:E,'BASE SQL PLANTIO'!B:B,VOOS!A314)=0/1/1900,"",_xlfn.MINIFS('BASE SQL PLANTIO'!E:E,'BASE SQL PLANTIO'!B:B,VOOS!A314))</f>
        <v/>
      </c>
      <c r="J314" s="26"/>
      <c r="K314" s="34" t="str">
        <f t="shared" si="13"/>
        <v/>
      </c>
      <c r="L314" s="35" t="str">
        <f t="shared" si="14"/>
        <v/>
      </c>
      <c r="M314" s="14"/>
      <c r="N314" s="16"/>
    </row>
    <row r="315" spans="1:14" ht="15.6" x14ac:dyDescent="0.3">
      <c r="A315" s="13" t="str">
        <f t="shared" si="12"/>
        <v>-</v>
      </c>
      <c r="B315" s="25"/>
      <c r="C315" s="29"/>
      <c r="D315" s="30"/>
      <c r="E315" s="30"/>
      <c r="F315" s="28"/>
      <c r="G315" s="34">
        <f>SUMIFS('BASE EXEC. Q.L'!N:N,'BASE EXEC. Q.L'!B:B,VOOS!A315)</f>
        <v>0</v>
      </c>
      <c r="H315" s="15" t="str">
        <f>IFERROR(_xlfn.XLOOKUP(A315,'BASE SQL PLANTIO'!B:B,'BASE SQL PLANTIO'!T:T,"verificar",0),"")</f>
        <v/>
      </c>
      <c r="I315" s="77" t="str">
        <f>IF(_xlfn.MINIFS('BASE SQL PLANTIO'!E:E,'BASE SQL PLANTIO'!B:B,VOOS!A315)=0/1/1900,"",_xlfn.MINIFS('BASE SQL PLANTIO'!E:E,'BASE SQL PLANTIO'!B:B,VOOS!A315))</f>
        <v/>
      </c>
      <c r="J315" s="22"/>
      <c r="K315" s="34" t="str">
        <f t="shared" si="13"/>
        <v/>
      </c>
      <c r="L315" s="35" t="str">
        <f t="shared" si="14"/>
        <v/>
      </c>
      <c r="M315" s="14"/>
      <c r="N315" s="16"/>
    </row>
    <row r="316" spans="1:14" ht="15.6" x14ac:dyDescent="0.3">
      <c r="A316" s="13" t="str">
        <f t="shared" si="12"/>
        <v>-</v>
      </c>
      <c r="B316" s="25"/>
      <c r="C316" s="25"/>
      <c r="D316" s="25"/>
      <c r="E316" s="25"/>
      <c r="F316" s="31"/>
      <c r="G316" s="34">
        <f>SUMIFS('BASE EXEC. Q.L'!N:N,'BASE EXEC. Q.L'!B:B,VOOS!A316)</f>
        <v>0</v>
      </c>
      <c r="H316" s="15" t="str">
        <f>IFERROR(_xlfn.XLOOKUP(A316,'BASE SQL PLANTIO'!B:B,'BASE SQL PLANTIO'!T:T,"verificar",0),"")</f>
        <v/>
      </c>
      <c r="I316" s="77" t="str">
        <f>IF(_xlfn.MINIFS('BASE SQL PLANTIO'!E:E,'BASE SQL PLANTIO'!B:B,VOOS!A316)=0/1/1900,"",_xlfn.MINIFS('BASE SQL PLANTIO'!E:E,'BASE SQL PLANTIO'!B:B,VOOS!A316))</f>
        <v/>
      </c>
      <c r="J316" s="26"/>
      <c r="K316" s="34" t="str">
        <f t="shared" si="13"/>
        <v/>
      </c>
      <c r="L316" s="35" t="str">
        <f t="shared" si="14"/>
        <v/>
      </c>
      <c r="M316" s="14"/>
      <c r="N316" s="16"/>
    </row>
    <row r="317" spans="1:14" ht="15.6" x14ac:dyDescent="0.3">
      <c r="A317" s="13" t="str">
        <f t="shared" si="12"/>
        <v>-</v>
      </c>
      <c r="B317" s="27"/>
      <c r="C317" s="26"/>
      <c r="D317" s="26"/>
      <c r="E317" s="26"/>
      <c r="F317" s="26"/>
      <c r="G317" s="34">
        <f>SUMIFS('BASE EXEC. Q.L'!N:N,'BASE EXEC. Q.L'!B:B,VOOS!A317)</f>
        <v>0</v>
      </c>
      <c r="H317" s="15" t="str">
        <f>IFERROR(_xlfn.XLOOKUP(A317,'BASE SQL PLANTIO'!B:B,'BASE SQL PLANTIO'!T:T,"verificar",0),"")</f>
        <v/>
      </c>
      <c r="I317" s="77" t="str">
        <f>IF(_xlfn.MINIFS('BASE SQL PLANTIO'!E:E,'BASE SQL PLANTIO'!B:B,VOOS!A317)=0/1/1900,"",_xlfn.MINIFS('BASE SQL PLANTIO'!E:E,'BASE SQL PLANTIO'!B:B,VOOS!A317))</f>
        <v/>
      </c>
      <c r="J317" s="26"/>
      <c r="K317" s="34" t="str">
        <f t="shared" si="13"/>
        <v/>
      </c>
      <c r="L317" s="35" t="str">
        <f t="shared" si="14"/>
        <v/>
      </c>
      <c r="M317" s="14"/>
      <c r="N317" s="16"/>
    </row>
    <row r="318" spans="1:14" ht="15.6" x14ac:dyDescent="0.3">
      <c r="A318" s="13" t="str">
        <f t="shared" si="12"/>
        <v>-</v>
      </c>
      <c r="B318" s="27"/>
      <c r="C318" s="26"/>
      <c r="D318" s="26"/>
      <c r="E318" s="26"/>
      <c r="F318" s="26"/>
      <c r="G318" s="34">
        <f>SUMIFS('BASE EXEC. Q.L'!N:N,'BASE EXEC. Q.L'!B:B,VOOS!A318)</f>
        <v>0</v>
      </c>
      <c r="H318" s="15" t="str">
        <f>IFERROR(_xlfn.XLOOKUP(A318,'BASE SQL PLANTIO'!B:B,'BASE SQL PLANTIO'!T:T,"verificar",0),"")</f>
        <v/>
      </c>
      <c r="I318" s="77" t="str">
        <f>IF(_xlfn.MINIFS('BASE SQL PLANTIO'!E:E,'BASE SQL PLANTIO'!B:B,VOOS!A318)=0/1/1900,"",_xlfn.MINIFS('BASE SQL PLANTIO'!E:E,'BASE SQL PLANTIO'!B:B,VOOS!A318))</f>
        <v/>
      </c>
      <c r="J318" s="26"/>
      <c r="K318" s="34" t="str">
        <f t="shared" si="13"/>
        <v/>
      </c>
      <c r="L318" s="35" t="str">
        <f t="shared" si="14"/>
        <v/>
      </c>
      <c r="M318" s="14"/>
      <c r="N318" s="16"/>
    </row>
    <row r="319" spans="1:14" ht="15.6" x14ac:dyDescent="0.3">
      <c r="A319" s="13" t="str">
        <f t="shared" si="12"/>
        <v>-</v>
      </c>
      <c r="B319" s="25"/>
      <c r="C319" s="25"/>
      <c r="D319" s="25"/>
      <c r="E319" s="25"/>
      <c r="F319" s="31"/>
      <c r="G319" s="34">
        <f>SUMIFS('BASE EXEC. Q.L'!N:N,'BASE EXEC. Q.L'!B:B,VOOS!A319)</f>
        <v>0</v>
      </c>
      <c r="H319" s="15" t="str">
        <f>IFERROR(_xlfn.XLOOKUP(A319,'BASE SQL PLANTIO'!B:B,'BASE SQL PLANTIO'!T:T,"verificar",0),"")</f>
        <v/>
      </c>
      <c r="I319" s="77" t="str">
        <f>IF(_xlfn.MINIFS('BASE SQL PLANTIO'!E:E,'BASE SQL PLANTIO'!B:B,VOOS!A319)=0/1/1900,"",_xlfn.MINIFS('BASE SQL PLANTIO'!E:E,'BASE SQL PLANTIO'!B:B,VOOS!A319))</f>
        <v/>
      </c>
      <c r="J319" s="26"/>
      <c r="K319" s="34" t="str">
        <f t="shared" si="13"/>
        <v/>
      </c>
      <c r="L319" s="35" t="str">
        <f t="shared" si="14"/>
        <v/>
      </c>
      <c r="M319" s="14"/>
      <c r="N319" s="16"/>
    </row>
    <row r="320" spans="1:14" ht="15.6" x14ac:dyDescent="0.3">
      <c r="A320" s="13" t="str">
        <f t="shared" si="12"/>
        <v>-</v>
      </c>
      <c r="B320" s="25"/>
      <c r="C320" s="25"/>
      <c r="D320" s="25"/>
      <c r="E320" s="25"/>
      <c r="F320" s="31"/>
      <c r="G320" s="34">
        <f>SUMIFS('BASE EXEC. Q.L'!N:N,'BASE EXEC. Q.L'!B:B,VOOS!A320)</f>
        <v>0</v>
      </c>
      <c r="H320" s="15" t="str">
        <f>IFERROR(_xlfn.XLOOKUP(A320,'BASE SQL PLANTIO'!B:B,'BASE SQL PLANTIO'!T:T,"verificar",0),"")</f>
        <v/>
      </c>
      <c r="I320" s="77" t="str">
        <f>IF(_xlfn.MINIFS('BASE SQL PLANTIO'!E:E,'BASE SQL PLANTIO'!B:B,VOOS!A320)=0/1/1900,"",_xlfn.MINIFS('BASE SQL PLANTIO'!E:E,'BASE SQL PLANTIO'!B:B,VOOS!A320))</f>
        <v/>
      </c>
      <c r="J320" s="26"/>
      <c r="K320" s="34" t="str">
        <f t="shared" si="13"/>
        <v/>
      </c>
      <c r="L320" s="35" t="str">
        <f t="shared" si="14"/>
        <v/>
      </c>
      <c r="M320" s="14"/>
      <c r="N320" s="16"/>
    </row>
    <row r="321" spans="1:14" ht="15.6" x14ac:dyDescent="0.3">
      <c r="A321" s="13" t="str">
        <f t="shared" si="12"/>
        <v>-</v>
      </c>
      <c r="B321" s="25"/>
      <c r="C321" s="25"/>
      <c r="D321" s="25"/>
      <c r="E321" s="25"/>
      <c r="F321" s="31"/>
      <c r="G321" s="34">
        <f>SUMIFS('BASE EXEC. Q.L'!N:N,'BASE EXEC. Q.L'!B:B,VOOS!A321)</f>
        <v>0</v>
      </c>
      <c r="H321" s="15" t="str">
        <f>IFERROR(_xlfn.XLOOKUP(A321,'BASE SQL PLANTIO'!B:B,'BASE SQL PLANTIO'!T:T,"verificar",0),"")</f>
        <v/>
      </c>
      <c r="I321" s="77" t="str">
        <f>IF(_xlfn.MINIFS('BASE SQL PLANTIO'!E:E,'BASE SQL PLANTIO'!B:B,VOOS!A321)=0/1/1900,"",_xlfn.MINIFS('BASE SQL PLANTIO'!E:E,'BASE SQL PLANTIO'!B:B,VOOS!A321))</f>
        <v/>
      </c>
      <c r="J321" s="26"/>
      <c r="K321" s="34" t="str">
        <f t="shared" si="13"/>
        <v/>
      </c>
      <c r="L321" s="35" t="str">
        <f t="shared" si="14"/>
        <v/>
      </c>
      <c r="M321" s="14"/>
      <c r="N321" s="15"/>
    </row>
    <row r="322" spans="1:14" ht="15.6" x14ac:dyDescent="0.3">
      <c r="A322" s="13" t="str">
        <f t="shared" si="12"/>
        <v>-</v>
      </c>
      <c r="B322" s="27"/>
      <c r="C322" s="26"/>
      <c r="D322" s="26"/>
      <c r="E322" s="26"/>
      <c r="F322" s="26"/>
      <c r="G322" s="34">
        <f>SUMIFS('BASE EXEC. Q.L'!N:N,'BASE EXEC. Q.L'!B:B,VOOS!A322)</f>
        <v>0</v>
      </c>
      <c r="H322" s="15" t="str">
        <f>IFERROR(_xlfn.XLOOKUP(A322,'BASE SQL PLANTIO'!B:B,'BASE SQL PLANTIO'!T:T,"verificar",0),"")</f>
        <v/>
      </c>
      <c r="I322" s="77" t="str">
        <f>IF(_xlfn.MINIFS('BASE SQL PLANTIO'!E:E,'BASE SQL PLANTIO'!B:B,VOOS!A322)=0/1/1900,"",_xlfn.MINIFS('BASE SQL PLANTIO'!E:E,'BASE SQL PLANTIO'!B:B,VOOS!A322))</f>
        <v/>
      </c>
      <c r="J322" s="26"/>
      <c r="K322" s="34" t="str">
        <f t="shared" si="13"/>
        <v/>
      </c>
      <c r="L322" s="35" t="str">
        <f t="shared" si="14"/>
        <v/>
      </c>
      <c r="M322" s="14"/>
      <c r="N322" s="16"/>
    </row>
    <row r="323" spans="1:14" ht="15.6" x14ac:dyDescent="0.3">
      <c r="A323" s="13" t="str">
        <f t="shared" si="12"/>
        <v>-</v>
      </c>
      <c r="B323" s="27"/>
      <c r="C323" s="26"/>
      <c r="D323" s="26"/>
      <c r="E323" s="26"/>
      <c r="F323" s="26"/>
      <c r="G323" s="34">
        <f>SUMIFS('BASE EXEC. Q.L'!N:N,'BASE EXEC. Q.L'!B:B,VOOS!A323)</f>
        <v>0</v>
      </c>
      <c r="H323" s="15" t="str">
        <f>IFERROR(_xlfn.XLOOKUP(A323,'BASE SQL PLANTIO'!B:B,'BASE SQL PLANTIO'!T:T,"verificar",0),"")</f>
        <v/>
      </c>
      <c r="I323" s="77" t="str">
        <f>IF(_xlfn.MINIFS('BASE SQL PLANTIO'!E:E,'BASE SQL PLANTIO'!B:B,VOOS!A323)=0/1/1900,"",_xlfn.MINIFS('BASE SQL PLANTIO'!E:E,'BASE SQL PLANTIO'!B:B,VOOS!A323))</f>
        <v/>
      </c>
      <c r="J323" s="26"/>
      <c r="K323" s="34" t="str">
        <f t="shared" si="13"/>
        <v/>
      </c>
      <c r="L323" s="35" t="str">
        <f t="shared" si="14"/>
        <v/>
      </c>
      <c r="M323" s="14"/>
      <c r="N323" s="16"/>
    </row>
    <row r="324" spans="1:14" ht="15.6" x14ac:dyDescent="0.3">
      <c r="A324" s="13" t="str">
        <f t="shared" si="12"/>
        <v>-</v>
      </c>
      <c r="B324" s="25"/>
      <c r="C324" s="25"/>
      <c r="D324" s="25"/>
      <c r="E324" s="25"/>
      <c r="F324" s="31"/>
      <c r="G324" s="34">
        <f>SUMIFS('BASE EXEC. Q.L'!N:N,'BASE EXEC. Q.L'!B:B,VOOS!A324)</f>
        <v>0</v>
      </c>
      <c r="H324" s="15" t="str">
        <f>IFERROR(_xlfn.XLOOKUP(A324,'BASE SQL PLANTIO'!B:B,'BASE SQL PLANTIO'!T:T,"verificar",0),"")</f>
        <v/>
      </c>
      <c r="I324" s="77" t="str">
        <f>IF(_xlfn.MINIFS('BASE SQL PLANTIO'!E:E,'BASE SQL PLANTIO'!B:B,VOOS!A324)=0/1/1900,"",_xlfn.MINIFS('BASE SQL PLANTIO'!E:E,'BASE SQL PLANTIO'!B:B,VOOS!A324))</f>
        <v/>
      </c>
      <c r="J324" s="26"/>
      <c r="K324" s="34" t="str">
        <f t="shared" si="13"/>
        <v/>
      </c>
      <c r="L324" s="35" t="str">
        <f t="shared" si="14"/>
        <v/>
      </c>
      <c r="M324" s="14"/>
      <c r="N324" s="16"/>
    </row>
    <row r="325" spans="1:14" ht="15.6" x14ac:dyDescent="0.3">
      <c r="A325" s="13" t="str">
        <f t="shared" ref="A325:A388" si="15">CONCATENATE(B325,"-",E325)</f>
        <v>-</v>
      </c>
      <c r="B325" s="25"/>
      <c r="C325" s="25"/>
      <c r="D325" s="25"/>
      <c r="E325" s="25"/>
      <c r="F325" s="31"/>
      <c r="G325" s="34">
        <f>SUMIFS('BASE EXEC. Q.L'!N:N,'BASE EXEC. Q.L'!B:B,VOOS!A325)</f>
        <v>0</v>
      </c>
      <c r="H325" s="15" t="str">
        <f>IFERROR(_xlfn.XLOOKUP(A325,'BASE SQL PLANTIO'!B:B,'BASE SQL PLANTIO'!T:T,"verificar",0),"")</f>
        <v/>
      </c>
      <c r="I325" s="77" t="str">
        <f>IF(_xlfn.MINIFS('BASE SQL PLANTIO'!E:E,'BASE SQL PLANTIO'!B:B,VOOS!A325)=0/1/1900,"",_xlfn.MINIFS('BASE SQL PLANTIO'!E:E,'BASE SQL PLANTIO'!B:B,VOOS!A325))</f>
        <v/>
      </c>
      <c r="J325" s="26"/>
      <c r="K325" s="34" t="str">
        <f t="shared" ref="K325:K388" si="16">IF(I325="","",$K$3-I325)</f>
        <v/>
      </c>
      <c r="L325" s="35" t="str">
        <f t="shared" ref="L325:L388" si="17">K325</f>
        <v/>
      </c>
      <c r="M325" s="14"/>
      <c r="N325" s="16"/>
    </row>
    <row r="326" spans="1:14" ht="15.6" x14ac:dyDescent="0.3">
      <c r="A326" s="13" t="str">
        <f t="shared" si="15"/>
        <v>-</v>
      </c>
      <c r="B326" s="25"/>
      <c r="C326" s="25"/>
      <c r="D326" s="25"/>
      <c r="E326" s="25"/>
      <c r="F326" s="31"/>
      <c r="G326" s="34">
        <f>SUMIFS('BASE EXEC. Q.L'!N:N,'BASE EXEC. Q.L'!B:B,VOOS!A326)</f>
        <v>0</v>
      </c>
      <c r="H326" s="15" t="str">
        <f>IFERROR(_xlfn.XLOOKUP(A326,'BASE SQL PLANTIO'!B:B,'BASE SQL PLANTIO'!T:T,"verificar",0),"")</f>
        <v/>
      </c>
      <c r="I326" s="77" t="str">
        <f>IF(_xlfn.MINIFS('BASE SQL PLANTIO'!E:E,'BASE SQL PLANTIO'!B:B,VOOS!A326)=0/1/1900,"",_xlfn.MINIFS('BASE SQL PLANTIO'!E:E,'BASE SQL PLANTIO'!B:B,VOOS!A326))</f>
        <v/>
      </c>
      <c r="J326" s="26"/>
      <c r="K326" s="34" t="str">
        <f t="shared" si="16"/>
        <v/>
      </c>
      <c r="L326" s="35" t="str">
        <f t="shared" si="17"/>
        <v/>
      </c>
      <c r="M326" s="14"/>
      <c r="N326" s="16"/>
    </row>
    <row r="327" spans="1:14" ht="15.6" x14ac:dyDescent="0.3">
      <c r="A327" s="13" t="str">
        <f t="shared" si="15"/>
        <v>-</v>
      </c>
      <c r="B327" s="27"/>
      <c r="C327" s="26"/>
      <c r="D327" s="26"/>
      <c r="E327" s="26"/>
      <c r="F327" s="26"/>
      <c r="G327" s="34">
        <f>SUMIFS('BASE EXEC. Q.L'!N:N,'BASE EXEC. Q.L'!B:B,VOOS!A327)</f>
        <v>0</v>
      </c>
      <c r="H327" s="15" t="str">
        <f>IFERROR(_xlfn.XLOOKUP(A327,'BASE SQL PLANTIO'!B:B,'BASE SQL PLANTIO'!T:T,"verificar",0),"")</f>
        <v/>
      </c>
      <c r="I327" s="77" t="str">
        <f>IF(_xlfn.MINIFS('BASE SQL PLANTIO'!E:E,'BASE SQL PLANTIO'!B:B,VOOS!A327)=0/1/1900,"",_xlfn.MINIFS('BASE SQL PLANTIO'!E:E,'BASE SQL PLANTIO'!B:B,VOOS!A327))</f>
        <v/>
      </c>
      <c r="J327" s="26"/>
      <c r="K327" s="34" t="str">
        <f t="shared" si="16"/>
        <v/>
      </c>
      <c r="L327" s="35" t="str">
        <f t="shared" si="17"/>
        <v/>
      </c>
      <c r="M327" s="14"/>
      <c r="N327" s="16"/>
    </row>
    <row r="328" spans="1:14" ht="15.6" x14ac:dyDescent="0.3">
      <c r="A328" s="13" t="str">
        <f t="shared" si="15"/>
        <v>-</v>
      </c>
      <c r="B328" s="27"/>
      <c r="C328" s="26"/>
      <c r="D328" s="26"/>
      <c r="E328" s="26"/>
      <c r="F328" s="26"/>
      <c r="G328" s="34">
        <f>SUMIFS('BASE EXEC. Q.L'!N:N,'BASE EXEC. Q.L'!B:B,VOOS!A328)</f>
        <v>0</v>
      </c>
      <c r="H328" s="15" t="str">
        <f>IFERROR(_xlfn.XLOOKUP(A328,'BASE SQL PLANTIO'!B:B,'BASE SQL PLANTIO'!T:T,"verificar",0),"")</f>
        <v/>
      </c>
      <c r="I328" s="77" t="str">
        <f>IF(_xlfn.MINIFS('BASE SQL PLANTIO'!E:E,'BASE SQL PLANTIO'!B:B,VOOS!A328)=0/1/1900,"",_xlfn.MINIFS('BASE SQL PLANTIO'!E:E,'BASE SQL PLANTIO'!B:B,VOOS!A328))</f>
        <v/>
      </c>
      <c r="J328" s="26"/>
      <c r="K328" s="34" t="str">
        <f t="shared" si="16"/>
        <v/>
      </c>
      <c r="L328" s="35" t="str">
        <f t="shared" si="17"/>
        <v/>
      </c>
      <c r="M328" s="14"/>
      <c r="N328" s="16"/>
    </row>
    <row r="329" spans="1:14" ht="15.6" x14ac:dyDescent="0.3">
      <c r="A329" s="13" t="str">
        <f t="shared" si="15"/>
        <v>-</v>
      </c>
      <c r="B329" s="25"/>
      <c r="C329" s="25"/>
      <c r="D329" s="25"/>
      <c r="E329" s="25"/>
      <c r="F329" s="31"/>
      <c r="G329" s="34">
        <f>SUMIFS('BASE EXEC. Q.L'!N:N,'BASE EXEC. Q.L'!B:B,VOOS!A329)</f>
        <v>0</v>
      </c>
      <c r="H329" s="15" t="str">
        <f>IFERROR(_xlfn.XLOOKUP(A329,'BASE SQL PLANTIO'!B:B,'BASE SQL PLANTIO'!T:T,"verificar",0),"")</f>
        <v/>
      </c>
      <c r="I329" s="77" t="str">
        <f>IF(_xlfn.MINIFS('BASE SQL PLANTIO'!E:E,'BASE SQL PLANTIO'!B:B,VOOS!A329)=0/1/1900,"",_xlfn.MINIFS('BASE SQL PLANTIO'!E:E,'BASE SQL PLANTIO'!B:B,VOOS!A329))</f>
        <v/>
      </c>
      <c r="J329" s="26"/>
      <c r="K329" s="34" t="str">
        <f t="shared" si="16"/>
        <v/>
      </c>
      <c r="L329" s="35" t="str">
        <f t="shared" si="17"/>
        <v/>
      </c>
      <c r="M329" s="14"/>
      <c r="N329" s="16"/>
    </row>
    <row r="330" spans="1:14" ht="15.6" x14ac:dyDescent="0.3">
      <c r="A330" s="13" t="str">
        <f t="shared" si="15"/>
        <v>-</v>
      </c>
      <c r="B330" s="25"/>
      <c r="C330" s="25"/>
      <c r="D330" s="25"/>
      <c r="E330" s="25"/>
      <c r="F330" s="31"/>
      <c r="G330" s="34">
        <f>SUMIFS('BASE EXEC. Q.L'!N:N,'BASE EXEC. Q.L'!B:B,VOOS!A330)</f>
        <v>0</v>
      </c>
      <c r="H330" s="15" t="str">
        <f>IFERROR(_xlfn.XLOOKUP(A330,'BASE SQL PLANTIO'!B:B,'BASE SQL PLANTIO'!T:T,"verificar",0),"")</f>
        <v/>
      </c>
      <c r="I330" s="77" t="str">
        <f>IF(_xlfn.MINIFS('BASE SQL PLANTIO'!E:E,'BASE SQL PLANTIO'!B:B,VOOS!A330)=0/1/1900,"",_xlfn.MINIFS('BASE SQL PLANTIO'!E:E,'BASE SQL PLANTIO'!B:B,VOOS!A330))</f>
        <v/>
      </c>
      <c r="J330" s="26"/>
      <c r="K330" s="34" t="str">
        <f t="shared" si="16"/>
        <v/>
      </c>
      <c r="L330" s="35" t="str">
        <f t="shared" si="17"/>
        <v/>
      </c>
      <c r="M330" s="14"/>
      <c r="N330" s="16"/>
    </row>
    <row r="331" spans="1:14" ht="15.6" x14ac:dyDescent="0.3">
      <c r="A331" s="13" t="str">
        <f t="shared" si="15"/>
        <v>-</v>
      </c>
      <c r="B331" s="27"/>
      <c r="C331" s="26"/>
      <c r="D331" s="26"/>
      <c r="E331" s="26"/>
      <c r="F331" s="26"/>
      <c r="G331" s="34">
        <f>SUMIFS('BASE EXEC. Q.L'!N:N,'BASE EXEC. Q.L'!B:B,VOOS!A331)</f>
        <v>0</v>
      </c>
      <c r="H331" s="15" t="str">
        <f>IFERROR(_xlfn.XLOOKUP(A331,'BASE SQL PLANTIO'!B:B,'BASE SQL PLANTIO'!T:T,"verificar",0),"")</f>
        <v/>
      </c>
      <c r="I331" s="77" t="str">
        <f>IF(_xlfn.MINIFS('BASE SQL PLANTIO'!E:E,'BASE SQL PLANTIO'!B:B,VOOS!A331)=0/1/1900,"",_xlfn.MINIFS('BASE SQL PLANTIO'!E:E,'BASE SQL PLANTIO'!B:B,VOOS!A331))</f>
        <v/>
      </c>
      <c r="J331" s="26"/>
      <c r="K331" s="34" t="str">
        <f t="shared" si="16"/>
        <v/>
      </c>
      <c r="L331" s="35" t="str">
        <f t="shared" si="17"/>
        <v/>
      </c>
      <c r="M331" s="14"/>
      <c r="N331" s="16"/>
    </row>
    <row r="332" spans="1:14" ht="15.6" x14ac:dyDescent="0.3">
      <c r="A332" s="13" t="str">
        <f t="shared" si="15"/>
        <v>-</v>
      </c>
      <c r="B332" s="27"/>
      <c r="C332" s="26"/>
      <c r="D332" s="26"/>
      <c r="E332" s="26"/>
      <c r="F332" s="26"/>
      <c r="G332" s="34">
        <f>SUMIFS('BASE EXEC. Q.L'!N:N,'BASE EXEC. Q.L'!B:B,VOOS!A332)</f>
        <v>0</v>
      </c>
      <c r="H332" s="15" t="str">
        <f>IFERROR(_xlfn.XLOOKUP(A332,'BASE SQL PLANTIO'!B:B,'BASE SQL PLANTIO'!T:T,"verificar",0),"")</f>
        <v/>
      </c>
      <c r="I332" s="77" t="str">
        <f>IF(_xlfn.MINIFS('BASE SQL PLANTIO'!E:E,'BASE SQL PLANTIO'!B:B,VOOS!A332)=0/1/1900,"",_xlfn.MINIFS('BASE SQL PLANTIO'!E:E,'BASE SQL PLANTIO'!B:B,VOOS!A332))</f>
        <v/>
      </c>
      <c r="J332" s="26"/>
      <c r="K332" s="34" t="str">
        <f t="shared" si="16"/>
        <v/>
      </c>
      <c r="L332" s="35" t="str">
        <f t="shared" si="17"/>
        <v/>
      </c>
      <c r="M332" s="14"/>
      <c r="N332" s="16"/>
    </row>
    <row r="333" spans="1:14" ht="15.6" x14ac:dyDescent="0.3">
      <c r="A333" s="13" t="str">
        <f t="shared" si="15"/>
        <v>-</v>
      </c>
      <c r="B333" s="25"/>
      <c r="C333" s="25"/>
      <c r="D333" s="25"/>
      <c r="E333" s="25"/>
      <c r="F333" s="31"/>
      <c r="G333" s="34">
        <f>SUMIFS('BASE EXEC. Q.L'!N:N,'BASE EXEC. Q.L'!B:B,VOOS!A333)</f>
        <v>0</v>
      </c>
      <c r="H333" s="15" t="str">
        <f>IFERROR(_xlfn.XLOOKUP(A333,'BASE SQL PLANTIO'!B:B,'BASE SQL PLANTIO'!T:T,"verificar",0),"")</f>
        <v/>
      </c>
      <c r="I333" s="77" t="str">
        <f>IF(_xlfn.MINIFS('BASE SQL PLANTIO'!E:E,'BASE SQL PLANTIO'!B:B,VOOS!A333)=0/1/1900,"",_xlfn.MINIFS('BASE SQL PLANTIO'!E:E,'BASE SQL PLANTIO'!B:B,VOOS!A333))</f>
        <v/>
      </c>
      <c r="J333" s="26"/>
      <c r="K333" s="34" t="str">
        <f t="shared" si="16"/>
        <v/>
      </c>
      <c r="L333" s="35" t="str">
        <f t="shared" si="17"/>
        <v/>
      </c>
      <c r="M333" s="14"/>
      <c r="N333" s="15"/>
    </row>
    <row r="334" spans="1:14" ht="15.6" x14ac:dyDescent="0.3">
      <c r="A334" s="13" t="str">
        <f t="shared" si="15"/>
        <v>-</v>
      </c>
      <c r="B334" s="25"/>
      <c r="C334" s="25"/>
      <c r="D334" s="25"/>
      <c r="E334" s="25"/>
      <c r="F334" s="31"/>
      <c r="G334" s="34">
        <f>SUMIFS('BASE EXEC. Q.L'!N:N,'BASE EXEC. Q.L'!B:B,VOOS!A334)</f>
        <v>0</v>
      </c>
      <c r="H334" s="15" t="str">
        <f>IFERROR(_xlfn.XLOOKUP(A334,'BASE SQL PLANTIO'!B:B,'BASE SQL PLANTIO'!T:T,"verificar",0),"")</f>
        <v/>
      </c>
      <c r="I334" s="77" t="str">
        <f>IF(_xlfn.MINIFS('BASE SQL PLANTIO'!E:E,'BASE SQL PLANTIO'!B:B,VOOS!A334)=0/1/1900,"",_xlfn.MINIFS('BASE SQL PLANTIO'!E:E,'BASE SQL PLANTIO'!B:B,VOOS!A334))</f>
        <v/>
      </c>
      <c r="J334" s="26"/>
      <c r="K334" s="34" t="str">
        <f t="shared" si="16"/>
        <v/>
      </c>
      <c r="L334" s="35" t="str">
        <f t="shared" si="17"/>
        <v/>
      </c>
      <c r="M334" s="14"/>
      <c r="N334" s="16"/>
    </row>
    <row r="335" spans="1:14" ht="15.6" x14ac:dyDescent="0.3">
      <c r="A335" s="13" t="str">
        <f t="shared" si="15"/>
        <v>-</v>
      </c>
      <c r="B335" s="25"/>
      <c r="C335" s="25"/>
      <c r="D335" s="25"/>
      <c r="E335" s="25"/>
      <c r="F335" s="31"/>
      <c r="G335" s="34">
        <f>SUMIFS('BASE EXEC. Q.L'!N:N,'BASE EXEC. Q.L'!B:B,VOOS!A335)</f>
        <v>0</v>
      </c>
      <c r="H335" s="15" t="str">
        <f>IFERROR(_xlfn.XLOOKUP(A335,'BASE SQL PLANTIO'!B:B,'BASE SQL PLANTIO'!T:T,"verificar",0),"")</f>
        <v/>
      </c>
      <c r="I335" s="77" t="str">
        <f>IF(_xlfn.MINIFS('BASE SQL PLANTIO'!E:E,'BASE SQL PLANTIO'!B:B,VOOS!A335)=0/1/1900,"",_xlfn.MINIFS('BASE SQL PLANTIO'!E:E,'BASE SQL PLANTIO'!B:B,VOOS!A335))</f>
        <v/>
      </c>
      <c r="J335" s="26"/>
      <c r="K335" s="34" t="str">
        <f t="shared" si="16"/>
        <v/>
      </c>
      <c r="L335" s="35" t="str">
        <f t="shared" si="17"/>
        <v/>
      </c>
      <c r="M335" s="14"/>
      <c r="N335" s="16"/>
    </row>
    <row r="336" spans="1:14" ht="15.6" x14ac:dyDescent="0.3">
      <c r="A336" s="13" t="str">
        <f t="shared" si="15"/>
        <v>-</v>
      </c>
      <c r="B336" s="21"/>
      <c r="C336" s="26"/>
      <c r="D336" s="26"/>
      <c r="E336" s="26"/>
      <c r="F336" s="26"/>
      <c r="G336" s="34">
        <f>SUMIFS('BASE EXEC. Q.L'!N:N,'BASE EXEC. Q.L'!B:B,VOOS!A336)</f>
        <v>0</v>
      </c>
      <c r="H336" s="15" t="str">
        <f>IFERROR(_xlfn.XLOOKUP(A336,'BASE SQL PLANTIO'!B:B,'BASE SQL PLANTIO'!T:T,"verificar",0),"")</f>
        <v/>
      </c>
      <c r="I336" s="77" t="str">
        <f>IF(_xlfn.MINIFS('BASE SQL PLANTIO'!E:E,'BASE SQL PLANTIO'!B:B,VOOS!A336)=0/1/1900,"",_xlfn.MINIFS('BASE SQL PLANTIO'!E:E,'BASE SQL PLANTIO'!B:B,VOOS!A336))</f>
        <v/>
      </c>
      <c r="J336" s="26"/>
      <c r="K336" s="34" t="str">
        <f t="shared" si="16"/>
        <v/>
      </c>
      <c r="L336" s="35" t="str">
        <f t="shared" si="17"/>
        <v/>
      </c>
      <c r="M336" s="14"/>
      <c r="N336" s="16"/>
    </row>
    <row r="337" spans="1:14" ht="15.6" x14ac:dyDescent="0.3">
      <c r="A337" s="13" t="str">
        <f t="shared" si="15"/>
        <v>-</v>
      </c>
      <c r="B337" s="27"/>
      <c r="C337" s="26"/>
      <c r="D337" s="26"/>
      <c r="E337" s="26"/>
      <c r="F337" s="26"/>
      <c r="G337" s="34">
        <f>SUMIFS('BASE EXEC. Q.L'!N:N,'BASE EXEC. Q.L'!B:B,VOOS!A337)</f>
        <v>0</v>
      </c>
      <c r="H337" s="15" t="str">
        <f>IFERROR(_xlfn.XLOOKUP(A337,'BASE SQL PLANTIO'!B:B,'BASE SQL PLANTIO'!T:T,"verificar",0),"")</f>
        <v/>
      </c>
      <c r="I337" s="77" t="str">
        <f>IF(_xlfn.MINIFS('BASE SQL PLANTIO'!E:E,'BASE SQL PLANTIO'!B:B,VOOS!A337)=0/1/1900,"",_xlfn.MINIFS('BASE SQL PLANTIO'!E:E,'BASE SQL PLANTIO'!B:B,VOOS!A337))</f>
        <v/>
      </c>
      <c r="J337" s="26"/>
      <c r="K337" s="34" t="str">
        <f t="shared" si="16"/>
        <v/>
      </c>
      <c r="L337" s="35" t="str">
        <f t="shared" si="17"/>
        <v/>
      </c>
      <c r="M337" s="14"/>
      <c r="N337" s="16"/>
    </row>
    <row r="338" spans="1:14" ht="15.6" x14ac:dyDescent="0.3">
      <c r="A338" s="13" t="str">
        <f t="shared" si="15"/>
        <v>-</v>
      </c>
      <c r="B338" s="27"/>
      <c r="C338" s="26"/>
      <c r="D338" s="26"/>
      <c r="E338" s="26"/>
      <c r="F338" s="26"/>
      <c r="G338" s="34">
        <f>SUMIFS('BASE EXEC. Q.L'!N:N,'BASE EXEC. Q.L'!B:B,VOOS!A338)</f>
        <v>0</v>
      </c>
      <c r="H338" s="15" t="str">
        <f>IFERROR(_xlfn.XLOOKUP(A338,'BASE SQL PLANTIO'!B:B,'BASE SQL PLANTIO'!T:T,"verificar",0),"")</f>
        <v/>
      </c>
      <c r="I338" s="77" t="str">
        <f>IF(_xlfn.MINIFS('BASE SQL PLANTIO'!E:E,'BASE SQL PLANTIO'!B:B,VOOS!A338)=0/1/1900,"",_xlfn.MINIFS('BASE SQL PLANTIO'!E:E,'BASE SQL PLANTIO'!B:B,VOOS!A338))</f>
        <v/>
      </c>
      <c r="J338" s="26"/>
      <c r="K338" s="34" t="str">
        <f t="shared" si="16"/>
        <v/>
      </c>
      <c r="L338" s="35" t="str">
        <f t="shared" si="17"/>
        <v/>
      </c>
      <c r="M338" s="14"/>
      <c r="N338" s="16"/>
    </row>
    <row r="339" spans="1:14" ht="15.6" x14ac:dyDescent="0.3">
      <c r="A339" s="13" t="str">
        <f t="shared" si="15"/>
        <v>-</v>
      </c>
      <c r="B339" s="27"/>
      <c r="C339" s="26"/>
      <c r="D339" s="26"/>
      <c r="E339" s="26"/>
      <c r="F339" s="26"/>
      <c r="G339" s="34">
        <f>SUMIFS('BASE EXEC. Q.L'!N:N,'BASE EXEC. Q.L'!B:B,VOOS!A339)</f>
        <v>0</v>
      </c>
      <c r="H339" s="15" t="str">
        <f>IFERROR(_xlfn.XLOOKUP(A339,'BASE SQL PLANTIO'!B:B,'BASE SQL PLANTIO'!T:T,"verificar",0),"")</f>
        <v/>
      </c>
      <c r="I339" s="77" t="str">
        <f>IF(_xlfn.MINIFS('BASE SQL PLANTIO'!E:E,'BASE SQL PLANTIO'!B:B,VOOS!A339)=0/1/1900,"",_xlfn.MINIFS('BASE SQL PLANTIO'!E:E,'BASE SQL PLANTIO'!B:B,VOOS!A339))</f>
        <v/>
      </c>
      <c r="J339" s="26"/>
      <c r="K339" s="34" t="str">
        <f t="shared" si="16"/>
        <v/>
      </c>
      <c r="L339" s="35" t="str">
        <f t="shared" si="17"/>
        <v/>
      </c>
      <c r="M339" s="14"/>
      <c r="N339" s="16"/>
    </row>
    <row r="340" spans="1:14" ht="15.6" x14ac:dyDescent="0.3">
      <c r="A340" s="13" t="str">
        <f t="shared" si="15"/>
        <v>-</v>
      </c>
      <c r="B340" s="27"/>
      <c r="C340" s="22"/>
      <c r="D340" s="23"/>
      <c r="E340" s="23"/>
      <c r="F340" s="22"/>
      <c r="G340" s="34">
        <f>SUMIFS('BASE EXEC. Q.L'!N:N,'BASE EXEC. Q.L'!B:B,VOOS!A340)</f>
        <v>0</v>
      </c>
      <c r="H340" s="15" t="str">
        <f>IFERROR(_xlfn.XLOOKUP(A340,'BASE SQL PLANTIO'!B:B,'BASE SQL PLANTIO'!T:T,"verificar",0),"")</f>
        <v/>
      </c>
      <c r="I340" s="77" t="str">
        <f>IF(_xlfn.MINIFS('BASE SQL PLANTIO'!E:E,'BASE SQL PLANTIO'!B:B,VOOS!A340)=0/1/1900,"",_xlfn.MINIFS('BASE SQL PLANTIO'!E:E,'BASE SQL PLANTIO'!B:B,VOOS!A340))</f>
        <v/>
      </c>
      <c r="J340" s="22"/>
      <c r="K340" s="34" t="str">
        <f t="shared" si="16"/>
        <v/>
      </c>
      <c r="L340" s="35" t="str">
        <f t="shared" si="17"/>
        <v/>
      </c>
      <c r="M340" s="14"/>
      <c r="N340" s="16"/>
    </row>
    <row r="341" spans="1:14" ht="15.6" x14ac:dyDescent="0.3">
      <c r="A341" s="13" t="str">
        <f t="shared" si="15"/>
        <v>-</v>
      </c>
      <c r="B341" s="27"/>
      <c r="C341" s="26"/>
      <c r="D341" s="26"/>
      <c r="E341" s="26"/>
      <c r="F341" s="26"/>
      <c r="G341" s="34">
        <f>SUMIFS('BASE EXEC. Q.L'!N:N,'BASE EXEC. Q.L'!B:B,VOOS!A341)</f>
        <v>0</v>
      </c>
      <c r="H341" s="15" t="str">
        <f>IFERROR(_xlfn.XLOOKUP(A341,'BASE SQL PLANTIO'!B:B,'BASE SQL PLANTIO'!T:T,"verificar",0),"")</f>
        <v/>
      </c>
      <c r="I341" s="77" t="str">
        <f>IF(_xlfn.MINIFS('BASE SQL PLANTIO'!E:E,'BASE SQL PLANTIO'!B:B,VOOS!A341)=0/1/1900,"",_xlfn.MINIFS('BASE SQL PLANTIO'!E:E,'BASE SQL PLANTIO'!B:B,VOOS!A341))</f>
        <v/>
      </c>
      <c r="J341" s="26"/>
      <c r="K341" s="34" t="str">
        <f t="shared" si="16"/>
        <v/>
      </c>
      <c r="L341" s="35" t="str">
        <f t="shared" si="17"/>
        <v/>
      </c>
      <c r="M341" s="14"/>
      <c r="N341" s="16"/>
    </row>
    <row r="342" spans="1:14" ht="15.6" x14ac:dyDescent="0.3">
      <c r="A342" s="13" t="str">
        <f t="shared" si="15"/>
        <v>-</v>
      </c>
      <c r="B342" s="27"/>
      <c r="C342" s="26"/>
      <c r="D342" s="26"/>
      <c r="E342" s="26"/>
      <c r="F342" s="26"/>
      <c r="G342" s="34">
        <f>SUMIFS('BASE EXEC. Q.L'!N:N,'BASE EXEC. Q.L'!B:B,VOOS!A342)</f>
        <v>0</v>
      </c>
      <c r="H342" s="15" t="str">
        <f>IFERROR(_xlfn.XLOOKUP(A342,'BASE SQL PLANTIO'!B:B,'BASE SQL PLANTIO'!T:T,"verificar",0),"")</f>
        <v/>
      </c>
      <c r="I342" s="77" t="str">
        <f>IF(_xlfn.MINIFS('BASE SQL PLANTIO'!E:E,'BASE SQL PLANTIO'!B:B,VOOS!A342)=0/1/1900,"",_xlfn.MINIFS('BASE SQL PLANTIO'!E:E,'BASE SQL PLANTIO'!B:B,VOOS!A342))</f>
        <v/>
      </c>
      <c r="J342" s="26"/>
      <c r="K342" s="34" t="str">
        <f t="shared" si="16"/>
        <v/>
      </c>
      <c r="L342" s="35" t="str">
        <f t="shared" si="17"/>
        <v/>
      </c>
      <c r="M342" s="14"/>
      <c r="N342" s="16"/>
    </row>
    <row r="343" spans="1:14" ht="15.6" x14ac:dyDescent="0.3">
      <c r="A343" s="13" t="str">
        <f t="shared" si="15"/>
        <v>-</v>
      </c>
      <c r="B343" s="27"/>
      <c r="C343" s="26"/>
      <c r="D343" s="26"/>
      <c r="E343" s="26"/>
      <c r="F343" s="26"/>
      <c r="G343" s="34">
        <f>SUMIFS('BASE EXEC. Q.L'!N:N,'BASE EXEC. Q.L'!B:B,VOOS!A343)</f>
        <v>0</v>
      </c>
      <c r="H343" s="15" t="str">
        <f>IFERROR(_xlfn.XLOOKUP(A343,'BASE SQL PLANTIO'!B:B,'BASE SQL PLANTIO'!T:T,"verificar",0),"")</f>
        <v/>
      </c>
      <c r="I343" s="77" t="str">
        <f>IF(_xlfn.MINIFS('BASE SQL PLANTIO'!E:E,'BASE SQL PLANTIO'!B:B,VOOS!A343)=0/1/1900,"",_xlfn.MINIFS('BASE SQL PLANTIO'!E:E,'BASE SQL PLANTIO'!B:B,VOOS!A343))</f>
        <v/>
      </c>
      <c r="J343" s="26"/>
      <c r="K343" s="34" t="str">
        <f t="shared" si="16"/>
        <v/>
      </c>
      <c r="L343" s="35" t="str">
        <f t="shared" si="17"/>
        <v/>
      </c>
      <c r="M343" s="14"/>
      <c r="N343" s="16"/>
    </row>
    <row r="344" spans="1:14" ht="15.6" x14ac:dyDescent="0.3">
      <c r="A344" s="13" t="str">
        <f t="shared" si="15"/>
        <v>-</v>
      </c>
      <c r="B344" s="27"/>
      <c r="C344" s="26"/>
      <c r="D344" s="26"/>
      <c r="E344" s="26"/>
      <c r="F344" s="26"/>
      <c r="G344" s="34">
        <f>SUMIFS('BASE EXEC. Q.L'!N:N,'BASE EXEC. Q.L'!B:B,VOOS!A344)</f>
        <v>0</v>
      </c>
      <c r="H344" s="15" t="str">
        <f>IFERROR(_xlfn.XLOOKUP(A344,'BASE SQL PLANTIO'!B:B,'BASE SQL PLANTIO'!T:T,"verificar",0),"")</f>
        <v/>
      </c>
      <c r="I344" s="77" t="str">
        <f>IF(_xlfn.MINIFS('BASE SQL PLANTIO'!E:E,'BASE SQL PLANTIO'!B:B,VOOS!A344)=0/1/1900,"",_xlfn.MINIFS('BASE SQL PLANTIO'!E:E,'BASE SQL PLANTIO'!B:B,VOOS!A344))</f>
        <v/>
      </c>
      <c r="J344" s="26"/>
      <c r="K344" s="34" t="str">
        <f t="shared" si="16"/>
        <v/>
      </c>
      <c r="L344" s="35" t="str">
        <f t="shared" si="17"/>
        <v/>
      </c>
      <c r="M344" s="14"/>
      <c r="N344" s="16"/>
    </row>
    <row r="345" spans="1:14" ht="15.6" x14ac:dyDescent="0.3">
      <c r="A345" s="13" t="str">
        <f t="shared" si="15"/>
        <v>-</v>
      </c>
      <c r="B345" s="27"/>
      <c r="C345" s="26"/>
      <c r="D345" s="26"/>
      <c r="E345" s="26"/>
      <c r="F345" s="26"/>
      <c r="G345" s="34">
        <f>SUMIFS('BASE EXEC. Q.L'!N:N,'BASE EXEC. Q.L'!B:B,VOOS!A345)</f>
        <v>0</v>
      </c>
      <c r="H345" s="15" t="str">
        <f>IFERROR(_xlfn.XLOOKUP(A345,'BASE SQL PLANTIO'!B:B,'BASE SQL PLANTIO'!T:T,"verificar",0),"")</f>
        <v/>
      </c>
      <c r="I345" s="77" t="str">
        <f>IF(_xlfn.MINIFS('BASE SQL PLANTIO'!E:E,'BASE SQL PLANTIO'!B:B,VOOS!A345)=0/1/1900,"",_xlfn.MINIFS('BASE SQL PLANTIO'!E:E,'BASE SQL PLANTIO'!B:B,VOOS!A345))</f>
        <v/>
      </c>
      <c r="J345" s="26"/>
      <c r="K345" s="34" t="str">
        <f t="shared" si="16"/>
        <v/>
      </c>
      <c r="L345" s="35" t="str">
        <f t="shared" si="17"/>
        <v/>
      </c>
      <c r="M345" s="14"/>
      <c r="N345" s="16"/>
    </row>
    <row r="346" spans="1:14" ht="15.6" x14ac:dyDescent="0.3">
      <c r="A346" s="13" t="str">
        <f t="shared" si="15"/>
        <v>-</v>
      </c>
      <c r="B346" s="27"/>
      <c r="C346" s="26"/>
      <c r="D346" s="26"/>
      <c r="E346" s="26"/>
      <c r="F346" s="26"/>
      <c r="G346" s="34">
        <f>SUMIFS('BASE EXEC. Q.L'!N:N,'BASE EXEC. Q.L'!B:B,VOOS!A346)</f>
        <v>0</v>
      </c>
      <c r="H346" s="15" t="str">
        <f>IFERROR(_xlfn.XLOOKUP(A346,'BASE SQL PLANTIO'!B:B,'BASE SQL PLANTIO'!T:T,"verificar",0),"")</f>
        <v/>
      </c>
      <c r="I346" s="77" t="str">
        <f>IF(_xlfn.MINIFS('BASE SQL PLANTIO'!E:E,'BASE SQL PLANTIO'!B:B,VOOS!A346)=0/1/1900,"",_xlfn.MINIFS('BASE SQL PLANTIO'!E:E,'BASE SQL PLANTIO'!B:B,VOOS!A346))</f>
        <v/>
      </c>
      <c r="J346" s="26"/>
      <c r="K346" s="34" t="str">
        <f t="shared" si="16"/>
        <v/>
      </c>
      <c r="L346" s="35" t="str">
        <f t="shared" si="17"/>
        <v/>
      </c>
      <c r="M346" s="14"/>
      <c r="N346" s="16"/>
    </row>
    <row r="347" spans="1:14" ht="15.6" x14ac:dyDescent="0.3">
      <c r="A347" s="13" t="str">
        <f t="shared" si="15"/>
        <v>-</v>
      </c>
      <c r="B347" s="25"/>
      <c r="C347" s="25"/>
      <c r="D347" s="25"/>
      <c r="E347" s="25"/>
      <c r="F347" s="31"/>
      <c r="G347" s="34">
        <f>SUMIFS('BASE EXEC. Q.L'!N:N,'BASE EXEC. Q.L'!B:B,VOOS!A347)</f>
        <v>0</v>
      </c>
      <c r="H347" s="15" t="str">
        <f>IFERROR(_xlfn.XLOOKUP(A347,'BASE SQL PLANTIO'!B:B,'BASE SQL PLANTIO'!T:T,"verificar",0),"")</f>
        <v/>
      </c>
      <c r="I347" s="77" t="str">
        <f>IF(_xlfn.MINIFS('BASE SQL PLANTIO'!E:E,'BASE SQL PLANTIO'!B:B,VOOS!A347)=0/1/1900,"",_xlfn.MINIFS('BASE SQL PLANTIO'!E:E,'BASE SQL PLANTIO'!B:B,VOOS!A347))</f>
        <v/>
      </c>
      <c r="J347" s="26"/>
      <c r="K347" s="34" t="str">
        <f t="shared" si="16"/>
        <v/>
      </c>
      <c r="L347" s="35" t="str">
        <f t="shared" si="17"/>
        <v/>
      </c>
      <c r="M347" s="14"/>
      <c r="N347" s="16"/>
    </row>
    <row r="348" spans="1:14" ht="15.6" x14ac:dyDescent="0.3">
      <c r="A348" s="13" t="str">
        <f t="shared" si="15"/>
        <v>-</v>
      </c>
      <c r="B348" s="25"/>
      <c r="C348" s="25"/>
      <c r="D348" s="25"/>
      <c r="E348" s="25"/>
      <c r="F348" s="31"/>
      <c r="G348" s="34">
        <f>SUMIFS('BASE EXEC. Q.L'!N:N,'BASE EXEC. Q.L'!B:B,VOOS!A348)</f>
        <v>0</v>
      </c>
      <c r="H348" s="15" t="str">
        <f>IFERROR(_xlfn.XLOOKUP(A348,'BASE SQL PLANTIO'!B:B,'BASE SQL PLANTIO'!T:T,"verificar",0),"")</f>
        <v/>
      </c>
      <c r="I348" s="77" t="str">
        <f>IF(_xlfn.MINIFS('BASE SQL PLANTIO'!E:E,'BASE SQL PLANTIO'!B:B,VOOS!A348)=0/1/1900,"",_xlfn.MINIFS('BASE SQL PLANTIO'!E:E,'BASE SQL PLANTIO'!B:B,VOOS!A348))</f>
        <v/>
      </c>
      <c r="J348" s="26"/>
      <c r="K348" s="34" t="str">
        <f t="shared" si="16"/>
        <v/>
      </c>
      <c r="L348" s="35" t="str">
        <f t="shared" si="17"/>
        <v/>
      </c>
      <c r="M348" s="14"/>
      <c r="N348" s="16"/>
    </row>
    <row r="349" spans="1:14" ht="15.6" x14ac:dyDescent="0.3">
      <c r="A349" s="13" t="str">
        <f t="shared" si="15"/>
        <v>-</v>
      </c>
      <c r="B349" s="27"/>
      <c r="C349" s="26"/>
      <c r="D349" s="26"/>
      <c r="E349" s="26"/>
      <c r="F349" s="26"/>
      <c r="G349" s="34">
        <f>SUMIFS('BASE EXEC. Q.L'!N:N,'BASE EXEC. Q.L'!B:B,VOOS!A349)</f>
        <v>0</v>
      </c>
      <c r="H349" s="15" t="str">
        <f>IFERROR(_xlfn.XLOOKUP(A349,'BASE SQL PLANTIO'!B:B,'BASE SQL PLANTIO'!T:T,"verificar",0),"")</f>
        <v/>
      </c>
      <c r="I349" s="77" t="str">
        <f>IF(_xlfn.MINIFS('BASE SQL PLANTIO'!E:E,'BASE SQL PLANTIO'!B:B,VOOS!A349)=0/1/1900,"",_xlfn.MINIFS('BASE SQL PLANTIO'!E:E,'BASE SQL PLANTIO'!B:B,VOOS!A349))</f>
        <v/>
      </c>
      <c r="J349" s="26"/>
      <c r="K349" s="34" t="str">
        <f t="shared" si="16"/>
        <v/>
      </c>
      <c r="L349" s="35" t="str">
        <f t="shared" si="17"/>
        <v/>
      </c>
      <c r="M349" s="14"/>
      <c r="N349" s="16"/>
    </row>
    <row r="350" spans="1:14" ht="15.6" x14ac:dyDescent="0.3">
      <c r="A350" s="13" t="str">
        <f t="shared" si="15"/>
        <v>-</v>
      </c>
      <c r="B350" s="27"/>
      <c r="C350" s="26"/>
      <c r="D350" s="26"/>
      <c r="E350" s="26"/>
      <c r="F350" s="26"/>
      <c r="G350" s="34">
        <f>SUMIFS('BASE EXEC. Q.L'!N:N,'BASE EXEC. Q.L'!B:B,VOOS!A350)</f>
        <v>0</v>
      </c>
      <c r="H350" s="15" t="str">
        <f>IFERROR(_xlfn.XLOOKUP(A350,'BASE SQL PLANTIO'!B:B,'BASE SQL PLANTIO'!T:T,"verificar",0),"")</f>
        <v/>
      </c>
      <c r="I350" s="77" t="str">
        <f>IF(_xlfn.MINIFS('BASE SQL PLANTIO'!E:E,'BASE SQL PLANTIO'!B:B,VOOS!A350)=0/1/1900,"",_xlfn.MINIFS('BASE SQL PLANTIO'!E:E,'BASE SQL PLANTIO'!B:B,VOOS!A350))</f>
        <v/>
      </c>
      <c r="J350" s="26"/>
      <c r="K350" s="34" t="str">
        <f t="shared" si="16"/>
        <v/>
      </c>
      <c r="L350" s="35" t="str">
        <f t="shared" si="17"/>
        <v/>
      </c>
      <c r="M350" s="14"/>
      <c r="N350" s="16"/>
    </row>
    <row r="351" spans="1:14" ht="15.6" x14ac:dyDescent="0.3">
      <c r="A351" s="13" t="str">
        <f t="shared" si="15"/>
        <v>-</v>
      </c>
      <c r="B351" s="27"/>
      <c r="C351" s="26"/>
      <c r="D351" s="26"/>
      <c r="E351" s="26"/>
      <c r="F351" s="26"/>
      <c r="G351" s="34">
        <f>SUMIFS('BASE EXEC. Q.L'!N:N,'BASE EXEC. Q.L'!B:B,VOOS!A351)</f>
        <v>0</v>
      </c>
      <c r="H351" s="15" t="str">
        <f>IFERROR(_xlfn.XLOOKUP(A351,'BASE SQL PLANTIO'!B:B,'BASE SQL PLANTIO'!T:T,"verificar",0),"")</f>
        <v/>
      </c>
      <c r="I351" s="77" t="str">
        <f>IF(_xlfn.MINIFS('BASE SQL PLANTIO'!E:E,'BASE SQL PLANTIO'!B:B,VOOS!A351)=0/1/1900,"",_xlfn.MINIFS('BASE SQL PLANTIO'!E:E,'BASE SQL PLANTIO'!B:B,VOOS!A351))</f>
        <v/>
      </c>
      <c r="J351" s="26"/>
      <c r="K351" s="34" t="str">
        <f t="shared" si="16"/>
        <v/>
      </c>
      <c r="L351" s="35" t="str">
        <f t="shared" si="17"/>
        <v/>
      </c>
      <c r="M351" s="14"/>
      <c r="N351" s="16"/>
    </row>
    <row r="352" spans="1:14" ht="15.6" x14ac:dyDescent="0.3">
      <c r="A352" s="13" t="str">
        <f t="shared" si="15"/>
        <v>-</v>
      </c>
      <c r="B352" s="25"/>
      <c r="C352" s="25"/>
      <c r="D352" s="25"/>
      <c r="E352" s="25"/>
      <c r="F352" s="31"/>
      <c r="G352" s="34">
        <f>SUMIFS('BASE EXEC. Q.L'!N:N,'BASE EXEC. Q.L'!B:B,VOOS!A352)</f>
        <v>0</v>
      </c>
      <c r="H352" s="15" t="str">
        <f>IFERROR(_xlfn.XLOOKUP(A352,'BASE SQL PLANTIO'!B:B,'BASE SQL PLANTIO'!T:T,"verificar",0),"")</f>
        <v/>
      </c>
      <c r="I352" s="77" t="str">
        <f>IF(_xlfn.MINIFS('BASE SQL PLANTIO'!E:E,'BASE SQL PLANTIO'!B:B,VOOS!A352)=0/1/1900,"",_xlfn.MINIFS('BASE SQL PLANTIO'!E:E,'BASE SQL PLANTIO'!B:B,VOOS!A352))</f>
        <v/>
      </c>
      <c r="J352" s="26"/>
      <c r="K352" s="34" t="str">
        <f t="shared" si="16"/>
        <v/>
      </c>
      <c r="L352" s="35" t="str">
        <f t="shared" si="17"/>
        <v/>
      </c>
      <c r="M352" s="14"/>
      <c r="N352" s="16"/>
    </row>
    <row r="353" spans="1:14" ht="15.6" x14ac:dyDescent="0.3">
      <c r="A353" s="13" t="str">
        <f t="shared" si="15"/>
        <v>-</v>
      </c>
      <c r="B353" s="25"/>
      <c r="C353" s="25"/>
      <c r="D353" s="25"/>
      <c r="E353" s="25"/>
      <c r="F353" s="31"/>
      <c r="G353" s="34">
        <f>SUMIFS('BASE EXEC. Q.L'!N:N,'BASE EXEC. Q.L'!B:B,VOOS!A353)</f>
        <v>0</v>
      </c>
      <c r="H353" s="15" t="str">
        <f>IFERROR(_xlfn.XLOOKUP(A353,'BASE SQL PLANTIO'!B:B,'BASE SQL PLANTIO'!T:T,"verificar",0),"")</f>
        <v/>
      </c>
      <c r="I353" s="77" t="str">
        <f>IF(_xlfn.MINIFS('BASE SQL PLANTIO'!E:E,'BASE SQL PLANTIO'!B:B,VOOS!A353)=0/1/1900,"",_xlfn.MINIFS('BASE SQL PLANTIO'!E:E,'BASE SQL PLANTIO'!B:B,VOOS!A353))</f>
        <v/>
      </c>
      <c r="J353" s="26"/>
      <c r="K353" s="34" t="str">
        <f t="shared" si="16"/>
        <v/>
      </c>
      <c r="L353" s="35" t="str">
        <f t="shared" si="17"/>
        <v/>
      </c>
      <c r="M353" s="14"/>
      <c r="N353" s="16"/>
    </row>
    <row r="354" spans="1:14" ht="15.6" x14ac:dyDescent="0.3">
      <c r="A354" s="13" t="str">
        <f t="shared" si="15"/>
        <v>-</v>
      </c>
      <c r="B354" s="25"/>
      <c r="C354" s="25"/>
      <c r="D354" s="25"/>
      <c r="E354" s="25"/>
      <c r="F354" s="31"/>
      <c r="G354" s="34">
        <f>SUMIFS('BASE EXEC. Q.L'!N:N,'BASE EXEC. Q.L'!B:B,VOOS!A354)</f>
        <v>0</v>
      </c>
      <c r="H354" s="15" t="str">
        <f>IFERROR(_xlfn.XLOOKUP(A354,'BASE SQL PLANTIO'!B:B,'BASE SQL PLANTIO'!T:T,"verificar",0),"")</f>
        <v/>
      </c>
      <c r="I354" s="77" t="str">
        <f>IF(_xlfn.MINIFS('BASE SQL PLANTIO'!E:E,'BASE SQL PLANTIO'!B:B,VOOS!A354)=0/1/1900,"",_xlfn.MINIFS('BASE SQL PLANTIO'!E:E,'BASE SQL PLANTIO'!B:B,VOOS!A354))</f>
        <v/>
      </c>
      <c r="J354" s="26"/>
      <c r="K354" s="34" t="str">
        <f t="shared" si="16"/>
        <v/>
      </c>
      <c r="L354" s="35" t="str">
        <f t="shared" si="17"/>
        <v/>
      </c>
      <c r="M354" s="14"/>
      <c r="N354" s="16"/>
    </row>
    <row r="355" spans="1:14" ht="15.6" x14ac:dyDescent="0.3">
      <c r="A355" s="13" t="str">
        <f t="shared" si="15"/>
        <v>-</v>
      </c>
      <c r="B355" s="27"/>
      <c r="C355" s="26"/>
      <c r="D355" s="26"/>
      <c r="E355" s="26"/>
      <c r="F355" s="26"/>
      <c r="G355" s="34">
        <f>SUMIFS('BASE EXEC. Q.L'!N:N,'BASE EXEC. Q.L'!B:B,VOOS!A355)</f>
        <v>0</v>
      </c>
      <c r="H355" s="15" t="str">
        <f>IFERROR(_xlfn.XLOOKUP(A355,'BASE SQL PLANTIO'!B:B,'BASE SQL PLANTIO'!T:T,"verificar",0),"")</f>
        <v/>
      </c>
      <c r="I355" s="77" t="str">
        <f>IF(_xlfn.MINIFS('BASE SQL PLANTIO'!E:E,'BASE SQL PLANTIO'!B:B,VOOS!A355)=0/1/1900,"",_xlfn.MINIFS('BASE SQL PLANTIO'!E:E,'BASE SQL PLANTIO'!B:B,VOOS!A355))</f>
        <v/>
      </c>
      <c r="J355" s="26"/>
      <c r="K355" s="34" t="str">
        <f t="shared" si="16"/>
        <v/>
      </c>
      <c r="L355" s="35" t="str">
        <f t="shared" si="17"/>
        <v/>
      </c>
      <c r="M355" s="14"/>
      <c r="N355" s="16"/>
    </row>
    <row r="356" spans="1:14" ht="15.6" x14ac:dyDescent="0.3">
      <c r="A356" s="13" t="str">
        <f t="shared" si="15"/>
        <v>-</v>
      </c>
      <c r="B356" s="27"/>
      <c r="C356" s="26"/>
      <c r="D356" s="26"/>
      <c r="E356" s="26"/>
      <c r="F356" s="26"/>
      <c r="G356" s="34">
        <f>SUMIFS('BASE EXEC. Q.L'!N:N,'BASE EXEC. Q.L'!B:B,VOOS!A356)</f>
        <v>0</v>
      </c>
      <c r="H356" s="15" t="str">
        <f>IFERROR(_xlfn.XLOOKUP(A356,'BASE SQL PLANTIO'!B:B,'BASE SQL PLANTIO'!T:T,"verificar",0),"")</f>
        <v/>
      </c>
      <c r="I356" s="77" t="str">
        <f>IF(_xlfn.MINIFS('BASE SQL PLANTIO'!E:E,'BASE SQL PLANTIO'!B:B,VOOS!A356)=0/1/1900,"",_xlfn.MINIFS('BASE SQL PLANTIO'!E:E,'BASE SQL PLANTIO'!B:B,VOOS!A356))</f>
        <v/>
      </c>
      <c r="J356" s="26"/>
      <c r="K356" s="34" t="str">
        <f t="shared" si="16"/>
        <v/>
      </c>
      <c r="L356" s="35" t="str">
        <f t="shared" si="17"/>
        <v/>
      </c>
      <c r="M356" s="14"/>
      <c r="N356" s="16"/>
    </row>
    <row r="357" spans="1:14" ht="15.6" x14ac:dyDescent="0.3">
      <c r="A357" s="13" t="str">
        <f t="shared" si="15"/>
        <v>-</v>
      </c>
      <c r="B357" s="27"/>
      <c r="C357" s="26"/>
      <c r="D357" s="26"/>
      <c r="E357" s="26"/>
      <c r="F357" s="26"/>
      <c r="G357" s="34">
        <f>SUMIFS('BASE EXEC. Q.L'!N:N,'BASE EXEC. Q.L'!B:B,VOOS!A357)</f>
        <v>0</v>
      </c>
      <c r="H357" s="15" t="str">
        <f>IFERROR(_xlfn.XLOOKUP(A357,'BASE SQL PLANTIO'!B:B,'BASE SQL PLANTIO'!T:T,"verificar",0),"")</f>
        <v/>
      </c>
      <c r="I357" s="77" t="str">
        <f>IF(_xlfn.MINIFS('BASE SQL PLANTIO'!E:E,'BASE SQL PLANTIO'!B:B,VOOS!A357)=0/1/1900,"",_xlfn.MINIFS('BASE SQL PLANTIO'!E:E,'BASE SQL PLANTIO'!B:B,VOOS!A357))</f>
        <v/>
      </c>
      <c r="J357" s="26"/>
      <c r="K357" s="34" t="str">
        <f t="shared" si="16"/>
        <v/>
      </c>
      <c r="L357" s="35" t="str">
        <f t="shared" si="17"/>
        <v/>
      </c>
      <c r="M357" s="14"/>
      <c r="N357" s="15"/>
    </row>
    <row r="358" spans="1:14" ht="15.6" x14ac:dyDescent="0.3">
      <c r="A358" s="13" t="str">
        <f t="shared" si="15"/>
        <v>-</v>
      </c>
      <c r="B358" s="27"/>
      <c r="C358" s="26"/>
      <c r="D358" s="26"/>
      <c r="E358" s="26"/>
      <c r="F358" s="26"/>
      <c r="G358" s="34">
        <f>SUMIFS('BASE EXEC. Q.L'!N:N,'BASE EXEC. Q.L'!B:B,VOOS!A358)</f>
        <v>0</v>
      </c>
      <c r="H358" s="15" t="str">
        <f>IFERROR(_xlfn.XLOOKUP(A358,'BASE SQL PLANTIO'!B:B,'BASE SQL PLANTIO'!T:T,"verificar",0),"")</f>
        <v/>
      </c>
      <c r="I358" s="77" t="str">
        <f>IF(_xlfn.MINIFS('BASE SQL PLANTIO'!E:E,'BASE SQL PLANTIO'!B:B,VOOS!A358)=0/1/1900,"",_xlfn.MINIFS('BASE SQL PLANTIO'!E:E,'BASE SQL PLANTIO'!B:B,VOOS!A358))</f>
        <v/>
      </c>
      <c r="J358" s="26"/>
      <c r="K358" s="34" t="str">
        <f t="shared" si="16"/>
        <v/>
      </c>
      <c r="L358" s="35" t="str">
        <f t="shared" si="17"/>
        <v/>
      </c>
      <c r="M358" s="14"/>
      <c r="N358" s="16"/>
    </row>
    <row r="359" spans="1:14" ht="15.6" x14ac:dyDescent="0.3">
      <c r="A359" s="13" t="str">
        <f t="shared" si="15"/>
        <v>-</v>
      </c>
      <c r="B359" s="27"/>
      <c r="C359" s="26"/>
      <c r="D359" s="26"/>
      <c r="E359" s="26"/>
      <c r="F359" s="26"/>
      <c r="G359" s="34">
        <f>SUMIFS('BASE EXEC. Q.L'!N:N,'BASE EXEC. Q.L'!B:B,VOOS!A359)</f>
        <v>0</v>
      </c>
      <c r="H359" s="15" t="str">
        <f>IFERROR(_xlfn.XLOOKUP(A359,'BASE SQL PLANTIO'!B:B,'BASE SQL PLANTIO'!T:T,"verificar",0),"")</f>
        <v/>
      </c>
      <c r="I359" s="77" t="str">
        <f>IF(_xlfn.MINIFS('BASE SQL PLANTIO'!E:E,'BASE SQL PLANTIO'!B:B,VOOS!A359)=0/1/1900,"",_xlfn.MINIFS('BASE SQL PLANTIO'!E:E,'BASE SQL PLANTIO'!B:B,VOOS!A359))</f>
        <v/>
      </c>
      <c r="J359" s="26"/>
      <c r="K359" s="34" t="str">
        <f t="shared" si="16"/>
        <v/>
      </c>
      <c r="L359" s="35" t="str">
        <f t="shared" si="17"/>
        <v/>
      </c>
      <c r="M359" s="14"/>
      <c r="N359" s="16"/>
    </row>
    <row r="360" spans="1:14" ht="15.6" x14ac:dyDescent="0.3">
      <c r="A360" s="13" t="str">
        <f t="shared" si="15"/>
        <v>-</v>
      </c>
      <c r="B360" s="27"/>
      <c r="C360" s="26"/>
      <c r="D360" s="26"/>
      <c r="E360" s="26"/>
      <c r="F360" s="26"/>
      <c r="G360" s="34">
        <f>SUMIFS('BASE EXEC. Q.L'!N:N,'BASE EXEC. Q.L'!B:B,VOOS!A360)</f>
        <v>0</v>
      </c>
      <c r="H360" s="15" t="str">
        <f>IFERROR(_xlfn.XLOOKUP(A360,'BASE SQL PLANTIO'!B:B,'BASE SQL PLANTIO'!T:T,"verificar",0),"")</f>
        <v/>
      </c>
      <c r="I360" s="77" t="str">
        <f>IF(_xlfn.MINIFS('BASE SQL PLANTIO'!E:E,'BASE SQL PLANTIO'!B:B,VOOS!A360)=0/1/1900,"",_xlfn.MINIFS('BASE SQL PLANTIO'!E:E,'BASE SQL PLANTIO'!B:B,VOOS!A360))</f>
        <v/>
      </c>
      <c r="J360" s="26"/>
      <c r="K360" s="34" t="str">
        <f t="shared" si="16"/>
        <v/>
      </c>
      <c r="L360" s="35" t="str">
        <f t="shared" si="17"/>
        <v/>
      </c>
      <c r="M360" s="14"/>
      <c r="N360" s="16"/>
    </row>
    <row r="361" spans="1:14" ht="15.6" x14ac:dyDescent="0.3">
      <c r="A361" s="13" t="str">
        <f t="shared" si="15"/>
        <v>-</v>
      </c>
      <c r="B361" s="27"/>
      <c r="C361" s="26"/>
      <c r="D361" s="26"/>
      <c r="E361" s="26"/>
      <c r="F361" s="26"/>
      <c r="G361" s="34">
        <f>SUMIFS('BASE EXEC. Q.L'!N:N,'BASE EXEC. Q.L'!B:B,VOOS!A361)</f>
        <v>0</v>
      </c>
      <c r="H361" s="15" t="str">
        <f>IFERROR(_xlfn.XLOOKUP(A361,'BASE SQL PLANTIO'!B:B,'BASE SQL PLANTIO'!T:T,"verificar",0),"")</f>
        <v/>
      </c>
      <c r="I361" s="77" t="str">
        <f>IF(_xlfn.MINIFS('BASE SQL PLANTIO'!E:E,'BASE SQL PLANTIO'!B:B,VOOS!A361)=0/1/1900,"",_xlfn.MINIFS('BASE SQL PLANTIO'!E:E,'BASE SQL PLANTIO'!B:B,VOOS!A361))</f>
        <v/>
      </c>
      <c r="J361" s="26"/>
      <c r="K361" s="34" t="str">
        <f t="shared" si="16"/>
        <v/>
      </c>
      <c r="L361" s="35" t="str">
        <f t="shared" si="17"/>
        <v/>
      </c>
      <c r="M361" s="14"/>
      <c r="N361" s="16"/>
    </row>
    <row r="362" spans="1:14" ht="15.6" x14ac:dyDescent="0.3">
      <c r="A362" s="13" t="str">
        <f t="shared" si="15"/>
        <v>-</v>
      </c>
      <c r="B362" s="27"/>
      <c r="C362" s="26"/>
      <c r="D362" s="26"/>
      <c r="E362" s="26"/>
      <c r="F362" s="26"/>
      <c r="G362" s="34">
        <f>SUMIFS('BASE EXEC. Q.L'!N:N,'BASE EXEC. Q.L'!B:B,VOOS!A362)</f>
        <v>0</v>
      </c>
      <c r="H362" s="15" t="str">
        <f>IFERROR(_xlfn.XLOOKUP(A362,'BASE SQL PLANTIO'!B:B,'BASE SQL PLANTIO'!T:T,"verificar",0),"")</f>
        <v/>
      </c>
      <c r="I362" s="77" t="str">
        <f>IF(_xlfn.MINIFS('BASE SQL PLANTIO'!E:E,'BASE SQL PLANTIO'!B:B,VOOS!A362)=0/1/1900,"",_xlfn.MINIFS('BASE SQL PLANTIO'!E:E,'BASE SQL PLANTIO'!B:B,VOOS!A362))</f>
        <v/>
      </c>
      <c r="J362" s="26"/>
      <c r="K362" s="34" t="str">
        <f t="shared" si="16"/>
        <v/>
      </c>
      <c r="L362" s="35" t="str">
        <f t="shared" si="17"/>
        <v/>
      </c>
      <c r="M362" s="14"/>
      <c r="N362" s="16"/>
    </row>
    <row r="363" spans="1:14" ht="15.6" x14ac:dyDescent="0.3">
      <c r="A363" s="13" t="str">
        <f t="shared" si="15"/>
        <v>-</v>
      </c>
      <c r="B363" s="27"/>
      <c r="C363" s="26"/>
      <c r="D363" s="26"/>
      <c r="E363" s="26"/>
      <c r="F363" s="26"/>
      <c r="G363" s="34">
        <f>SUMIFS('BASE EXEC. Q.L'!N:N,'BASE EXEC. Q.L'!B:B,VOOS!A363)</f>
        <v>0</v>
      </c>
      <c r="H363" s="15" t="str">
        <f>IFERROR(_xlfn.XLOOKUP(A363,'BASE SQL PLANTIO'!B:B,'BASE SQL PLANTIO'!T:T,"verificar",0),"")</f>
        <v/>
      </c>
      <c r="I363" s="77" t="str">
        <f>IF(_xlfn.MINIFS('BASE SQL PLANTIO'!E:E,'BASE SQL PLANTIO'!B:B,VOOS!A363)=0/1/1900,"",_xlfn.MINIFS('BASE SQL PLANTIO'!E:E,'BASE SQL PLANTIO'!B:B,VOOS!A363))</f>
        <v/>
      </c>
      <c r="J363" s="26"/>
      <c r="K363" s="34" t="str">
        <f t="shared" si="16"/>
        <v/>
      </c>
      <c r="L363" s="35" t="str">
        <f t="shared" si="17"/>
        <v/>
      </c>
      <c r="M363" s="14"/>
      <c r="N363" s="16"/>
    </row>
    <row r="364" spans="1:14" ht="15.6" x14ac:dyDescent="0.3">
      <c r="A364" s="13" t="str">
        <f t="shared" si="15"/>
        <v>-</v>
      </c>
      <c r="B364" s="27"/>
      <c r="C364" s="22"/>
      <c r="D364" s="23"/>
      <c r="E364" s="23"/>
      <c r="F364" s="22"/>
      <c r="G364" s="34">
        <f>SUMIFS('BASE EXEC. Q.L'!N:N,'BASE EXEC. Q.L'!B:B,VOOS!A364)</f>
        <v>0</v>
      </c>
      <c r="H364" s="15" t="str">
        <f>IFERROR(_xlfn.XLOOKUP(A364,'BASE SQL PLANTIO'!B:B,'BASE SQL PLANTIO'!T:T,"verificar",0),"")</f>
        <v/>
      </c>
      <c r="I364" s="77" t="str">
        <f>IF(_xlfn.MINIFS('BASE SQL PLANTIO'!E:E,'BASE SQL PLANTIO'!B:B,VOOS!A364)=0/1/1900,"",_xlfn.MINIFS('BASE SQL PLANTIO'!E:E,'BASE SQL PLANTIO'!B:B,VOOS!A364))</f>
        <v/>
      </c>
      <c r="J364" s="22"/>
      <c r="K364" s="34" t="str">
        <f t="shared" si="16"/>
        <v/>
      </c>
      <c r="L364" s="35" t="str">
        <f t="shared" si="17"/>
        <v/>
      </c>
      <c r="M364" s="14"/>
      <c r="N364" s="16"/>
    </row>
    <row r="365" spans="1:14" ht="15.6" x14ac:dyDescent="0.3">
      <c r="A365" s="13" t="str">
        <f t="shared" si="15"/>
        <v>-</v>
      </c>
      <c r="B365" s="27"/>
      <c r="C365" s="26"/>
      <c r="D365" s="26"/>
      <c r="E365" s="26"/>
      <c r="F365" s="26"/>
      <c r="G365" s="34">
        <f>SUMIFS('BASE EXEC. Q.L'!N:N,'BASE EXEC. Q.L'!B:B,VOOS!A365)</f>
        <v>0</v>
      </c>
      <c r="H365" s="15" t="str">
        <f>IFERROR(_xlfn.XLOOKUP(A365,'BASE SQL PLANTIO'!B:B,'BASE SQL PLANTIO'!T:T,"verificar",0),"")</f>
        <v/>
      </c>
      <c r="I365" s="77" t="str">
        <f>IF(_xlfn.MINIFS('BASE SQL PLANTIO'!E:E,'BASE SQL PLANTIO'!B:B,VOOS!A365)=0/1/1900,"",_xlfn.MINIFS('BASE SQL PLANTIO'!E:E,'BASE SQL PLANTIO'!B:B,VOOS!A365))</f>
        <v/>
      </c>
      <c r="J365" s="26"/>
      <c r="K365" s="34" t="str">
        <f t="shared" si="16"/>
        <v/>
      </c>
      <c r="L365" s="35" t="str">
        <f t="shared" si="17"/>
        <v/>
      </c>
      <c r="M365" s="14"/>
      <c r="N365" s="16"/>
    </row>
    <row r="366" spans="1:14" ht="15.6" x14ac:dyDescent="0.3">
      <c r="A366" s="13" t="str">
        <f t="shared" si="15"/>
        <v>-</v>
      </c>
      <c r="B366" s="27"/>
      <c r="C366" s="26"/>
      <c r="D366" s="26"/>
      <c r="E366" s="26"/>
      <c r="F366" s="26"/>
      <c r="G366" s="34">
        <f>SUMIFS('BASE EXEC. Q.L'!N:N,'BASE EXEC. Q.L'!B:B,VOOS!A366)</f>
        <v>0</v>
      </c>
      <c r="H366" s="15" t="str">
        <f>IFERROR(_xlfn.XLOOKUP(A366,'BASE SQL PLANTIO'!B:B,'BASE SQL PLANTIO'!T:T,"verificar",0),"")</f>
        <v/>
      </c>
      <c r="I366" s="77" t="str">
        <f>IF(_xlfn.MINIFS('BASE SQL PLANTIO'!E:E,'BASE SQL PLANTIO'!B:B,VOOS!A366)=0/1/1900,"",_xlfn.MINIFS('BASE SQL PLANTIO'!E:E,'BASE SQL PLANTIO'!B:B,VOOS!A366))</f>
        <v/>
      </c>
      <c r="J366" s="26"/>
      <c r="K366" s="34" t="str">
        <f t="shared" si="16"/>
        <v/>
      </c>
      <c r="L366" s="35" t="str">
        <f t="shared" si="17"/>
        <v/>
      </c>
      <c r="M366" s="14"/>
      <c r="N366" s="16"/>
    </row>
    <row r="367" spans="1:14" ht="15.6" x14ac:dyDescent="0.3">
      <c r="A367" s="13" t="str">
        <f t="shared" si="15"/>
        <v>-</v>
      </c>
      <c r="B367" s="27"/>
      <c r="C367" s="26"/>
      <c r="D367" s="26"/>
      <c r="E367" s="26"/>
      <c r="F367" s="26"/>
      <c r="G367" s="34">
        <f>SUMIFS('BASE EXEC. Q.L'!N:N,'BASE EXEC. Q.L'!B:B,VOOS!A367)</f>
        <v>0</v>
      </c>
      <c r="H367" s="15" t="str">
        <f>IFERROR(_xlfn.XLOOKUP(A367,'BASE SQL PLANTIO'!B:B,'BASE SQL PLANTIO'!T:T,"verificar",0),"")</f>
        <v/>
      </c>
      <c r="I367" s="77" t="str">
        <f>IF(_xlfn.MINIFS('BASE SQL PLANTIO'!E:E,'BASE SQL PLANTIO'!B:B,VOOS!A367)=0/1/1900,"",_xlfn.MINIFS('BASE SQL PLANTIO'!E:E,'BASE SQL PLANTIO'!B:B,VOOS!A367))</f>
        <v/>
      </c>
      <c r="J367" s="26"/>
      <c r="K367" s="34" t="str">
        <f t="shared" si="16"/>
        <v/>
      </c>
      <c r="L367" s="35" t="str">
        <f t="shared" si="17"/>
        <v/>
      </c>
      <c r="M367" s="14"/>
      <c r="N367" s="16"/>
    </row>
    <row r="368" spans="1:14" ht="15.6" x14ac:dyDescent="0.3">
      <c r="A368" s="13" t="str">
        <f t="shared" si="15"/>
        <v>-</v>
      </c>
      <c r="B368" s="27"/>
      <c r="C368" s="26"/>
      <c r="D368" s="26"/>
      <c r="E368" s="26"/>
      <c r="F368" s="26"/>
      <c r="G368" s="34">
        <f>SUMIFS('BASE EXEC. Q.L'!N:N,'BASE EXEC. Q.L'!B:B,VOOS!A368)</f>
        <v>0</v>
      </c>
      <c r="H368" s="15" t="str">
        <f>IFERROR(_xlfn.XLOOKUP(A368,'BASE SQL PLANTIO'!B:B,'BASE SQL PLANTIO'!T:T,"verificar",0),"")</f>
        <v/>
      </c>
      <c r="I368" s="77" t="str">
        <f>IF(_xlfn.MINIFS('BASE SQL PLANTIO'!E:E,'BASE SQL PLANTIO'!B:B,VOOS!A368)=0/1/1900,"",_xlfn.MINIFS('BASE SQL PLANTIO'!E:E,'BASE SQL PLANTIO'!B:B,VOOS!A368))</f>
        <v/>
      </c>
      <c r="J368" s="26"/>
      <c r="K368" s="34" t="str">
        <f t="shared" si="16"/>
        <v/>
      </c>
      <c r="L368" s="35" t="str">
        <f t="shared" si="17"/>
        <v/>
      </c>
      <c r="M368" s="14"/>
      <c r="N368" s="15"/>
    </row>
    <row r="369" spans="1:14" ht="15.6" x14ac:dyDescent="0.3">
      <c r="A369" s="13" t="str">
        <f t="shared" si="15"/>
        <v>-</v>
      </c>
      <c r="B369" s="25"/>
      <c r="C369" s="25"/>
      <c r="D369" s="25"/>
      <c r="E369" s="25"/>
      <c r="F369" s="31"/>
      <c r="G369" s="34">
        <f>SUMIFS('BASE EXEC. Q.L'!N:N,'BASE EXEC. Q.L'!B:B,VOOS!A369)</f>
        <v>0</v>
      </c>
      <c r="H369" s="15" t="str">
        <f>IFERROR(_xlfn.XLOOKUP(A369,'BASE SQL PLANTIO'!B:B,'BASE SQL PLANTIO'!T:T,"verificar",0),"")</f>
        <v/>
      </c>
      <c r="I369" s="77" t="str">
        <f>IF(_xlfn.MINIFS('BASE SQL PLANTIO'!E:E,'BASE SQL PLANTIO'!B:B,VOOS!A369)=0/1/1900,"",_xlfn.MINIFS('BASE SQL PLANTIO'!E:E,'BASE SQL PLANTIO'!B:B,VOOS!A369))</f>
        <v/>
      </c>
      <c r="J369" s="26"/>
      <c r="K369" s="34" t="str">
        <f t="shared" si="16"/>
        <v/>
      </c>
      <c r="L369" s="35" t="str">
        <f t="shared" si="17"/>
        <v/>
      </c>
      <c r="M369" s="14"/>
      <c r="N369" s="16"/>
    </row>
    <row r="370" spans="1:14" ht="15.6" x14ac:dyDescent="0.3">
      <c r="A370" s="13" t="str">
        <f t="shared" si="15"/>
        <v>-</v>
      </c>
      <c r="B370" s="25"/>
      <c r="C370" s="25"/>
      <c r="D370" s="25"/>
      <c r="E370" s="25"/>
      <c r="F370" s="31"/>
      <c r="G370" s="34">
        <f>SUMIFS('BASE EXEC. Q.L'!N:N,'BASE EXEC. Q.L'!B:B,VOOS!A370)</f>
        <v>0</v>
      </c>
      <c r="H370" s="15" t="str">
        <f>IFERROR(_xlfn.XLOOKUP(A370,'BASE SQL PLANTIO'!B:B,'BASE SQL PLANTIO'!T:T,"verificar",0),"")</f>
        <v/>
      </c>
      <c r="I370" s="77" t="str">
        <f>IF(_xlfn.MINIFS('BASE SQL PLANTIO'!E:E,'BASE SQL PLANTIO'!B:B,VOOS!A370)=0/1/1900,"",_xlfn.MINIFS('BASE SQL PLANTIO'!E:E,'BASE SQL PLANTIO'!B:B,VOOS!A370))</f>
        <v/>
      </c>
      <c r="J370" s="26"/>
      <c r="K370" s="34" t="str">
        <f t="shared" si="16"/>
        <v/>
      </c>
      <c r="L370" s="35" t="str">
        <f t="shared" si="17"/>
        <v/>
      </c>
      <c r="M370" s="14"/>
      <c r="N370" s="16"/>
    </row>
    <row r="371" spans="1:14" ht="15.6" x14ac:dyDescent="0.3">
      <c r="A371" s="13" t="str">
        <f t="shared" si="15"/>
        <v>-</v>
      </c>
      <c r="B371" s="27"/>
      <c r="C371" s="26"/>
      <c r="D371" s="26"/>
      <c r="E371" s="26"/>
      <c r="F371" s="26"/>
      <c r="G371" s="34">
        <f>SUMIFS('BASE EXEC. Q.L'!N:N,'BASE EXEC. Q.L'!B:B,VOOS!A371)</f>
        <v>0</v>
      </c>
      <c r="H371" s="15" t="str">
        <f>IFERROR(_xlfn.XLOOKUP(A371,'BASE SQL PLANTIO'!B:B,'BASE SQL PLANTIO'!T:T,"verificar",0),"")</f>
        <v/>
      </c>
      <c r="I371" s="77" t="str">
        <f>IF(_xlfn.MINIFS('BASE SQL PLANTIO'!E:E,'BASE SQL PLANTIO'!B:B,VOOS!A371)=0/1/1900,"",_xlfn.MINIFS('BASE SQL PLANTIO'!E:E,'BASE SQL PLANTIO'!B:B,VOOS!A371))</f>
        <v/>
      </c>
      <c r="J371" s="26"/>
      <c r="K371" s="34" t="str">
        <f t="shared" si="16"/>
        <v/>
      </c>
      <c r="L371" s="35" t="str">
        <f t="shared" si="17"/>
        <v/>
      </c>
      <c r="M371" s="14"/>
      <c r="N371" s="16"/>
    </row>
    <row r="372" spans="1:14" ht="15.6" x14ac:dyDescent="0.3">
      <c r="A372" s="13" t="str">
        <f t="shared" si="15"/>
        <v>-</v>
      </c>
      <c r="B372" s="27"/>
      <c r="C372" s="26"/>
      <c r="D372" s="26"/>
      <c r="E372" s="26"/>
      <c r="F372" s="26"/>
      <c r="G372" s="34">
        <f>SUMIFS('BASE EXEC. Q.L'!N:N,'BASE EXEC. Q.L'!B:B,VOOS!A372)</f>
        <v>0</v>
      </c>
      <c r="H372" s="15" t="str">
        <f>IFERROR(_xlfn.XLOOKUP(A372,'BASE SQL PLANTIO'!B:B,'BASE SQL PLANTIO'!T:T,"verificar",0),"")</f>
        <v/>
      </c>
      <c r="I372" s="77" t="str">
        <f>IF(_xlfn.MINIFS('BASE SQL PLANTIO'!E:E,'BASE SQL PLANTIO'!B:B,VOOS!A372)=0/1/1900,"",_xlfn.MINIFS('BASE SQL PLANTIO'!E:E,'BASE SQL PLANTIO'!B:B,VOOS!A372))</f>
        <v/>
      </c>
      <c r="J372" s="26"/>
      <c r="K372" s="34" t="str">
        <f t="shared" si="16"/>
        <v/>
      </c>
      <c r="L372" s="35" t="str">
        <f t="shared" si="17"/>
        <v/>
      </c>
      <c r="M372" s="14"/>
      <c r="N372" s="16"/>
    </row>
    <row r="373" spans="1:14" ht="15.6" x14ac:dyDescent="0.3">
      <c r="A373" s="13" t="str">
        <f t="shared" si="15"/>
        <v>-</v>
      </c>
      <c r="B373" s="27"/>
      <c r="C373" s="26"/>
      <c r="D373" s="26"/>
      <c r="E373" s="26"/>
      <c r="F373" s="26"/>
      <c r="G373" s="34">
        <f>SUMIFS('BASE EXEC. Q.L'!N:N,'BASE EXEC. Q.L'!B:B,VOOS!A373)</f>
        <v>0</v>
      </c>
      <c r="H373" s="15" t="str">
        <f>IFERROR(_xlfn.XLOOKUP(A373,'BASE SQL PLANTIO'!B:B,'BASE SQL PLANTIO'!T:T,"verificar",0),"")</f>
        <v/>
      </c>
      <c r="I373" s="77" t="str">
        <f>IF(_xlfn.MINIFS('BASE SQL PLANTIO'!E:E,'BASE SQL PLANTIO'!B:B,VOOS!A373)=0/1/1900,"",_xlfn.MINIFS('BASE SQL PLANTIO'!E:E,'BASE SQL PLANTIO'!B:B,VOOS!A373))</f>
        <v/>
      </c>
      <c r="J373" s="26"/>
      <c r="K373" s="34" t="str">
        <f t="shared" si="16"/>
        <v/>
      </c>
      <c r="L373" s="35" t="str">
        <f t="shared" si="17"/>
        <v/>
      </c>
      <c r="M373" s="14"/>
      <c r="N373" s="16"/>
    </row>
    <row r="374" spans="1:14" ht="15.6" x14ac:dyDescent="0.3">
      <c r="A374" s="13" t="str">
        <f t="shared" si="15"/>
        <v>-</v>
      </c>
      <c r="B374" s="27"/>
      <c r="C374" s="26"/>
      <c r="D374" s="26"/>
      <c r="E374" s="26"/>
      <c r="F374" s="26"/>
      <c r="G374" s="34">
        <f>SUMIFS('BASE EXEC. Q.L'!N:N,'BASE EXEC. Q.L'!B:B,VOOS!A374)</f>
        <v>0</v>
      </c>
      <c r="H374" s="15" t="str">
        <f>IFERROR(_xlfn.XLOOKUP(A374,'BASE SQL PLANTIO'!B:B,'BASE SQL PLANTIO'!T:T,"verificar",0),"")</f>
        <v/>
      </c>
      <c r="I374" s="77" t="str">
        <f>IF(_xlfn.MINIFS('BASE SQL PLANTIO'!E:E,'BASE SQL PLANTIO'!B:B,VOOS!A374)=0/1/1900,"",_xlfn.MINIFS('BASE SQL PLANTIO'!E:E,'BASE SQL PLANTIO'!B:B,VOOS!A374))</f>
        <v/>
      </c>
      <c r="J374" s="26"/>
      <c r="K374" s="34" t="str">
        <f t="shared" si="16"/>
        <v/>
      </c>
      <c r="L374" s="35" t="str">
        <f t="shared" si="17"/>
        <v/>
      </c>
      <c r="M374" s="14"/>
      <c r="N374" s="16"/>
    </row>
    <row r="375" spans="1:14" ht="15.6" x14ac:dyDescent="0.3">
      <c r="A375" s="13" t="str">
        <f t="shared" si="15"/>
        <v>-</v>
      </c>
      <c r="B375" s="27"/>
      <c r="C375" s="26"/>
      <c r="D375" s="26"/>
      <c r="E375" s="26"/>
      <c r="F375" s="26"/>
      <c r="G375" s="34">
        <f>SUMIFS('BASE EXEC. Q.L'!N:N,'BASE EXEC. Q.L'!B:B,VOOS!A375)</f>
        <v>0</v>
      </c>
      <c r="H375" s="15" t="str">
        <f>IFERROR(_xlfn.XLOOKUP(A375,'BASE SQL PLANTIO'!B:B,'BASE SQL PLANTIO'!T:T,"verificar",0),"")</f>
        <v/>
      </c>
      <c r="I375" s="77" t="str">
        <f>IF(_xlfn.MINIFS('BASE SQL PLANTIO'!E:E,'BASE SQL PLANTIO'!B:B,VOOS!A375)=0/1/1900,"",_xlfn.MINIFS('BASE SQL PLANTIO'!E:E,'BASE SQL PLANTIO'!B:B,VOOS!A375))</f>
        <v/>
      </c>
      <c r="J375" s="26"/>
      <c r="K375" s="34" t="str">
        <f t="shared" si="16"/>
        <v/>
      </c>
      <c r="L375" s="35" t="str">
        <f t="shared" si="17"/>
        <v/>
      </c>
      <c r="M375" s="14"/>
      <c r="N375" s="16"/>
    </row>
    <row r="376" spans="1:14" ht="15.6" x14ac:dyDescent="0.3">
      <c r="A376" s="13" t="str">
        <f t="shared" si="15"/>
        <v>-</v>
      </c>
      <c r="B376" s="25"/>
      <c r="C376" s="25"/>
      <c r="D376" s="25"/>
      <c r="E376" s="25"/>
      <c r="F376" s="31"/>
      <c r="G376" s="34">
        <f>SUMIFS('BASE EXEC. Q.L'!N:N,'BASE EXEC. Q.L'!B:B,VOOS!A376)</f>
        <v>0</v>
      </c>
      <c r="H376" s="15" t="str">
        <f>IFERROR(_xlfn.XLOOKUP(A376,'BASE SQL PLANTIO'!B:B,'BASE SQL PLANTIO'!T:T,"verificar",0),"")</f>
        <v/>
      </c>
      <c r="I376" s="77" t="str">
        <f>IF(_xlfn.MINIFS('BASE SQL PLANTIO'!E:E,'BASE SQL PLANTIO'!B:B,VOOS!A376)=0/1/1900,"",_xlfn.MINIFS('BASE SQL PLANTIO'!E:E,'BASE SQL PLANTIO'!B:B,VOOS!A376))</f>
        <v/>
      </c>
      <c r="J376" s="26"/>
      <c r="K376" s="34" t="str">
        <f t="shared" si="16"/>
        <v/>
      </c>
      <c r="L376" s="35" t="str">
        <f t="shared" si="17"/>
        <v/>
      </c>
      <c r="M376" s="14"/>
      <c r="N376" s="16"/>
    </row>
    <row r="377" spans="1:14" ht="15.6" x14ac:dyDescent="0.3">
      <c r="A377" s="13" t="str">
        <f t="shared" si="15"/>
        <v>-</v>
      </c>
      <c r="B377" s="25"/>
      <c r="C377" s="25"/>
      <c r="D377" s="25"/>
      <c r="E377" s="25"/>
      <c r="F377" s="31"/>
      <c r="G377" s="34">
        <f>SUMIFS('BASE EXEC. Q.L'!N:N,'BASE EXEC. Q.L'!B:B,VOOS!A377)</f>
        <v>0</v>
      </c>
      <c r="H377" s="15" t="str">
        <f>IFERROR(_xlfn.XLOOKUP(A377,'BASE SQL PLANTIO'!B:B,'BASE SQL PLANTIO'!T:T,"verificar",0),"")</f>
        <v/>
      </c>
      <c r="I377" s="77" t="str">
        <f>IF(_xlfn.MINIFS('BASE SQL PLANTIO'!E:E,'BASE SQL PLANTIO'!B:B,VOOS!A377)=0/1/1900,"",_xlfn.MINIFS('BASE SQL PLANTIO'!E:E,'BASE SQL PLANTIO'!B:B,VOOS!A377))</f>
        <v/>
      </c>
      <c r="J377" s="26"/>
      <c r="K377" s="34" t="str">
        <f t="shared" si="16"/>
        <v/>
      </c>
      <c r="L377" s="35" t="str">
        <f t="shared" si="17"/>
        <v/>
      </c>
      <c r="M377" s="14"/>
      <c r="N377" s="16"/>
    </row>
    <row r="378" spans="1:14" ht="15.6" x14ac:dyDescent="0.3">
      <c r="A378" s="13" t="str">
        <f t="shared" si="15"/>
        <v>-</v>
      </c>
      <c r="B378" s="25"/>
      <c r="C378" s="25"/>
      <c r="D378" s="25"/>
      <c r="E378" s="25"/>
      <c r="F378" s="31"/>
      <c r="G378" s="34">
        <f>SUMIFS('BASE EXEC. Q.L'!N:N,'BASE EXEC. Q.L'!B:B,VOOS!A378)</f>
        <v>0</v>
      </c>
      <c r="H378" s="15" t="str">
        <f>IFERROR(_xlfn.XLOOKUP(A378,'BASE SQL PLANTIO'!B:B,'BASE SQL PLANTIO'!T:T,"verificar",0),"")</f>
        <v/>
      </c>
      <c r="I378" s="77" t="str">
        <f>IF(_xlfn.MINIFS('BASE SQL PLANTIO'!E:E,'BASE SQL PLANTIO'!B:B,VOOS!A378)=0/1/1900,"",_xlfn.MINIFS('BASE SQL PLANTIO'!E:E,'BASE SQL PLANTIO'!B:B,VOOS!A378))</f>
        <v/>
      </c>
      <c r="J378" s="26"/>
      <c r="K378" s="34" t="str">
        <f t="shared" si="16"/>
        <v/>
      </c>
      <c r="L378" s="35" t="str">
        <f t="shared" si="17"/>
        <v/>
      </c>
      <c r="M378" s="14"/>
      <c r="N378" s="16"/>
    </row>
    <row r="379" spans="1:14" ht="15.6" x14ac:dyDescent="0.3">
      <c r="A379" s="13" t="str">
        <f t="shared" si="15"/>
        <v>-</v>
      </c>
      <c r="B379" s="27"/>
      <c r="C379" s="26"/>
      <c r="D379" s="26"/>
      <c r="E379" s="26"/>
      <c r="F379" s="26"/>
      <c r="G379" s="34">
        <f>SUMIFS('BASE EXEC. Q.L'!N:N,'BASE EXEC. Q.L'!B:B,VOOS!A379)</f>
        <v>0</v>
      </c>
      <c r="H379" s="15" t="str">
        <f>IFERROR(_xlfn.XLOOKUP(A379,'BASE SQL PLANTIO'!B:B,'BASE SQL PLANTIO'!T:T,"verificar",0),"")</f>
        <v/>
      </c>
      <c r="I379" s="77" t="str">
        <f>IF(_xlfn.MINIFS('BASE SQL PLANTIO'!E:E,'BASE SQL PLANTIO'!B:B,VOOS!A379)=0/1/1900,"",_xlfn.MINIFS('BASE SQL PLANTIO'!E:E,'BASE SQL PLANTIO'!B:B,VOOS!A379))</f>
        <v/>
      </c>
      <c r="J379" s="26"/>
      <c r="K379" s="34" t="str">
        <f t="shared" si="16"/>
        <v/>
      </c>
      <c r="L379" s="35" t="str">
        <f t="shared" si="17"/>
        <v/>
      </c>
      <c r="M379" s="14"/>
      <c r="N379" s="16"/>
    </row>
    <row r="380" spans="1:14" ht="15.6" x14ac:dyDescent="0.3">
      <c r="A380" s="13" t="str">
        <f t="shared" si="15"/>
        <v>-</v>
      </c>
      <c r="B380" s="27"/>
      <c r="C380" s="26"/>
      <c r="D380" s="26"/>
      <c r="E380" s="26"/>
      <c r="F380" s="26"/>
      <c r="G380" s="34">
        <f>SUMIFS('BASE EXEC. Q.L'!N:N,'BASE EXEC. Q.L'!B:B,VOOS!A380)</f>
        <v>0</v>
      </c>
      <c r="H380" s="15" t="str">
        <f>IFERROR(_xlfn.XLOOKUP(A380,'BASE SQL PLANTIO'!B:B,'BASE SQL PLANTIO'!T:T,"verificar",0),"")</f>
        <v/>
      </c>
      <c r="I380" s="77" t="str">
        <f>IF(_xlfn.MINIFS('BASE SQL PLANTIO'!E:E,'BASE SQL PLANTIO'!B:B,VOOS!A380)=0/1/1900,"",_xlfn.MINIFS('BASE SQL PLANTIO'!E:E,'BASE SQL PLANTIO'!B:B,VOOS!A380))</f>
        <v/>
      </c>
      <c r="J380" s="26"/>
      <c r="K380" s="34" t="str">
        <f t="shared" si="16"/>
        <v/>
      </c>
      <c r="L380" s="35" t="str">
        <f t="shared" si="17"/>
        <v/>
      </c>
      <c r="M380" s="14"/>
      <c r="N380" s="15"/>
    </row>
    <row r="381" spans="1:14" ht="15.6" x14ac:dyDescent="0.3">
      <c r="A381" s="13" t="str">
        <f t="shared" si="15"/>
        <v>-</v>
      </c>
      <c r="B381" s="27"/>
      <c r="C381" s="26"/>
      <c r="D381" s="26"/>
      <c r="E381" s="26"/>
      <c r="F381" s="26"/>
      <c r="G381" s="34">
        <f>SUMIFS('BASE EXEC. Q.L'!N:N,'BASE EXEC. Q.L'!B:B,VOOS!A381)</f>
        <v>0</v>
      </c>
      <c r="H381" s="15" t="str">
        <f>IFERROR(_xlfn.XLOOKUP(A381,'BASE SQL PLANTIO'!B:B,'BASE SQL PLANTIO'!T:T,"verificar",0),"")</f>
        <v/>
      </c>
      <c r="I381" s="77" t="str">
        <f>IF(_xlfn.MINIFS('BASE SQL PLANTIO'!E:E,'BASE SQL PLANTIO'!B:B,VOOS!A381)=0/1/1900,"",_xlfn.MINIFS('BASE SQL PLANTIO'!E:E,'BASE SQL PLANTIO'!B:B,VOOS!A381))</f>
        <v/>
      </c>
      <c r="J381" s="26"/>
      <c r="K381" s="34" t="str">
        <f t="shared" si="16"/>
        <v/>
      </c>
      <c r="L381" s="35" t="str">
        <f t="shared" si="17"/>
        <v/>
      </c>
      <c r="M381" s="14"/>
      <c r="N381" s="16"/>
    </row>
    <row r="382" spans="1:14" ht="15.6" x14ac:dyDescent="0.3">
      <c r="A382" s="13" t="str">
        <f t="shared" si="15"/>
        <v>-</v>
      </c>
      <c r="B382" s="27"/>
      <c r="C382" s="26"/>
      <c r="D382" s="26"/>
      <c r="E382" s="26"/>
      <c r="F382" s="26"/>
      <c r="G382" s="34">
        <f>SUMIFS('BASE EXEC. Q.L'!N:N,'BASE EXEC. Q.L'!B:B,VOOS!A382)</f>
        <v>0</v>
      </c>
      <c r="H382" s="15" t="str">
        <f>IFERROR(_xlfn.XLOOKUP(A382,'BASE SQL PLANTIO'!B:B,'BASE SQL PLANTIO'!T:T,"verificar",0),"")</f>
        <v/>
      </c>
      <c r="I382" s="77" t="str">
        <f>IF(_xlfn.MINIFS('BASE SQL PLANTIO'!E:E,'BASE SQL PLANTIO'!B:B,VOOS!A382)=0/1/1900,"",_xlfn.MINIFS('BASE SQL PLANTIO'!E:E,'BASE SQL PLANTIO'!B:B,VOOS!A382))</f>
        <v/>
      </c>
      <c r="J382" s="26"/>
      <c r="K382" s="34" t="str">
        <f t="shared" si="16"/>
        <v/>
      </c>
      <c r="L382" s="35" t="str">
        <f t="shared" si="17"/>
        <v/>
      </c>
      <c r="M382" s="14"/>
      <c r="N382" s="16"/>
    </row>
    <row r="383" spans="1:14" ht="15.6" x14ac:dyDescent="0.3">
      <c r="A383" s="13" t="str">
        <f t="shared" si="15"/>
        <v>-</v>
      </c>
      <c r="B383" s="27"/>
      <c r="C383" s="26"/>
      <c r="D383" s="26"/>
      <c r="E383" s="26"/>
      <c r="F383" s="26"/>
      <c r="G383" s="34">
        <f>SUMIFS('BASE EXEC. Q.L'!N:N,'BASE EXEC. Q.L'!B:B,VOOS!A383)</f>
        <v>0</v>
      </c>
      <c r="H383" s="15" t="str">
        <f>IFERROR(_xlfn.XLOOKUP(A383,'BASE SQL PLANTIO'!B:B,'BASE SQL PLANTIO'!T:T,"verificar",0),"")</f>
        <v/>
      </c>
      <c r="I383" s="77" t="str">
        <f>IF(_xlfn.MINIFS('BASE SQL PLANTIO'!E:E,'BASE SQL PLANTIO'!B:B,VOOS!A383)=0/1/1900,"",_xlfn.MINIFS('BASE SQL PLANTIO'!E:E,'BASE SQL PLANTIO'!B:B,VOOS!A383))</f>
        <v/>
      </c>
      <c r="J383" s="26"/>
      <c r="K383" s="34" t="str">
        <f t="shared" si="16"/>
        <v/>
      </c>
      <c r="L383" s="35" t="str">
        <f t="shared" si="17"/>
        <v/>
      </c>
      <c r="M383" s="14"/>
      <c r="N383" s="16"/>
    </row>
    <row r="384" spans="1:14" ht="15.6" x14ac:dyDescent="0.3">
      <c r="A384" s="13" t="str">
        <f t="shared" si="15"/>
        <v>-</v>
      </c>
      <c r="B384" s="27"/>
      <c r="C384" s="26"/>
      <c r="D384" s="26"/>
      <c r="E384" s="26"/>
      <c r="F384" s="26"/>
      <c r="G384" s="34">
        <f>SUMIFS('BASE EXEC. Q.L'!N:N,'BASE EXEC. Q.L'!B:B,VOOS!A384)</f>
        <v>0</v>
      </c>
      <c r="H384" s="15" t="str">
        <f>IFERROR(_xlfn.XLOOKUP(A384,'BASE SQL PLANTIO'!B:B,'BASE SQL PLANTIO'!T:T,"verificar",0),"")</f>
        <v/>
      </c>
      <c r="I384" s="77" t="str">
        <f>IF(_xlfn.MINIFS('BASE SQL PLANTIO'!E:E,'BASE SQL PLANTIO'!B:B,VOOS!A384)=0/1/1900,"",_xlfn.MINIFS('BASE SQL PLANTIO'!E:E,'BASE SQL PLANTIO'!B:B,VOOS!A384))</f>
        <v/>
      </c>
      <c r="J384" s="26"/>
      <c r="K384" s="34" t="str">
        <f t="shared" si="16"/>
        <v/>
      </c>
      <c r="L384" s="35" t="str">
        <f t="shared" si="17"/>
        <v/>
      </c>
      <c r="M384" s="14"/>
      <c r="N384" s="16"/>
    </row>
    <row r="385" spans="1:14" ht="15.6" x14ac:dyDescent="0.3">
      <c r="A385" s="13" t="str">
        <f t="shared" si="15"/>
        <v>-</v>
      </c>
      <c r="B385" s="27"/>
      <c r="C385" s="26"/>
      <c r="D385" s="26"/>
      <c r="E385" s="26"/>
      <c r="F385" s="26"/>
      <c r="G385" s="34">
        <f>SUMIFS('BASE EXEC. Q.L'!N:N,'BASE EXEC. Q.L'!B:B,VOOS!A385)</f>
        <v>0</v>
      </c>
      <c r="H385" s="15" t="str">
        <f>IFERROR(_xlfn.XLOOKUP(A385,'BASE SQL PLANTIO'!B:B,'BASE SQL PLANTIO'!T:T,"verificar",0),"")</f>
        <v/>
      </c>
      <c r="I385" s="77" t="str">
        <f>IF(_xlfn.MINIFS('BASE SQL PLANTIO'!E:E,'BASE SQL PLANTIO'!B:B,VOOS!A385)=0/1/1900,"",_xlfn.MINIFS('BASE SQL PLANTIO'!E:E,'BASE SQL PLANTIO'!B:B,VOOS!A385))</f>
        <v/>
      </c>
      <c r="J385" s="26"/>
      <c r="K385" s="34" t="str">
        <f t="shared" si="16"/>
        <v/>
      </c>
      <c r="L385" s="35" t="str">
        <f t="shared" si="17"/>
        <v/>
      </c>
      <c r="M385" s="14"/>
      <c r="N385" s="16"/>
    </row>
    <row r="386" spans="1:14" ht="15.6" x14ac:dyDescent="0.3">
      <c r="A386" s="13" t="str">
        <f t="shared" si="15"/>
        <v>-</v>
      </c>
      <c r="B386" s="27"/>
      <c r="C386" s="26"/>
      <c r="D386" s="26"/>
      <c r="E386" s="26"/>
      <c r="F386" s="26"/>
      <c r="G386" s="34">
        <f>SUMIFS('BASE EXEC. Q.L'!N:N,'BASE EXEC. Q.L'!B:B,VOOS!A386)</f>
        <v>0</v>
      </c>
      <c r="H386" s="15" t="str">
        <f>IFERROR(_xlfn.XLOOKUP(A386,'BASE SQL PLANTIO'!B:B,'BASE SQL PLANTIO'!T:T,"verificar",0),"")</f>
        <v/>
      </c>
      <c r="I386" s="77" t="str">
        <f>IF(_xlfn.MINIFS('BASE SQL PLANTIO'!E:E,'BASE SQL PLANTIO'!B:B,VOOS!A386)=0/1/1900,"",_xlfn.MINIFS('BASE SQL PLANTIO'!E:E,'BASE SQL PLANTIO'!B:B,VOOS!A386))</f>
        <v/>
      </c>
      <c r="J386" s="26"/>
      <c r="K386" s="34" t="str">
        <f t="shared" si="16"/>
        <v/>
      </c>
      <c r="L386" s="35" t="str">
        <f t="shared" si="17"/>
        <v/>
      </c>
      <c r="M386" s="14"/>
      <c r="N386" s="16"/>
    </row>
    <row r="387" spans="1:14" ht="15.6" x14ac:dyDescent="0.3">
      <c r="A387" s="13" t="str">
        <f t="shared" si="15"/>
        <v>-</v>
      </c>
      <c r="B387" s="27"/>
      <c r="C387" s="26"/>
      <c r="D387" s="26"/>
      <c r="E387" s="26"/>
      <c r="F387" s="26"/>
      <c r="G387" s="34">
        <f>SUMIFS('BASE EXEC. Q.L'!N:N,'BASE EXEC. Q.L'!B:B,VOOS!A387)</f>
        <v>0</v>
      </c>
      <c r="H387" s="15" t="str">
        <f>IFERROR(_xlfn.XLOOKUP(A387,'BASE SQL PLANTIO'!B:B,'BASE SQL PLANTIO'!T:T,"verificar",0),"")</f>
        <v/>
      </c>
      <c r="I387" s="77" t="str">
        <f>IF(_xlfn.MINIFS('BASE SQL PLANTIO'!E:E,'BASE SQL PLANTIO'!B:B,VOOS!A387)=0/1/1900,"",_xlfn.MINIFS('BASE SQL PLANTIO'!E:E,'BASE SQL PLANTIO'!B:B,VOOS!A387))</f>
        <v/>
      </c>
      <c r="J387" s="26"/>
      <c r="K387" s="34" t="str">
        <f t="shared" si="16"/>
        <v/>
      </c>
      <c r="L387" s="35" t="str">
        <f t="shared" si="17"/>
        <v/>
      </c>
      <c r="M387" s="14"/>
      <c r="N387" s="16"/>
    </row>
    <row r="388" spans="1:14" ht="15.6" x14ac:dyDescent="0.3">
      <c r="A388" s="13" t="str">
        <f t="shared" si="15"/>
        <v>-</v>
      </c>
      <c r="B388" s="27"/>
      <c r="C388" s="26"/>
      <c r="D388" s="26"/>
      <c r="E388" s="26"/>
      <c r="F388" s="26"/>
      <c r="G388" s="34">
        <f>SUMIFS('BASE EXEC. Q.L'!N:N,'BASE EXEC. Q.L'!B:B,VOOS!A388)</f>
        <v>0</v>
      </c>
      <c r="H388" s="15" t="str">
        <f>IFERROR(_xlfn.XLOOKUP(A388,'BASE SQL PLANTIO'!B:B,'BASE SQL PLANTIO'!T:T,"verificar",0),"")</f>
        <v/>
      </c>
      <c r="I388" s="77" t="str">
        <f>IF(_xlfn.MINIFS('BASE SQL PLANTIO'!E:E,'BASE SQL PLANTIO'!B:B,VOOS!A388)=0/1/1900,"",_xlfn.MINIFS('BASE SQL PLANTIO'!E:E,'BASE SQL PLANTIO'!B:B,VOOS!A388))</f>
        <v/>
      </c>
      <c r="J388" s="26"/>
      <c r="K388" s="34" t="str">
        <f t="shared" si="16"/>
        <v/>
      </c>
      <c r="L388" s="35" t="str">
        <f t="shared" si="17"/>
        <v/>
      </c>
      <c r="M388" s="14"/>
      <c r="N388" s="16"/>
    </row>
    <row r="389" spans="1:14" ht="15.6" x14ac:dyDescent="0.3">
      <c r="A389" s="13" t="str">
        <f t="shared" ref="A389:A452" si="18">CONCATENATE(B389,"-",E389)</f>
        <v>-</v>
      </c>
      <c r="B389" s="27"/>
      <c r="C389" s="22"/>
      <c r="D389" s="23"/>
      <c r="E389" s="23"/>
      <c r="F389" s="22"/>
      <c r="G389" s="34">
        <f>SUMIFS('BASE EXEC. Q.L'!N:N,'BASE EXEC. Q.L'!B:B,VOOS!A389)</f>
        <v>0</v>
      </c>
      <c r="H389" s="15" t="str">
        <f>IFERROR(_xlfn.XLOOKUP(A389,'BASE SQL PLANTIO'!B:B,'BASE SQL PLANTIO'!T:T,"verificar",0),"")</f>
        <v/>
      </c>
      <c r="I389" s="77" t="str">
        <f>IF(_xlfn.MINIFS('BASE SQL PLANTIO'!E:E,'BASE SQL PLANTIO'!B:B,VOOS!A389)=0/1/1900,"",_xlfn.MINIFS('BASE SQL PLANTIO'!E:E,'BASE SQL PLANTIO'!B:B,VOOS!A389))</f>
        <v/>
      </c>
      <c r="J389" s="22"/>
      <c r="K389" s="34" t="str">
        <f t="shared" ref="K389:K452" si="19">IF(I389="","",$K$3-I389)</f>
        <v/>
      </c>
      <c r="L389" s="35" t="str">
        <f t="shared" ref="L389:L452" si="20">K389</f>
        <v/>
      </c>
      <c r="M389" s="14"/>
      <c r="N389" s="16"/>
    </row>
    <row r="390" spans="1:14" ht="15.6" x14ac:dyDescent="0.3">
      <c r="A390" s="13" t="str">
        <f t="shared" si="18"/>
        <v>-</v>
      </c>
      <c r="B390" s="27"/>
      <c r="C390" s="26"/>
      <c r="D390" s="26"/>
      <c r="E390" s="26"/>
      <c r="F390" s="26"/>
      <c r="G390" s="34">
        <f>SUMIFS('BASE EXEC. Q.L'!N:N,'BASE EXEC. Q.L'!B:B,VOOS!A390)</f>
        <v>0</v>
      </c>
      <c r="H390" s="15" t="str">
        <f>IFERROR(_xlfn.XLOOKUP(A390,'BASE SQL PLANTIO'!B:B,'BASE SQL PLANTIO'!T:T,"verificar",0),"")</f>
        <v/>
      </c>
      <c r="I390" s="77" t="str">
        <f>IF(_xlfn.MINIFS('BASE SQL PLANTIO'!E:E,'BASE SQL PLANTIO'!B:B,VOOS!A390)=0/1/1900,"",_xlfn.MINIFS('BASE SQL PLANTIO'!E:E,'BASE SQL PLANTIO'!B:B,VOOS!A390))</f>
        <v/>
      </c>
      <c r="J390" s="26"/>
      <c r="K390" s="34" t="str">
        <f t="shared" si="19"/>
        <v/>
      </c>
      <c r="L390" s="35" t="str">
        <f t="shared" si="20"/>
        <v/>
      </c>
      <c r="M390" s="14"/>
      <c r="N390" s="16"/>
    </row>
    <row r="391" spans="1:14" ht="15.6" x14ac:dyDescent="0.3">
      <c r="A391" s="13" t="str">
        <f t="shared" si="18"/>
        <v>-</v>
      </c>
      <c r="B391" s="27"/>
      <c r="C391" s="26"/>
      <c r="D391" s="26"/>
      <c r="E391" s="26"/>
      <c r="F391" s="26"/>
      <c r="G391" s="34">
        <f>SUMIFS('BASE EXEC. Q.L'!N:N,'BASE EXEC. Q.L'!B:B,VOOS!A391)</f>
        <v>0</v>
      </c>
      <c r="H391" s="15" t="str">
        <f>IFERROR(_xlfn.XLOOKUP(A391,'BASE SQL PLANTIO'!B:B,'BASE SQL PLANTIO'!T:T,"verificar",0),"")</f>
        <v/>
      </c>
      <c r="I391" s="77" t="str">
        <f>IF(_xlfn.MINIFS('BASE SQL PLANTIO'!E:E,'BASE SQL PLANTIO'!B:B,VOOS!A391)=0/1/1900,"",_xlfn.MINIFS('BASE SQL PLANTIO'!E:E,'BASE SQL PLANTIO'!B:B,VOOS!A391))</f>
        <v/>
      </c>
      <c r="J391" s="26"/>
      <c r="K391" s="34" t="str">
        <f t="shared" si="19"/>
        <v/>
      </c>
      <c r="L391" s="35" t="str">
        <f t="shared" si="20"/>
        <v/>
      </c>
      <c r="M391" s="14"/>
      <c r="N391" s="16"/>
    </row>
    <row r="392" spans="1:14" ht="15.6" x14ac:dyDescent="0.3">
      <c r="A392" s="13" t="str">
        <f t="shared" si="18"/>
        <v>-</v>
      </c>
      <c r="B392" s="27"/>
      <c r="C392" s="26"/>
      <c r="D392" s="26"/>
      <c r="E392" s="26"/>
      <c r="F392" s="26"/>
      <c r="G392" s="34">
        <f>SUMIFS('BASE EXEC. Q.L'!N:N,'BASE EXEC. Q.L'!B:B,VOOS!A392)</f>
        <v>0</v>
      </c>
      <c r="H392" s="15" t="str">
        <f>IFERROR(_xlfn.XLOOKUP(A392,'BASE SQL PLANTIO'!B:B,'BASE SQL PLANTIO'!T:T,"verificar",0),"")</f>
        <v/>
      </c>
      <c r="I392" s="77" t="str">
        <f>IF(_xlfn.MINIFS('BASE SQL PLANTIO'!E:E,'BASE SQL PLANTIO'!B:B,VOOS!A392)=0/1/1900,"",_xlfn.MINIFS('BASE SQL PLANTIO'!E:E,'BASE SQL PLANTIO'!B:B,VOOS!A392))</f>
        <v/>
      </c>
      <c r="J392" s="26"/>
      <c r="K392" s="34" t="str">
        <f t="shared" si="19"/>
        <v/>
      </c>
      <c r="L392" s="35" t="str">
        <f t="shared" si="20"/>
        <v/>
      </c>
      <c r="M392" s="14"/>
      <c r="N392" s="15"/>
    </row>
    <row r="393" spans="1:14" ht="15.6" x14ac:dyDescent="0.3">
      <c r="A393" s="13" t="str">
        <f t="shared" si="18"/>
        <v>-</v>
      </c>
      <c r="B393" s="27"/>
      <c r="C393" s="26"/>
      <c r="D393" s="26"/>
      <c r="E393" s="26"/>
      <c r="F393" s="26"/>
      <c r="G393" s="34">
        <f>SUMIFS('BASE EXEC. Q.L'!N:N,'BASE EXEC. Q.L'!B:B,VOOS!A393)</f>
        <v>0</v>
      </c>
      <c r="H393" s="15" t="str">
        <f>IFERROR(_xlfn.XLOOKUP(A393,'BASE SQL PLANTIO'!B:B,'BASE SQL PLANTIO'!T:T,"verificar",0),"")</f>
        <v/>
      </c>
      <c r="I393" s="77" t="str">
        <f>IF(_xlfn.MINIFS('BASE SQL PLANTIO'!E:E,'BASE SQL PLANTIO'!B:B,VOOS!A393)=0/1/1900,"",_xlfn.MINIFS('BASE SQL PLANTIO'!E:E,'BASE SQL PLANTIO'!B:B,VOOS!A393))</f>
        <v/>
      </c>
      <c r="J393" s="26"/>
      <c r="K393" s="34" t="str">
        <f t="shared" si="19"/>
        <v/>
      </c>
      <c r="L393" s="35" t="str">
        <f t="shared" si="20"/>
        <v/>
      </c>
      <c r="M393" s="14"/>
      <c r="N393" s="16"/>
    </row>
    <row r="394" spans="1:14" ht="15.6" x14ac:dyDescent="0.3">
      <c r="A394" s="13" t="str">
        <f t="shared" si="18"/>
        <v>-</v>
      </c>
      <c r="B394" s="25"/>
      <c r="C394" s="25"/>
      <c r="D394" s="25"/>
      <c r="E394" s="25"/>
      <c r="F394" s="31"/>
      <c r="G394" s="34">
        <f>SUMIFS('BASE EXEC. Q.L'!N:N,'BASE EXEC. Q.L'!B:B,VOOS!A394)</f>
        <v>0</v>
      </c>
      <c r="H394" s="15" t="str">
        <f>IFERROR(_xlfn.XLOOKUP(A394,'BASE SQL PLANTIO'!B:B,'BASE SQL PLANTIO'!T:T,"verificar",0),"")</f>
        <v/>
      </c>
      <c r="I394" s="77" t="str">
        <f>IF(_xlfn.MINIFS('BASE SQL PLANTIO'!E:E,'BASE SQL PLANTIO'!B:B,VOOS!A394)=0/1/1900,"",_xlfn.MINIFS('BASE SQL PLANTIO'!E:E,'BASE SQL PLANTIO'!B:B,VOOS!A394))</f>
        <v/>
      </c>
      <c r="J394" s="26"/>
      <c r="K394" s="34" t="str">
        <f t="shared" si="19"/>
        <v/>
      </c>
      <c r="L394" s="35" t="str">
        <f t="shared" si="20"/>
        <v/>
      </c>
      <c r="M394" s="14"/>
      <c r="N394" s="16"/>
    </row>
    <row r="395" spans="1:14" ht="15.6" x14ac:dyDescent="0.3">
      <c r="A395" s="13" t="str">
        <f t="shared" si="18"/>
        <v>-</v>
      </c>
      <c r="B395" s="25"/>
      <c r="C395" s="25"/>
      <c r="D395" s="25"/>
      <c r="E395" s="25"/>
      <c r="F395" s="31"/>
      <c r="G395" s="34">
        <f>SUMIFS('BASE EXEC. Q.L'!N:N,'BASE EXEC. Q.L'!B:B,VOOS!A395)</f>
        <v>0</v>
      </c>
      <c r="H395" s="15" t="str">
        <f>IFERROR(_xlfn.XLOOKUP(A395,'BASE SQL PLANTIO'!B:B,'BASE SQL PLANTIO'!T:T,"verificar",0),"")</f>
        <v/>
      </c>
      <c r="I395" s="77" t="str">
        <f>IF(_xlfn.MINIFS('BASE SQL PLANTIO'!E:E,'BASE SQL PLANTIO'!B:B,VOOS!A395)=0/1/1900,"",_xlfn.MINIFS('BASE SQL PLANTIO'!E:E,'BASE SQL PLANTIO'!B:B,VOOS!A395))</f>
        <v/>
      </c>
      <c r="J395" s="26"/>
      <c r="K395" s="34" t="str">
        <f t="shared" si="19"/>
        <v/>
      </c>
      <c r="L395" s="35" t="str">
        <f t="shared" si="20"/>
        <v/>
      </c>
      <c r="M395" s="14"/>
      <c r="N395" s="16"/>
    </row>
    <row r="396" spans="1:14" ht="15.6" x14ac:dyDescent="0.3">
      <c r="A396" s="13" t="str">
        <f t="shared" si="18"/>
        <v>-</v>
      </c>
      <c r="B396" s="27"/>
      <c r="C396" s="26"/>
      <c r="D396" s="26"/>
      <c r="E396" s="26"/>
      <c r="F396" s="26"/>
      <c r="G396" s="34">
        <f>SUMIFS('BASE EXEC. Q.L'!N:N,'BASE EXEC. Q.L'!B:B,VOOS!A396)</f>
        <v>0</v>
      </c>
      <c r="H396" s="15" t="str">
        <f>IFERROR(_xlfn.XLOOKUP(A396,'BASE SQL PLANTIO'!B:B,'BASE SQL PLANTIO'!T:T,"verificar",0),"")</f>
        <v/>
      </c>
      <c r="I396" s="77" t="str">
        <f>IF(_xlfn.MINIFS('BASE SQL PLANTIO'!E:E,'BASE SQL PLANTIO'!B:B,VOOS!A396)=0/1/1900,"",_xlfn.MINIFS('BASE SQL PLANTIO'!E:E,'BASE SQL PLANTIO'!B:B,VOOS!A396))</f>
        <v/>
      </c>
      <c r="J396" s="26"/>
      <c r="K396" s="34" t="str">
        <f t="shared" si="19"/>
        <v/>
      </c>
      <c r="L396" s="35" t="str">
        <f t="shared" si="20"/>
        <v/>
      </c>
      <c r="M396" s="14"/>
      <c r="N396" s="16"/>
    </row>
    <row r="397" spans="1:14" ht="15.6" x14ac:dyDescent="0.3">
      <c r="A397" s="13" t="str">
        <f t="shared" si="18"/>
        <v>-</v>
      </c>
      <c r="B397" s="27"/>
      <c r="C397" s="26"/>
      <c r="D397" s="26"/>
      <c r="E397" s="26"/>
      <c r="F397" s="26"/>
      <c r="G397" s="34">
        <f>SUMIFS('BASE EXEC. Q.L'!N:N,'BASE EXEC. Q.L'!B:B,VOOS!A397)</f>
        <v>0</v>
      </c>
      <c r="H397" s="15" t="str">
        <f>IFERROR(_xlfn.XLOOKUP(A397,'BASE SQL PLANTIO'!B:B,'BASE SQL PLANTIO'!T:T,"verificar",0),"")</f>
        <v/>
      </c>
      <c r="I397" s="77" t="str">
        <f>IF(_xlfn.MINIFS('BASE SQL PLANTIO'!E:E,'BASE SQL PLANTIO'!B:B,VOOS!A397)=0/1/1900,"",_xlfn.MINIFS('BASE SQL PLANTIO'!E:E,'BASE SQL PLANTIO'!B:B,VOOS!A397))</f>
        <v/>
      </c>
      <c r="J397" s="26"/>
      <c r="K397" s="34" t="str">
        <f t="shared" si="19"/>
        <v/>
      </c>
      <c r="L397" s="35" t="str">
        <f t="shared" si="20"/>
        <v/>
      </c>
      <c r="M397" s="14"/>
      <c r="N397" s="16"/>
    </row>
    <row r="398" spans="1:14" ht="15.6" x14ac:dyDescent="0.3">
      <c r="A398" s="13" t="str">
        <f t="shared" si="18"/>
        <v>-</v>
      </c>
      <c r="B398" s="27"/>
      <c r="C398" s="26"/>
      <c r="D398" s="26"/>
      <c r="E398" s="26"/>
      <c r="F398" s="26"/>
      <c r="G398" s="34">
        <f>SUMIFS('BASE EXEC. Q.L'!N:N,'BASE EXEC. Q.L'!B:B,VOOS!A398)</f>
        <v>0</v>
      </c>
      <c r="H398" s="15" t="str">
        <f>IFERROR(_xlfn.XLOOKUP(A398,'BASE SQL PLANTIO'!B:B,'BASE SQL PLANTIO'!T:T,"verificar",0),"")</f>
        <v/>
      </c>
      <c r="I398" s="77" t="str">
        <f>IF(_xlfn.MINIFS('BASE SQL PLANTIO'!E:E,'BASE SQL PLANTIO'!B:B,VOOS!A398)=0/1/1900,"",_xlfn.MINIFS('BASE SQL PLANTIO'!E:E,'BASE SQL PLANTIO'!B:B,VOOS!A398))</f>
        <v/>
      </c>
      <c r="J398" s="26"/>
      <c r="K398" s="34" t="str">
        <f t="shared" si="19"/>
        <v/>
      </c>
      <c r="L398" s="35" t="str">
        <f t="shared" si="20"/>
        <v/>
      </c>
      <c r="M398" s="14"/>
      <c r="N398" s="16"/>
    </row>
    <row r="399" spans="1:14" ht="15.6" x14ac:dyDescent="0.3">
      <c r="A399" s="13" t="str">
        <f t="shared" si="18"/>
        <v>-</v>
      </c>
      <c r="B399" s="27"/>
      <c r="C399" s="26"/>
      <c r="D399" s="26"/>
      <c r="E399" s="26"/>
      <c r="F399" s="26"/>
      <c r="G399" s="34">
        <f>SUMIFS('BASE EXEC. Q.L'!N:N,'BASE EXEC. Q.L'!B:B,VOOS!A399)</f>
        <v>0</v>
      </c>
      <c r="H399" s="15" t="str">
        <f>IFERROR(_xlfn.XLOOKUP(A399,'BASE SQL PLANTIO'!B:B,'BASE SQL PLANTIO'!T:T,"verificar",0),"")</f>
        <v/>
      </c>
      <c r="I399" s="77" t="str">
        <f>IF(_xlfn.MINIFS('BASE SQL PLANTIO'!E:E,'BASE SQL PLANTIO'!B:B,VOOS!A399)=0/1/1900,"",_xlfn.MINIFS('BASE SQL PLANTIO'!E:E,'BASE SQL PLANTIO'!B:B,VOOS!A399))</f>
        <v/>
      </c>
      <c r="J399" s="26"/>
      <c r="K399" s="34" t="str">
        <f t="shared" si="19"/>
        <v/>
      </c>
      <c r="L399" s="35" t="str">
        <f t="shared" si="20"/>
        <v/>
      </c>
      <c r="M399" s="14"/>
      <c r="N399" s="16"/>
    </row>
    <row r="400" spans="1:14" ht="15.6" x14ac:dyDescent="0.3">
      <c r="A400" s="13" t="str">
        <f t="shared" si="18"/>
        <v>-</v>
      </c>
      <c r="B400" s="27"/>
      <c r="C400" s="26"/>
      <c r="D400" s="26"/>
      <c r="E400" s="26"/>
      <c r="F400" s="26"/>
      <c r="G400" s="34">
        <f>SUMIFS('BASE EXEC. Q.L'!N:N,'BASE EXEC. Q.L'!B:B,VOOS!A400)</f>
        <v>0</v>
      </c>
      <c r="H400" s="15" t="str">
        <f>IFERROR(_xlfn.XLOOKUP(A400,'BASE SQL PLANTIO'!B:B,'BASE SQL PLANTIO'!T:T,"verificar",0),"")</f>
        <v/>
      </c>
      <c r="I400" s="77" t="str">
        <f>IF(_xlfn.MINIFS('BASE SQL PLANTIO'!E:E,'BASE SQL PLANTIO'!B:B,VOOS!A400)=0/1/1900,"",_xlfn.MINIFS('BASE SQL PLANTIO'!E:E,'BASE SQL PLANTIO'!B:B,VOOS!A400))</f>
        <v/>
      </c>
      <c r="J400" s="26"/>
      <c r="K400" s="34" t="str">
        <f t="shared" si="19"/>
        <v/>
      </c>
      <c r="L400" s="35" t="str">
        <f t="shared" si="20"/>
        <v/>
      </c>
      <c r="M400" s="14"/>
      <c r="N400" s="16"/>
    </row>
    <row r="401" spans="1:14" ht="15.6" x14ac:dyDescent="0.3">
      <c r="A401" s="13" t="str">
        <f t="shared" si="18"/>
        <v>-</v>
      </c>
      <c r="B401" s="25"/>
      <c r="C401" s="25"/>
      <c r="D401" s="25"/>
      <c r="E401" s="25"/>
      <c r="F401" s="31"/>
      <c r="G401" s="34">
        <f>SUMIFS('BASE EXEC. Q.L'!N:N,'BASE EXEC. Q.L'!B:B,VOOS!A401)</f>
        <v>0</v>
      </c>
      <c r="H401" s="15" t="str">
        <f>IFERROR(_xlfn.XLOOKUP(A401,'BASE SQL PLANTIO'!B:B,'BASE SQL PLANTIO'!T:T,"verificar",0),"")</f>
        <v/>
      </c>
      <c r="I401" s="77" t="str">
        <f>IF(_xlfn.MINIFS('BASE SQL PLANTIO'!E:E,'BASE SQL PLANTIO'!B:B,VOOS!A401)=0/1/1900,"",_xlfn.MINIFS('BASE SQL PLANTIO'!E:E,'BASE SQL PLANTIO'!B:B,VOOS!A401))</f>
        <v/>
      </c>
      <c r="J401" s="26"/>
      <c r="K401" s="34" t="str">
        <f t="shared" si="19"/>
        <v/>
      </c>
      <c r="L401" s="35" t="str">
        <f t="shared" si="20"/>
        <v/>
      </c>
      <c r="M401" s="14"/>
      <c r="N401" s="16"/>
    </row>
    <row r="402" spans="1:14" ht="15.6" x14ac:dyDescent="0.3">
      <c r="A402" s="13" t="str">
        <f t="shared" si="18"/>
        <v>-</v>
      </c>
      <c r="B402" s="25"/>
      <c r="C402" s="25"/>
      <c r="D402" s="25"/>
      <c r="E402" s="25"/>
      <c r="F402" s="31"/>
      <c r="G402" s="34">
        <f>SUMIFS('BASE EXEC. Q.L'!N:N,'BASE EXEC. Q.L'!B:B,VOOS!A402)</f>
        <v>0</v>
      </c>
      <c r="H402" s="15" t="str">
        <f>IFERROR(_xlfn.XLOOKUP(A402,'BASE SQL PLANTIO'!B:B,'BASE SQL PLANTIO'!T:T,"verificar",0),"")</f>
        <v/>
      </c>
      <c r="I402" s="77" t="str">
        <f>IF(_xlfn.MINIFS('BASE SQL PLANTIO'!E:E,'BASE SQL PLANTIO'!B:B,VOOS!A402)=0/1/1900,"",_xlfn.MINIFS('BASE SQL PLANTIO'!E:E,'BASE SQL PLANTIO'!B:B,VOOS!A402))</f>
        <v/>
      </c>
      <c r="J402" s="26"/>
      <c r="K402" s="34" t="str">
        <f t="shared" si="19"/>
        <v/>
      </c>
      <c r="L402" s="35" t="str">
        <f t="shared" si="20"/>
        <v/>
      </c>
      <c r="M402" s="14"/>
      <c r="N402" s="16"/>
    </row>
    <row r="403" spans="1:14" ht="15.6" x14ac:dyDescent="0.3">
      <c r="A403" s="13" t="str">
        <f t="shared" si="18"/>
        <v>-</v>
      </c>
      <c r="B403" s="25"/>
      <c r="C403" s="25"/>
      <c r="D403" s="25"/>
      <c r="E403" s="25"/>
      <c r="F403" s="31"/>
      <c r="G403" s="34">
        <f>SUMIFS('BASE EXEC. Q.L'!N:N,'BASE EXEC. Q.L'!B:B,VOOS!A403)</f>
        <v>0</v>
      </c>
      <c r="H403" s="15" t="str">
        <f>IFERROR(_xlfn.XLOOKUP(A403,'BASE SQL PLANTIO'!B:B,'BASE SQL PLANTIO'!T:T,"verificar",0),"")</f>
        <v/>
      </c>
      <c r="I403" s="77" t="str">
        <f>IF(_xlfn.MINIFS('BASE SQL PLANTIO'!E:E,'BASE SQL PLANTIO'!B:B,VOOS!A403)=0/1/1900,"",_xlfn.MINIFS('BASE SQL PLANTIO'!E:E,'BASE SQL PLANTIO'!B:B,VOOS!A403))</f>
        <v/>
      </c>
      <c r="J403" s="26"/>
      <c r="K403" s="34" t="str">
        <f t="shared" si="19"/>
        <v/>
      </c>
      <c r="L403" s="35" t="str">
        <f t="shared" si="20"/>
        <v/>
      </c>
      <c r="M403" s="14"/>
      <c r="N403" s="16"/>
    </row>
    <row r="404" spans="1:14" ht="15.6" x14ac:dyDescent="0.3">
      <c r="A404" s="13" t="str">
        <f t="shared" si="18"/>
        <v>-</v>
      </c>
      <c r="B404" s="27"/>
      <c r="C404" s="26"/>
      <c r="D404" s="26"/>
      <c r="E404" s="26"/>
      <c r="F404" s="26"/>
      <c r="G404" s="34">
        <f>SUMIFS('BASE EXEC. Q.L'!N:N,'BASE EXEC. Q.L'!B:B,VOOS!A404)</f>
        <v>0</v>
      </c>
      <c r="H404" s="15" t="str">
        <f>IFERROR(_xlfn.XLOOKUP(A404,'BASE SQL PLANTIO'!B:B,'BASE SQL PLANTIO'!T:T,"verificar",0),"")</f>
        <v/>
      </c>
      <c r="I404" s="77" t="str">
        <f>IF(_xlfn.MINIFS('BASE SQL PLANTIO'!E:E,'BASE SQL PLANTIO'!B:B,VOOS!A404)=0/1/1900,"",_xlfn.MINIFS('BASE SQL PLANTIO'!E:E,'BASE SQL PLANTIO'!B:B,VOOS!A404))</f>
        <v/>
      </c>
      <c r="J404" s="26"/>
      <c r="K404" s="34" t="str">
        <f t="shared" si="19"/>
        <v/>
      </c>
      <c r="L404" s="35" t="str">
        <f t="shared" si="20"/>
        <v/>
      </c>
      <c r="M404" s="14"/>
      <c r="N404" s="15"/>
    </row>
    <row r="405" spans="1:14" ht="15.6" x14ac:dyDescent="0.3">
      <c r="A405" s="13" t="str">
        <f t="shared" si="18"/>
        <v>-</v>
      </c>
      <c r="B405" s="27"/>
      <c r="C405" s="26"/>
      <c r="D405" s="26"/>
      <c r="E405" s="26"/>
      <c r="F405" s="26"/>
      <c r="G405" s="34">
        <f>SUMIFS('BASE EXEC. Q.L'!N:N,'BASE EXEC. Q.L'!B:B,VOOS!A405)</f>
        <v>0</v>
      </c>
      <c r="H405" s="15" t="str">
        <f>IFERROR(_xlfn.XLOOKUP(A405,'BASE SQL PLANTIO'!B:B,'BASE SQL PLANTIO'!T:T,"verificar",0),"")</f>
        <v/>
      </c>
      <c r="I405" s="77" t="str">
        <f>IF(_xlfn.MINIFS('BASE SQL PLANTIO'!E:E,'BASE SQL PLANTIO'!B:B,VOOS!A405)=0/1/1900,"",_xlfn.MINIFS('BASE SQL PLANTIO'!E:E,'BASE SQL PLANTIO'!B:B,VOOS!A405))</f>
        <v/>
      </c>
      <c r="J405" s="26"/>
      <c r="K405" s="34" t="str">
        <f t="shared" si="19"/>
        <v/>
      </c>
      <c r="L405" s="35" t="str">
        <f t="shared" si="20"/>
        <v/>
      </c>
      <c r="M405" s="14"/>
      <c r="N405" s="16"/>
    </row>
    <row r="406" spans="1:14" ht="15.6" x14ac:dyDescent="0.3">
      <c r="A406" s="13" t="str">
        <f t="shared" si="18"/>
        <v>-</v>
      </c>
      <c r="B406" s="27"/>
      <c r="C406" s="26"/>
      <c r="D406" s="26"/>
      <c r="E406" s="26"/>
      <c r="F406" s="26"/>
      <c r="G406" s="34">
        <f>SUMIFS('BASE EXEC. Q.L'!N:N,'BASE EXEC. Q.L'!B:B,VOOS!A406)</f>
        <v>0</v>
      </c>
      <c r="H406" s="15" t="str">
        <f>IFERROR(_xlfn.XLOOKUP(A406,'BASE SQL PLANTIO'!B:B,'BASE SQL PLANTIO'!T:T,"verificar",0),"")</f>
        <v/>
      </c>
      <c r="I406" s="77" t="str">
        <f>IF(_xlfn.MINIFS('BASE SQL PLANTIO'!E:E,'BASE SQL PLANTIO'!B:B,VOOS!A406)=0/1/1900,"",_xlfn.MINIFS('BASE SQL PLANTIO'!E:E,'BASE SQL PLANTIO'!B:B,VOOS!A406))</f>
        <v/>
      </c>
      <c r="J406" s="26"/>
      <c r="K406" s="34" t="str">
        <f t="shared" si="19"/>
        <v/>
      </c>
      <c r="L406" s="35" t="str">
        <f t="shared" si="20"/>
        <v/>
      </c>
      <c r="M406" s="14"/>
      <c r="N406" s="16"/>
    </row>
    <row r="407" spans="1:14" ht="15.6" x14ac:dyDescent="0.3">
      <c r="A407" s="13" t="str">
        <f t="shared" si="18"/>
        <v>-</v>
      </c>
      <c r="B407" s="27"/>
      <c r="C407" s="26"/>
      <c r="D407" s="26"/>
      <c r="E407" s="26"/>
      <c r="F407" s="26"/>
      <c r="G407" s="34">
        <f>SUMIFS('BASE EXEC. Q.L'!N:N,'BASE EXEC. Q.L'!B:B,VOOS!A407)</f>
        <v>0</v>
      </c>
      <c r="H407" s="15" t="str">
        <f>IFERROR(_xlfn.XLOOKUP(A407,'BASE SQL PLANTIO'!B:B,'BASE SQL PLANTIO'!T:T,"verificar",0),"")</f>
        <v/>
      </c>
      <c r="I407" s="77" t="str">
        <f>IF(_xlfn.MINIFS('BASE SQL PLANTIO'!E:E,'BASE SQL PLANTIO'!B:B,VOOS!A407)=0/1/1900,"",_xlfn.MINIFS('BASE SQL PLANTIO'!E:E,'BASE SQL PLANTIO'!B:B,VOOS!A407))</f>
        <v/>
      </c>
      <c r="J407" s="26"/>
      <c r="K407" s="34" t="str">
        <f t="shared" si="19"/>
        <v/>
      </c>
      <c r="L407" s="35" t="str">
        <f t="shared" si="20"/>
        <v/>
      </c>
      <c r="M407" s="14"/>
      <c r="N407" s="16"/>
    </row>
    <row r="408" spans="1:14" ht="15.6" x14ac:dyDescent="0.3">
      <c r="A408" s="13" t="str">
        <f t="shared" si="18"/>
        <v>-</v>
      </c>
      <c r="B408" s="27"/>
      <c r="C408" s="26"/>
      <c r="D408" s="26"/>
      <c r="E408" s="26"/>
      <c r="F408" s="26"/>
      <c r="G408" s="34">
        <f>SUMIFS('BASE EXEC. Q.L'!N:N,'BASE EXEC. Q.L'!B:B,VOOS!A408)</f>
        <v>0</v>
      </c>
      <c r="H408" s="15" t="str">
        <f>IFERROR(_xlfn.XLOOKUP(A408,'BASE SQL PLANTIO'!B:B,'BASE SQL PLANTIO'!T:T,"verificar",0),"")</f>
        <v/>
      </c>
      <c r="I408" s="77" t="str">
        <f>IF(_xlfn.MINIFS('BASE SQL PLANTIO'!E:E,'BASE SQL PLANTIO'!B:B,VOOS!A408)=0/1/1900,"",_xlfn.MINIFS('BASE SQL PLANTIO'!E:E,'BASE SQL PLANTIO'!B:B,VOOS!A408))</f>
        <v/>
      </c>
      <c r="J408" s="26"/>
      <c r="K408" s="34" t="str">
        <f t="shared" si="19"/>
        <v/>
      </c>
      <c r="L408" s="35" t="str">
        <f t="shared" si="20"/>
        <v/>
      </c>
      <c r="M408" s="14"/>
      <c r="N408" s="16"/>
    </row>
    <row r="409" spans="1:14" ht="15.6" x14ac:dyDescent="0.3">
      <c r="A409" s="13" t="str">
        <f t="shared" si="18"/>
        <v>-</v>
      </c>
      <c r="B409" s="27"/>
      <c r="C409" s="26"/>
      <c r="D409" s="26"/>
      <c r="E409" s="26"/>
      <c r="F409" s="26"/>
      <c r="G409" s="34">
        <f>SUMIFS('BASE EXEC. Q.L'!N:N,'BASE EXEC. Q.L'!B:B,VOOS!A409)</f>
        <v>0</v>
      </c>
      <c r="H409" s="15" t="str">
        <f>IFERROR(_xlfn.XLOOKUP(A409,'BASE SQL PLANTIO'!B:B,'BASE SQL PLANTIO'!T:T,"verificar",0),"")</f>
        <v/>
      </c>
      <c r="I409" s="77" t="str">
        <f>IF(_xlfn.MINIFS('BASE SQL PLANTIO'!E:E,'BASE SQL PLANTIO'!B:B,VOOS!A409)=0/1/1900,"",_xlfn.MINIFS('BASE SQL PLANTIO'!E:E,'BASE SQL PLANTIO'!B:B,VOOS!A409))</f>
        <v/>
      </c>
      <c r="J409" s="26"/>
      <c r="K409" s="34" t="str">
        <f t="shared" si="19"/>
        <v/>
      </c>
      <c r="L409" s="35" t="str">
        <f t="shared" si="20"/>
        <v/>
      </c>
      <c r="M409" s="14"/>
      <c r="N409" s="16"/>
    </row>
    <row r="410" spans="1:14" ht="15.6" x14ac:dyDescent="0.3">
      <c r="A410" s="13" t="str">
        <f t="shared" si="18"/>
        <v>-</v>
      </c>
      <c r="B410" s="27"/>
      <c r="C410" s="26"/>
      <c r="D410" s="26"/>
      <c r="E410" s="26"/>
      <c r="F410" s="26"/>
      <c r="G410" s="34">
        <f>SUMIFS('BASE EXEC. Q.L'!N:N,'BASE EXEC. Q.L'!B:B,VOOS!A410)</f>
        <v>0</v>
      </c>
      <c r="H410" s="15" t="str">
        <f>IFERROR(_xlfn.XLOOKUP(A410,'BASE SQL PLANTIO'!B:B,'BASE SQL PLANTIO'!T:T,"verificar",0),"")</f>
        <v/>
      </c>
      <c r="I410" s="77" t="str">
        <f>IF(_xlfn.MINIFS('BASE SQL PLANTIO'!E:E,'BASE SQL PLANTIO'!B:B,VOOS!A410)=0/1/1900,"",_xlfn.MINIFS('BASE SQL PLANTIO'!E:E,'BASE SQL PLANTIO'!B:B,VOOS!A410))</f>
        <v/>
      </c>
      <c r="J410" s="26"/>
      <c r="K410" s="34" t="str">
        <f t="shared" si="19"/>
        <v/>
      </c>
      <c r="L410" s="35" t="str">
        <f t="shared" si="20"/>
        <v/>
      </c>
      <c r="M410" s="14"/>
      <c r="N410" s="16"/>
    </row>
    <row r="411" spans="1:14" ht="15.6" x14ac:dyDescent="0.3">
      <c r="A411" s="13" t="str">
        <f t="shared" si="18"/>
        <v>-</v>
      </c>
      <c r="B411" s="27"/>
      <c r="C411" s="26"/>
      <c r="D411" s="26"/>
      <c r="E411" s="26"/>
      <c r="F411" s="26"/>
      <c r="G411" s="34">
        <f>SUMIFS('BASE EXEC. Q.L'!N:N,'BASE EXEC. Q.L'!B:B,VOOS!A411)</f>
        <v>0</v>
      </c>
      <c r="H411" s="15" t="str">
        <f>IFERROR(_xlfn.XLOOKUP(A411,'BASE SQL PLANTIO'!B:B,'BASE SQL PLANTIO'!T:T,"verificar",0),"")</f>
        <v/>
      </c>
      <c r="I411" s="77" t="str">
        <f>IF(_xlfn.MINIFS('BASE SQL PLANTIO'!E:E,'BASE SQL PLANTIO'!B:B,VOOS!A411)=0/1/1900,"",_xlfn.MINIFS('BASE SQL PLANTIO'!E:E,'BASE SQL PLANTIO'!B:B,VOOS!A411))</f>
        <v/>
      </c>
      <c r="J411" s="26"/>
      <c r="K411" s="34" t="str">
        <f t="shared" si="19"/>
        <v/>
      </c>
      <c r="L411" s="35" t="str">
        <f t="shared" si="20"/>
        <v/>
      </c>
      <c r="M411" s="14"/>
      <c r="N411" s="16"/>
    </row>
    <row r="412" spans="1:14" ht="15.6" x14ac:dyDescent="0.3">
      <c r="A412" s="13" t="str">
        <f t="shared" si="18"/>
        <v>-</v>
      </c>
      <c r="B412" s="27"/>
      <c r="C412" s="26"/>
      <c r="D412" s="26"/>
      <c r="E412" s="26"/>
      <c r="F412" s="26"/>
      <c r="G412" s="34">
        <f>SUMIFS('BASE EXEC. Q.L'!N:N,'BASE EXEC. Q.L'!B:B,VOOS!A412)</f>
        <v>0</v>
      </c>
      <c r="H412" s="15" t="str">
        <f>IFERROR(_xlfn.XLOOKUP(A412,'BASE SQL PLANTIO'!B:B,'BASE SQL PLANTIO'!T:T,"verificar",0),"")</f>
        <v/>
      </c>
      <c r="I412" s="77" t="str">
        <f>IF(_xlfn.MINIFS('BASE SQL PLANTIO'!E:E,'BASE SQL PLANTIO'!B:B,VOOS!A412)=0/1/1900,"",_xlfn.MINIFS('BASE SQL PLANTIO'!E:E,'BASE SQL PLANTIO'!B:B,VOOS!A412))</f>
        <v/>
      </c>
      <c r="J412" s="26"/>
      <c r="K412" s="34" t="str">
        <f t="shared" si="19"/>
        <v/>
      </c>
      <c r="L412" s="35" t="str">
        <f t="shared" si="20"/>
        <v/>
      </c>
      <c r="M412" s="14"/>
      <c r="N412" s="16"/>
    </row>
    <row r="413" spans="1:14" ht="15.6" x14ac:dyDescent="0.3">
      <c r="A413" s="13" t="str">
        <f t="shared" si="18"/>
        <v>-</v>
      </c>
      <c r="B413" s="27"/>
      <c r="C413" s="26"/>
      <c r="D413" s="26"/>
      <c r="E413" s="26"/>
      <c r="F413" s="26"/>
      <c r="G413" s="34">
        <f>SUMIFS('BASE EXEC. Q.L'!N:N,'BASE EXEC. Q.L'!B:B,VOOS!A413)</f>
        <v>0</v>
      </c>
      <c r="H413" s="15" t="str">
        <f>IFERROR(_xlfn.XLOOKUP(A413,'BASE SQL PLANTIO'!B:B,'BASE SQL PLANTIO'!T:T,"verificar",0),"")</f>
        <v/>
      </c>
      <c r="I413" s="77" t="str">
        <f>IF(_xlfn.MINIFS('BASE SQL PLANTIO'!E:E,'BASE SQL PLANTIO'!B:B,VOOS!A413)=0/1/1900,"",_xlfn.MINIFS('BASE SQL PLANTIO'!E:E,'BASE SQL PLANTIO'!B:B,VOOS!A413))</f>
        <v/>
      </c>
      <c r="J413" s="26"/>
      <c r="K413" s="34" t="str">
        <f t="shared" si="19"/>
        <v/>
      </c>
      <c r="L413" s="35" t="str">
        <f t="shared" si="20"/>
        <v/>
      </c>
      <c r="M413" s="14"/>
      <c r="N413" s="16"/>
    </row>
    <row r="414" spans="1:14" ht="15.6" x14ac:dyDescent="0.3">
      <c r="A414" s="13" t="str">
        <f t="shared" si="18"/>
        <v>-</v>
      </c>
      <c r="B414" s="27"/>
      <c r="C414" s="22"/>
      <c r="D414" s="23"/>
      <c r="E414" s="23"/>
      <c r="F414" s="22"/>
      <c r="G414" s="34">
        <f>SUMIFS('BASE EXEC. Q.L'!N:N,'BASE EXEC. Q.L'!B:B,VOOS!A414)</f>
        <v>0</v>
      </c>
      <c r="H414" s="15" t="str">
        <f>IFERROR(_xlfn.XLOOKUP(A414,'BASE SQL PLANTIO'!B:B,'BASE SQL PLANTIO'!T:T,"verificar",0),"")</f>
        <v/>
      </c>
      <c r="I414" s="77" t="str">
        <f>IF(_xlfn.MINIFS('BASE SQL PLANTIO'!E:E,'BASE SQL PLANTIO'!B:B,VOOS!A414)=0/1/1900,"",_xlfn.MINIFS('BASE SQL PLANTIO'!E:E,'BASE SQL PLANTIO'!B:B,VOOS!A414))</f>
        <v/>
      </c>
      <c r="J414" s="22"/>
      <c r="K414" s="34" t="str">
        <f t="shared" si="19"/>
        <v/>
      </c>
      <c r="L414" s="35" t="str">
        <f t="shared" si="20"/>
        <v/>
      </c>
      <c r="M414" s="14"/>
      <c r="N414" s="16"/>
    </row>
    <row r="415" spans="1:14" ht="15.6" x14ac:dyDescent="0.3">
      <c r="A415" s="13" t="str">
        <f t="shared" si="18"/>
        <v>-</v>
      </c>
      <c r="B415" s="27"/>
      <c r="C415" s="26"/>
      <c r="D415" s="26"/>
      <c r="E415" s="26"/>
      <c r="F415" s="26"/>
      <c r="G415" s="34">
        <f>SUMIFS('BASE EXEC. Q.L'!N:N,'BASE EXEC. Q.L'!B:B,VOOS!A415)</f>
        <v>0</v>
      </c>
      <c r="H415" s="15" t="str">
        <f>IFERROR(_xlfn.XLOOKUP(A415,'BASE SQL PLANTIO'!B:B,'BASE SQL PLANTIO'!T:T,"verificar",0),"")</f>
        <v/>
      </c>
      <c r="I415" s="77" t="str">
        <f>IF(_xlfn.MINIFS('BASE SQL PLANTIO'!E:E,'BASE SQL PLANTIO'!B:B,VOOS!A415)=0/1/1900,"",_xlfn.MINIFS('BASE SQL PLANTIO'!E:E,'BASE SQL PLANTIO'!B:B,VOOS!A415))</f>
        <v/>
      </c>
      <c r="J415" s="26"/>
      <c r="K415" s="34" t="str">
        <f t="shared" si="19"/>
        <v/>
      </c>
      <c r="L415" s="35" t="str">
        <f t="shared" si="20"/>
        <v/>
      </c>
      <c r="M415" s="14"/>
      <c r="N415" s="16"/>
    </row>
    <row r="416" spans="1:14" ht="15.6" x14ac:dyDescent="0.3">
      <c r="A416" s="13" t="str">
        <f t="shared" si="18"/>
        <v>-</v>
      </c>
      <c r="B416" s="27"/>
      <c r="C416" s="26"/>
      <c r="D416" s="26"/>
      <c r="E416" s="26"/>
      <c r="F416" s="26"/>
      <c r="G416" s="34">
        <f>SUMIFS('BASE EXEC. Q.L'!N:N,'BASE EXEC. Q.L'!B:B,VOOS!A416)</f>
        <v>0</v>
      </c>
      <c r="H416" s="15" t="str">
        <f>IFERROR(_xlfn.XLOOKUP(A416,'BASE SQL PLANTIO'!B:B,'BASE SQL PLANTIO'!T:T,"verificar",0),"")</f>
        <v/>
      </c>
      <c r="I416" s="77" t="str">
        <f>IF(_xlfn.MINIFS('BASE SQL PLANTIO'!E:E,'BASE SQL PLANTIO'!B:B,VOOS!A416)=0/1/1900,"",_xlfn.MINIFS('BASE SQL PLANTIO'!E:E,'BASE SQL PLANTIO'!B:B,VOOS!A416))</f>
        <v/>
      </c>
      <c r="J416" s="26"/>
      <c r="K416" s="34" t="str">
        <f t="shared" si="19"/>
        <v/>
      </c>
      <c r="L416" s="35" t="str">
        <f t="shared" si="20"/>
        <v/>
      </c>
      <c r="M416" s="14"/>
      <c r="N416" s="15"/>
    </row>
    <row r="417" spans="1:14" ht="15.6" x14ac:dyDescent="0.3">
      <c r="A417" s="13" t="str">
        <f t="shared" si="18"/>
        <v>-</v>
      </c>
      <c r="B417" s="25"/>
      <c r="C417" s="25"/>
      <c r="D417" s="25"/>
      <c r="E417" s="25"/>
      <c r="F417" s="31"/>
      <c r="G417" s="34">
        <f>SUMIFS('BASE EXEC. Q.L'!N:N,'BASE EXEC. Q.L'!B:B,VOOS!A417)</f>
        <v>0</v>
      </c>
      <c r="H417" s="15" t="str">
        <f>IFERROR(_xlfn.XLOOKUP(A417,'BASE SQL PLANTIO'!B:B,'BASE SQL PLANTIO'!T:T,"verificar",0),"")</f>
        <v/>
      </c>
      <c r="I417" s="77" t="str">
        <f>IF(_xlfn.MINIFS('BASE SQL PLANTIO'!E:E,'BASE SQL PLANTIO'!B:B,VOOS!A417)=0/1/1900,"",_xlfn.MINIFS('BASE SQL PLANTIO'!E:E,'BASE SQL PLANTIO'!B:B,VOOS!A417))</f>
        <v/>
      </c>
      <c r="J417" s="26"/>
      <c r="K417" s="34" t="str">
        <f t="shared" si="19"/>
        <v/>
      </c>
      <c r="L417" s="35" t="str">
        <f t="shared" si="20"/>
        <v/>
      </c>
      <c r="M417" s="14"/>
      <c r="N417" s="16"/>
    </row>
    <row r="418" spans="1:14" ht="15.6" x14ac:dyDescent="0.3">
      <c r="A418" s="13" t="str">
        <f t="shared" si="18"/>
        <v>-</v>
      </c>
      <c r="B418" s="25"/>
      <c r="C418" s="25"/>
      <c r="D418" s="25"/>
      <c r="E418" s="25"/>
      <c r="F418" s="31"/>
      <c r="G418" s="34">
        <f>SUMIFS('BASE EXEC. Q.L'!N:N,'BASE EXEC. Q.L'!B:B,VOOS!A418)</f>
        <v>0</v>
      </c>
      <c r="H418" s="15" t="str">
        <f>IFERROR(_xlfn.XLOOKUP(A418,'BASE SQL PLANTIO'!B:B,'BASE SQL PLANTIO'!T:T,"verificar",0),"")</f>
        <v/>
      </c>
      <c r="I418" s="77" t="str">
        <f>IF(_xlfn.MINIFS('BASE SQL PLANTIO'!E:E,'BASE SQL PLANTIO'!B:B,VOOS!A418)=0/1/1900,"",_xlfn.MINIFS('BASE SQL PLANTIO'!E:E,'BASE SQL PLANTIO'!B:B,VOOS!A418))</f>
        <v/>
      </c>
      <c r="J418" s="26"/>
      <c r="K418" s="34" t="str">
        <f t="shared" si="19"/>
        <v/>
      </c>
      <c r="L418" s="35" t="str">
        <f t="shared" si="20"/>
        <v/>
      </c>
      <c r="M418" s="14"/>
      <c r="N418" s="16"/>
    </row>
    <row r="419" spans="1:14" ht="15.6" x14ac:dyDescent="0.3">
      <c r="A419" s="13" t="str">
        <f t="shared" si="18"/>
        <v>-</v>
      </c>
      <c r="B419" s="27"/>
      <c r="C419" s="26"/>
      <c r="D419" s="26"/>
      <c r="E419" s="26"/>
      <c r="F419" s="26"/>
      <c r="G419" s="34">
        <f>SUMIFS('BASE EXEC. Q.L'!N:N,'BASE EXEC. Q.L'!B:B,VOOS!A419)</f>
        <v>0</v>
      </c>
      <c r="H419" s="15" t="str">
        <f>IFERROR(_xlfn.XLOOKUP(A419,'BASE SQL PLANTIO'!B:B,'BASE SQL PLANTIO'!T:T,"verificar",0),"")</f>
        <v/>
      </c>
      <c r="I419" s="77" t="str">
        <f>IF(_xlfn.MINIFS('BASE SQL PLANTIO'!E:E,'BASE SQL PLANTIO'!B:B,VOOS!A419)=0/1/1900,"",_xlfn.MINIFS('BASE SQL PLANTIO'!E:E,'BASE SQL PLANTIO'!B:B,VOOS!A419))</f>
        <v/>
      </c>
      <c r="J419" s="26"/>
      <c r="K419" s="34" t="str">
        <f t="shared" si="19"/>
        <v/>
      </c>
      <c r="L419" s="35" t="str">
        <f t="shared" si="20"/>
        <v/>
      </c>
      <c r="M419" s="14"/>
      <c r="N419" s="16"/>
    </row>
    <row r="420" spans="1:14" ht="15.6" x14ac:dyDescent="0.3">
      <c r="A420" s="13" t="str">
        <f t="shared" si="18"/>
        <v>-</v>
      </c>
      <c r="B420" s="27"/>
      <c r="C420" s="26"/>
      <c r="D420" s="26"/>
      <c r="E420" s="26"/>
      <c r="F420" s="26"/>
      <c r="G420" s="34">
        <f>SUMIFS('BASE EXEC. Q.L'!N:N,'BASE EXEC. Q.L'!B:B,VOOS!A420)</f>
        <v>0</v>
      </c>
      <c r="H420" s="15" t="str">
        <f>IFERROR(_xlfn.XLOOKUP(A420,'BASE SQL PLANTIO'!B:B,'BASE SQL PLANTIO'!T:T,"verificar",0),"")</f>
        <v/>
      </c>
      <c r="I420" s="77" t="str">
        <f>IF(_xlfn.MINIFS('BASE SQL PLANTIO'!E:E,'BASE SQL PLANTIO'!B:B,VOOS!A420)=0/1/1900,"",_xlfn.MINIFS('BASE SQL PLANTIO'!E:E,'BASE SQL PLANTIO'!B:B,VOOS!A420))</f>
        <v/>
      </c>
      <c r="J420" s="26"/>
      <c r="K420" s="34" t="str">
        <f t="shared" si="19"/>
        <v/>
      </c>
      <c r="L420" s="35" t="str">
        <f t="shared" si="20"/>
        <v/>
      </c>
      <c r="M420" s="14"/>
      <c r="N420" s="16"/>
    </row>
    <row r="421" spans="1:14" ht="15.6" x14ac:dyDescent="0.3">
      <c r="A421" s="13" t="str">
        <f t="shared" si="18"/>
        <v>-</v>
      </c>
      <c r="B421" s="27"/>
      <c r="C421" s="26"/>
      <c r="D421" s="26"/>
      <c r="E421" s="26"/>
      <c r="F421" s="26"/>
      <c r="G421" s="34">
        <f>SUMIFS('BASE EXEC. Q.L'!N:N,'BASE EXEC. Q.L'!B:B,VOOS!A421)</f>
        <v>0</v>
      </c>
      <c r="H421" s="15" t="str">
        <f>IFERROR(_xlfn.XLOOKUP(A421,'BASE SQL PLANTIO'!B:B,'BASE SQL PLANTIO'!T:T,"verificar",0),"")</f>
        <v/>
      </c>
      <c r="I421" s="77" t="str">
        <f>IF(_xlfn.MINIFS('BASE SQL PLANTIO'!E:E,'BASE SQL PLANTIO'!B:B,VOOS!A421)=0/1/1900,"",_xlfn.MINIFS('BASE SQL PLANTIO'!E:E,'BASE SQL PLANTIO'!B:B,VOOS!A421))</f>
        <v/>
      </c>
      <c r="J421" s="26"/>
      <c r="K421" s="34" t="str">
        <f t="shared" si="19"/>
        <v/>
      </c>
      <c r="L421" s="35" t="str">
        <f t="shared" si="20"/>
        <v/>
      </c>
      <c r="M421" s="14"/>
      <c r="N421" s="16"/>
    </row>
    <row r="422" spans="1:14" ht="15.6" x14ac:dyDescent="0.3">
      <c r="A422" s="13" t="str">
        <f t="shared" si="18"/>
        <v>-</v>
      </c>
      <c r="B422" s="27"/>
      <c r="C422" s="26"/>
      <c r="D422" s="26"/>
      <c r="E422" s="26"/>
      <c r="F422" s="26"/>
      <c r="G422" s="34">
        <f>SUMIFS('BASE EXEC. Q.L'!N:N,'BASE EXEC. Q.L'!B:B,VOOS!A422)</f>
        <v>0</v>
      </c>
      <c r="H422" s="15" t="str">
        <f>IFERROR(_xlfn.XLOOKUP(A422,'BASE SQL PLANTIO'!B:B,'BASE SQL PLANTIO'!T:T,"verificar",0),"")</f>
        <v/>
      </c>
      <c r="I422" s="77" t="str">
        <f>IF(_xlfn.MINIFS('BASE SQL PLANTIO'!E:E,'BASE SQL PLANTIO'!B:B,VOOS!A422)=0/1/1900,"",_xlfn.MINIFS('BASE SQL PLANTIO'!E:E,'BASE SQL PLANTIO'!B:B,VOOS!A422))</f>
        <v/>
      </c>
      <c r="J422" s="26"/>
      <c r="K422" s="34" t="str">
        <f t="shared" si="19"/>
        <v/>
      </c>
      <c r="L422" s="35" t="str">
        <f t="shared" si="20"/>
        <v/>
      </c>
      <c r="M422" s="14"/>
      <c r="N422" s="16"/>
    </row>
    <row r="423" spans="1:14" ht="15.6" x14ac:dyDescent="0.3">
      <c r="A423" s="13" t="str">
        <f t="shared" si="18"/>
        <v>-</v>
      </c>
      <c r="B423" s="25"/>
      <c r="C423" s="25"/>
      <c r="D423" s="25"/>
      <c r="E423" s="25"/>
      <c r="F423" s="31"/>
      <c r="G423" s="34">
        <f>SUMIFS('BASE EXEC. Q.L'!N:N,'BASE EXEC. Q.L'!B:B,VOOS!A423)</f>
        <v>0</v>
      </c>
      <c r="H423" s="15" t="str">
        <f>IFERROR(_xlfn.XLOOKUP(A423,'BASE SQL PLANTIO'!B:B,'BASE SQL PLANTIO'!T:T,"verificar",0),"")</f>
        <v/>
      </c>
      <c r="I423" s="77" t="str">
        <f>IF(_xlfn.MINIFS('BASE SQL PLANTIO'!E:E,'BASE SQL PLANTIO'!B:B,VOOS!A423)=0/1/1900,"",_xlfn.MINIFS('BASE SQL PLANTIO'!E:E,'BASE SQL PLANTIO'!B:B,VOOS!A423))</f>
        <v/>
      </c>
      <c r="J423" s="26"/>
      <c r="K423" s="34" t="str">
        <f t="shared" si="19"/>
        <v/>
      </c>
      <c r="L423" s="35" t="str">
        <f t="shared" si="20"/>
        <v/>
      </c>
      <c r="M423" s="14"/>
      <c r="N423" s="16"/>
    </row>
    <row r="424" spans="1:14" ht="15.6" x14ac:dyDescent="0.3">
      <c r="A424" s="13" t="str">
        <f t="shared" si="18"/>
        <v>-</v>
      </c>
      <c r="B424" s="25"/>
      <c r="C424" s="25"/>
      <c r="D424" s="25"/>
      <c r="E424" s="25"/>
      <c r="F424" s="31"/>
      <c r="G424" s="34">
        <f>SUMIFS('BASE EXEC. Q.L'!N:N,'BASE EXEC. Q.L'!B:B,VOOS!A424)</f>
        <v>0</v>
      </c>
      <c r="H424" s="15" t="str">
        <f>IFERROR(_xlfn.XLOOKUP(A424,'BASE SQL PLANTIO'!B:B,'BASE SQL PLANTIO'!T:T,"verificar",0),"")</f>
        <v/>
      </c>
      <c r="I424" s="77" t="str">
        <f>IF(_xlfn.MINIFS('BASE SQL PLANTIO'!E:E,'BASE SQL PLANTIO'!B:B,VOOS!A424)=0/1/1900,"",_xlfn.MINIFS('BASE SQL PLANTIO'!E:E,'BASE SQL PLANTIO'!B:B,VOOS!A424))</f>
        <v/>
      </c>
      <c r="J424" s="26"/>
      <c r="K424" s="34" t="str">
        <f t="shared" si="19"/>
        <v/>
      </c>
      <c r="L424" s="35" t="str">
        <f t="shared" si="20"/>
        <v/>
      </c>
      <c r="M424" s="14"/>
      <c r="N424" s="16"/>
    </row>
    <row r="425" spans="1:14" ht="15.6" x14ac:dyDescent="0.3">
      <c r="A425" s="13" t="str">
        <f t="shared" si="18"/>
        <v>-</v>
      </c>
      <c r="B425" s="25"/>
      <c r="C425" s="25"/>
      <c r="D425" s="25"/>
      <c r="E425" s="25"/>
      <c r="F425" s="31"/>
      <c r="G425" s="34">
        <f>SUMIFS('BASE EXEC. Q.L'!N:N,'BASE EXEC. Q.L'!B:B,VOOS!A425)</f>
        <v>0</v>
      </c>
      <c r="H425" s="15" t="str">
        <f>IFERROR(_xlfn.XLOOKUP(A425,'BASE SQL PLANTIO'!B:B,'BASE SQL PLANTIO'!T:T,"verificar",0),"")</f>
        <v/>
      </c>
      <c r="I425" s="77" t="str">
        <f>IF(_xlfn.MINIFS('BASE SQL PLANTIO'!E:E,'BASE SQL PLANTIO'!B:B,VOOS!A425)=0/1/1900,"",_xlfn.MINIFS('BASE SQL PLANTIO'!E:E,'BASE SQL PLANTIO'!B:B,VOOS!A425))</f>
        <v/>
      </c>
      <c r="J425" s="26"/>
      <c r="K425" s="34" t="str">
        <f t="shared" si="19"/>
        <v/>
      </c>
      <c r="L425" s="35" t="str">
        <f t="shared" si="20"/>
        <v/>
      </c>
      <c r="M425" s="14"/>
      <c r="N425" s="16"/>
    </row>
    <row r="426" spans="1:14" ht="15.6" x14ac:dyDescent="0.3">
      <c r="A426" s="13" t="str">
        <f t="shared" si="18"/>
        <v>-</v>
      </c>
      <c r="B426" s="27"/>
      <c r="C426" s="26"/>
      <c r="D426" s="26"/>
      <c r="E426" s="26"/>
      <c r="F426" s="26"/>
      <c r="G426" s="34">
        <f>SUMIFS('BASE EXEC. Q.L'!N:N,'BASE EXEC. Q.L'!B:B,VOOS!A426)</f>
        <v>0</v>
      </c>
      <c r="H426" s="15" t="str">
        <f>IFERROR(_xlfn.XLOOKUP(A426,'BASE SQL PLANTIO'!B:B,'BASE SQL PLANTIO'!T:T,"verificar",0),"")</f>
        <v/>
      </c>
      <c r="I426" s="77" t="str">
        <f>IF(_xlfn.MINIFS('BASE SQL PLANTIO'!E:E,'BASE SQL PLANTIO'!B:B,VOOS!A426)=0/1/1900,"",_xlfn.MINIFS('BASE SQL PLANTIO'!E:E,'BASE SQL PLANTIO'!B:B,VOOS!A426))</f>
        <v/>
      </c>
      <c r="J426" s="26"/>
      <c r="K426" s="34" t="str">
        <f t="shared" si="19"/>
        <v/>
      </c>
      <c r="L426" s="35" t="str">
        <f t="shared" si="20"/>
        <v/>
      </c>
      <c r="M426" s="14"/>
      <c r="N426" s="16"/>
    </row>
    <row r="427" spans="1:14" ht="15.6" x14ac:dyDescent="0.3">
      <c r="A427" s="13" t="str">
        <f t="shared" si="18"/>
        <v>-</v>
      </c>
      <c r="B427" s="27"/>
      <c r="C427" s="26"/>
      <c r="D427" s="26"/>
      <c r="E427" s="26"/>
      <c r="F427" s="26"/>
      <c r="G427" s="34">
        <f>SUMIFS('BASE EXEC. Q.L'!N:N,'BASE EXEC. Q.L'!B:B,VOOS!A427)</f>
        <v>0</v>
      </c>
      <c r="H427" s="15" t="str">
        <f>IFERROR(_xlfn.XLOOKUP(A427,'BASE SQL PLANTIO'!B:B,'BASE SQL PLANTIO'!T:T,"verificar",0),"")</f>
        <v/>
      </c>
      <c r="I427" s="77" t="str">
        <f>IF(_xlfn.MINIFS('BASE SQL PLANTIO'!E:E,'BASE SQL PLANTIO'!B:B,VOOS!A427)=0/1/1900,"",_xlfn.MINIFS('BASE SQL PLANTIO'!E:E,'BASE SQL PLANTIO'!B:B,VOOS!A427))</f>
        <v/>
      </c>
      <c r="J427" s="26"/>
      <c r="K427" s="34" t="str">
        <f t="shared" si="19"/>
        <v/>
      </c>
      <c r="L427" s="35" t="str">
        <f t="shared" si="20"/>
        <v/>
      </c>
      <c r="M427" s="14"/>
      <c r="N427" s="16"/>
    </row>
    <row r="428" spans="1:14" ht="15.6" x14ac:dyDescent="0.3">
      <c r="A428" s="13" t="str">
        <f t="shared" si="18"/>
        <v>-</v>
      </c>
      <c r="B428" s="27"/>
      <c r="C428" s="26"/>
      <c r="D428" s="26"/>
      <c r="E428" s="26"/>
      <c r="F428" s="26"/>
      <c r="G428" s="34">
        <f>SUMIFS('BASE EXEC. Q.L'!N:N,'BASE EXEC. Q.L'!B:B,VOOS!A428)</f>
        <v>0</v>
      </c>
      <c r="H428" s="15" t="str">
        <f>IFERROR(_xlfn.XLOOKUP(A428,'BASE SQL PLANTIO'!B:B,'BASE SQL PLANTIO'!T:T,"verificar",0),"")</f>
        <v/>
      </c>
      <c r="I428" s="77" t="str">
        <f>IF(_xlfn.MINIFS('BASE SQL PLANTIO'!E:E,'BASE SQL PLANTIO'!B:B,VOOS!A428)=0/1/1900,"",_xlfn.MINIFS('BASE SQL PLANTIO'!E:E,'BASE SQL PLANTIO'!B:B,VOOS!A428))</f>
        <v/>
      </c>
      <c r="J428" s="26"/>
      <c r="K428" s="34" t="str">
        <f t="shared" si="19"/>
        <v/>
      </c>
      <c r="L428" s="35" t="str">
        <f t="shared" si="20"/>
        <v/>
      </c>
      <c r="M428" s="14"/>
      <c r="N428" s="15"/>
    </row>
    <row r="429" spans="1:14" ht="15.6" x14ac:dyDescent="0.3">
      <c r="A429" s="13" t="str">
        <f t="shared" si="18"/>
        <v>-</v>
      </c>
      <c r="B429" s="27"/>
      <c r="C429" s="26"/>
      <c r="D429" s="26"/>
      <c r="E429" s="26"/>
      <c r="F429" s="26"/>
      <c r="G429" s="34">
        <f>SUMIFS('BASE EXEC. Q.L'!N:N,'BASE EXEC. Q.L'!B:B,VOOS!A429)</f>
        <v>0</v>
      </c>
      <c r="H429" s="15" t="str">
        <f>IFERROR(_xlfn.XLOOKUP(A429,'BASE SQL PLANTIO'!B:B,'BASE SQL PLANTIO'!T:T,"verificar",0),"")</f>
        <v/>
      </c>
      <c r="I429" s="77" t="str">
        <f>IF(_xlfn.MINIFS('BASE SQL PLANTIO'!E:E,'BASE SQL PLANTIO'!B:B,VOOS!A429)=0/1/1900,"",_xlfn.MINIFS('BASE SQL PLANTIO'!E:E,'BASE SQL PLANTIO'!B:B,VOOS!A429))</f>
        <v/>
      </c>
      <c r="J429" s="26"/>
      <c r="K429" s="34" t="str">
        <f t="shared" si="19"/>
        <v/>
      </c>
      <c r="L429" s="35" t="str">
        <f t="shared" si="20"/>
        <v/>
      </c>
      <c r="M429" s="14"/>
      <c r="N429" s="16"/>
    </row>
    <row r="430" spans="1:14" ht="15.6" x14ac:dyDescent="0.3">
      <c r="A430" s="13" t="str">
        <f t="shared" si="18"/>
        <v>-</v>
      </c>
      <c r="B430" s="27"/>
      <c r="C430" s="26"/>
      <c r="D430" s="26"/>
      <c r="E430" s="26"/>
      <c r="F430" s="26"/>
      <c r="G430" s="34">
        <f>SUMIFS('BASE EXEC. Q.L'!N:N,'BASE EXEC. Q.L'!B:B,VOOS!A430)</f>
        <v>0</v>
      </c>
      <c r="H430" s="15" t="str">
        <f>IFERROR(_xlfn.XLOOKUP(A430,'BASE SQL PLANTIO'!B:B,'BASE SQL PLANTIO'!T:T,"verificar",0),"")</f>
        <v/>
      </c>
      <c r="I430" s="77" t="str">
        <f>IF(_xlfn.MINIFS('BASE SQL PLANTIO'!E:E,'BASE SQL PLANTIO'!B:B,VOOS!A430)=0/1/1900,"",_xlfn.MINIFS('BASE SQL PLANTIO'!E:E,'BASE SQL PLANTIO'!B:B,VOOS!A430))</f>
        <v/>
      </c>
      <c r="J430" s="26"/>
      <c r="K430" s="34" t="str">
        <f t="shared" si="19"/>
        <v/>
      </c>
      <c r="L430" s="35" t="str">
        <f t="shared" si="20"/>
        <v/>
      </c>
      <c r="M430" s="14"/>
      <c r="N430" s="16"/>
    </row>
    <row r="431" spans="1:14" ht="15.6" x14ac:dyDescent="0.3">
      <c r="A431" s="13" t="str">
        <f t="shared" si="18"/>
        <v>-</v>
      </c>
      <c r="B431" s="27"/>
      <c r="C431" s="26"/>
      <c r="D431" s="26"/>
      <c r="E431" s="26"/>
      <c r="F431" s="26"/>
      <c r="G431" s="34">
        <f>SUMIFS('BASE EXEC. Q.L'!N:N,'BASE EXEC. Q.L'!B:B,VOOS!A431)</f>
        <v>0</v>
      </c>
      <c r="H431" s="15" t="str">
        <f>IFERROR(_xlfn.XLOOKUP(A431,'BASE SQL PLANTIO'!B:B,'BASE SQL PLANTIO'!T:T,"verificar",0),"")</f>
        <v/>
      </c>
      <c r="I431" s="77" t="str">
        <f>IF(_xlfn.MINIFS('BASE SQL PLANTIO'!E:E,'BASE SQL PLANTIO'!B:B,VOOS!A431)=0/1/1900,"",_xlfn.MINIFS('BASE SQL PLANTIO'!E:E,'BASE SQL PLANTIO'!B:B,VOOS!A431))</f>
        <v/>
      </c>
      <c r="J431" s="26"/>
      <c r="K431" s="34" t="str">
        <f t="shared" si="19"/>
        <v/>
      </c>
      <c r="L431" s="35" t="str">
        <f t="shared" si="20"/>
        <v/>
      </c>
      <c r="M431" s="14"/>
      <c r="N431" s="16"/>
    </row>
    <row r="432" spans="1:14" ht="15.6" x14ac:dyDescent="0.3">
      <c r="A432" s="13" t="str">
        <f t="shared" si="18"/>
        <v>-</v>
      </c>
      <c r="B432" s="27"/>
      <c r="C432" s="26"/>
      <c r="D432" s="26"/>
      <c r="E432" s="26"/>
      <c r="F432" s="26"/>
      <c r="G432" s="34">
        <f>SUMIFS('BASE EXEC. Q.L'!N:N,'BASE EXEC. Q.L'!B:B,VOOS!A432)</f>
        <v>0</v>
      </c>
      <c r="H432" s="15" t="str">
        <f>IFERROR(_xlfn.XLOOKUP(A432,'BASE SQL PLANTIO'!B:B,'BASE SQL PLANTIO'!T:T,"verificar",0),"")</f>
        <v/>
      </c>
      <c r="I432" s="77" t="str">
        <f>IF(_xlfn.MINIFS('BASE SQL PLANTIO'!E:E,'BASE SQL PLANTIO'!B:B,VOOS!A432)=0/1/1900,"",_xlfn.MINIFS('BASE SQL PLANTIO'!E:E,'BASE SQL PLANTIO'!B:B,VOOS!A432))</f>
        <v/>
      </c>
      <c r="J432" s="26"/>
      <c r="K432" s="34" t="str">
        <f t="shared" si="19"/>
        <v/>
      </c>
      <c r="L432" s="35" t="str">
        <f t="shared" si="20"/>
        <v/>
      </c>
      <c r="M432" s="14"/>
      <c r="N432" s="16"/>
    </row>
    <row r="433" spans="1:14" ht="15.6" x14ac:dyDescent="0.3">
      <c r="A433" s="13" t="str">
        <f t="shared" si="18"/>
        <v>-</v>
      </c>
      <c r="B433" s="27"/>
      <c r="C433" s="26"/>
      <c r="D433" s="26"/>
      <c r="E433" s="26"/>
      <c r="F433" s="26"/>
      <c r="G433" s="34">
        <f>SUMIFS('BASE EXEC. Q.L'!N:N,'BASE EXEC. Q.L'!B:B,VOOS!A433)</f>
        <v>0</v>
      </c>
      <c r="H433" s="15" t="str">
        <f>IFERROR(_xlfn.XLOOKUP(A433,'BASE SQL PLANTIO'!B:B,'BASE SQL PLANTIO'!T:T,"verificar",0),"")</f>
        <v/>
      </c>
      <c r="I433" s="77" t="str">
        <f>IF(_xlfn.MINIFS('BASE SQL PLANTIO'!E:E,'BASE SQL PLANTIO'!B:B,VOOS!A433)=0/1/1900,"",_xlfn.MINIFS('BASE SQL PLANTIO'!E:E,'BASE SQL PLANTIO'!B:B,VOOS!A433))</f>
        <v/>
      </c>
      <c r="J433" s="26"/>
      <c r="K433" s="34" t="str">
        <f t="shared" si="19"/>
        <v/>
      </c>
      <c r="L433" s="35" t="str">
        <f t="shared" si="20"/>
        <v/>
      </c>
      <c r="M433" s="14"/>
      <c r="N433" s="16"/>
    </row>
    <row r="434" spans="1:14" ht="15.6" x14ac:dyDescent="0.3">
      <c r="A434" s="13" t="str">
        <f t="shared" si="18"/>
        <v>-</v>
      </c>
      <c r="B434" s="27"/>
      <c r="C434" s="26"/>
      <c r="D434" s="26"/>
      <c r="E434" s="26"/>
      <c r="F434" s="26"/>
      <c r="G434" s="34">
        <f>SUMIFS('BASE EXEC. Q.L'!N:N,'BASE EXEC. Q.L'!B:B,VOOS!A434)</f>
        <v>0</v>
      </c>
      <c r="H434" s="15" t="str">
        <f>IFERROR(_xlfn.XLOOKUP(A434,'BASE SQL PLANTIO'!B:B,'BASE SQL PLANTIO'!T:T,"verificar",0),"")</f>
        <v/>
      </c>
      <c r="I434" s="77" t="str">
        <f>IF(_xlfn.MINIFS('BASE SQL PLANTIO'!E:E,'BASE SQL PLANTIO'!B:B,VOOS!A434)=0/1/1900,"",_xlfn.MINIFS('BASE SQL PLANTIO'!E:E,'BASE SQL PLANTIO'!B:B,VOOS!A434))</f>
        <v/>
      </c>
      <c r="J434" s="26"/>
      <c r="K434" s="34" t="str">
        <f t="shared" si="19"/>
        <v/>
      </c>
      <c r="L434" s="35" t="str">
        <f t="shared" si="20"/>
        <v/>
      </c>
      <c r="M434" s="14"/>
      <c r="N434" s="16"/>
    </row>
    <row r="435" spans="1:14" ht="15.6" x14ac:dyDescent="0.3">
      <c r="A435" s="13" t="str">
        <f t="shared" si="18"/>
        <v>-</v>
      </c>
      <c r="B435" s="27"/>
      <c r="C435" s="26"/>
      <c r="D435" s="26"/>
      <c r="E435" s="26"/>
      <c r="F435" s="26"/>
      <c r="G435" s="34">
        <f>SUMIFS('BASE EXEC. Q.L'!N:N,'BASE EXEC. Q.L'!B:B,VOOS!A435)</f>
        <v>0</v>
      </c>
      <c r="H435" s="15" t="str">
        <f>IFERROR(_xlfn.XLOOKUP(A435,'BASE SQL PLANTIO'!B:B,'BASE SQL PLANTIO'!T:T,"verificar",0),"")</f>
        <v/>
      </c>
      <c r="I435" s="77" t="str">
        <f>IF(_xlfn.MINIFS('BASE SQL PLANTIO'!E:E,'BASE SQL PLANTIO'!B:B,VOOS!A435)=0/1/1900,"",_xlfn.MINIFS('BASE SQL PLANTIO'!E:E,'BASE SQL PLANTIO'!B:B,VOOS!A435))</f>
        <v/>
      </c>
      <c r="J435" s="26"/>
      <c r="K435" s="34" t="str">
        <f t="shared" si="19"/>
        <v/>
      </c>
      <c r="L435" s="35" t="str">
        <f t="shared" si="20"/>
        <v/>
      </c>
      <c r="M435" s="14"/>
      <c r="N435" s="16"/>
    </row>
    <row r="436" spans="1:14" ht="15.6" x14ac:dyDescent="0.3">
      <c r="A436" s="13" t="str">
        <f t="shared" si="18"/>
        <v>-</v>
      </c>
      <c r="B436" s="27"/>
      <c r="C436" s="26"/>
      <c r="D436" s="26"/>
      <c r="E436" s="26"/>
      <c r="F436" s="26"/>
      <c r="G436" s="34">
        <f>SUMIFS('BASE EXEC. Q.L'!N:N,'BASE EXEC. Q.L'!B:B,VOOS!A436)</f>
        <v>0</v>
      </c>
      <c r="H436" s="15" t="str">
        <f>IFERROR(_xlfn.XLOOKUP(A436,'BASE SQL PLANTIO'!B:B,'BASE SQL PLANTIO'!T:T,"verificar",0),"")</f>
        <v/>
      </c>
      <c r="I436" s="77" t="str">
        <f>IF(_xlfn.MINIFS('BASE SQL PLANTIO'!E:E,'BASE SQL PLANTIO'!B:B,VOOS!A436)=0/1/1900,"",_xlfn.MINIFS('BASE SQL PLANTIO'!E:E,'BASE SQL PLANTIO'!B:B,VOOS!A436))</f>
        <v/>
      </c>
      <c r="J436" s="26"/>
      <c r="K436" s="34" t="str">
        <f t="shared" si="19"/>
        <v/>
      </c>
      <c r="L436" s="35" t="str">
        <f t="shared" si="20"/>
        <v/>
      </c>
      <c r="M436" s="14"/>
      <c r="N436" s="16"/>
    </row>
    <row r="437" spans="1:14" ht="15.6" x14ac:dyDescent="0.3">
      <c r="A437" s="13" t="str">
        <f t="shared" si="18"/>
        <v>-</v>
      </c>
      <c r="B437" s="27"/>
      <c r="C437" s="26"/>
      <c r="D437" s="26"/>
      <c r="E437" s="26"/>
      <c r="F437" s="26"/>
      <c r="G437" s="34">
        <f>SUMIFS('BASE EXEC. Q.L'!N:N,'BASE EXEC. Q.L'!B:B,VOOS!A437)</f>
        <v>0</v>
      </c>
      <c r="H437" s="15" t="str">
        <f>IFERROR(_xlfn.XLOOKUP(A437,'BASE SQL PLANTIO'!B:B,'BASE SQL PLANTIO'!T:T,"verificar",0),"")</f>
        <v/>
      </c>
      <c r="I437" s="77" t="str">
        <f>IF(_xlfn.MINIFS('BASE SQL PLANTIO'!E:E,'BASE SQL PLANTIO'!B:B,VOOS!A437)=0/1/1900,"",_xlfn.MINIFS('BASE SQL PLANTIO'!E:E,'BASE SQL PLANTIO'!B:B,VOOS!A437))</f>
        <v/>
      </c>
      <c r="J437" s="26"/>
      <c r="K437" s="34" t="str">
        <f t="shared" si="19"/>
        <v/>
      </c>
      <c r="L437" s="35" t="str">
        <f t="shared" si="20"/>
        <v/>
      </c>
      <c r="M437" s="14"/>
      <c r="N437" s="16"/>
    </row>
    <row r="438" spans="1:14" ht="15.6" x14ac:dyDescent="0.3">
      <c r="A438" s="13" t="str">
        <f t="shared" si="18"/>
        <v>-</v>
      </c>
      <c r="B438" s="27"/>
      <c r="C438" s="26"/>
      <c r="D438" s="26"/>
      <c r="E438" s="26"/>
      <c r="F438" s="26"/>
      <c r="G438" s="34">
        <f>SUMIFS('BASE EXEC. Q.L'!N:N,'BASE EXEC. Q.L'!B:B,VOOS!A438)</f>
        <v>0</v>
      </c>
      <c r="H438" s="15" t="str">
        <f>IFERROR(_xlfn.XLOOKUP(A438,'BASE SQL PLANTIO'!B:B,'BASE SQL PLANTIO'!T:T,"verificar",0),"")</f>
        <v/>
      </c>
      <c r="I438" s="77" t="str">
        <f>IF(_xlfn.MINIFS('BASE SQL PLANTIO'!E:E,'BASE SQL PLANTIO'!B:B,VOOS!A438)=0/1/1900,"",_xlfn.MINIFS('BASE SQL PLANTIO'!E:E,'BASE SQL PLANTIO'!B:B,VOOS!A438))</f>
        <v/>
      </c>
      <c r="J438" s="26"/>
      <c r="K438" s="34" t="str">
        <f t="shared" si="19"/>
        <v/>
      </c>
      <c r="L438" s="35" t="str">
        <f t="shared" si="20"/>
        <v/>
      </c>
      <c r="M438" s="14"/>
      <c r="N438" s="16"/>
    </row>
    <row r="439" spans="1:14" ht="15.6" x14ac:dyDescent="0.3">
      <c r="A439" s="13" t="str">
        <f t="shared" si="18"/>
        <v>-</v>
      </c>
      <c r="B439" s="27"/>
      <c r="C439" s="22"/>
      <c r="D439" s="23"/>
      <c r="E439" s="23"/>
      <c r="F439" s="22"/>
      <c r="G439" s="34">
        <f>SUMIFS('BASE EXEC. Q.L'!N:N,'BASE EXEC. Q.L'!B:B,VOOS!A439)</f>
        <v>0</v>
      </c>
      <c r="H439" s="15" t="str">
        <f>IFERROR(_xlfn.XLOOKUP(A439,'BASE SQL PLANTIO'!B:B,'BASE SQL PLANTIO'!T:T,"verificar",0),"")</f>
        <v/>
      </c>
      <c r="I439" s="77" t="str">
        <f>IF(_xlfn.MINIFS('BASE SQL PLANTIO'!E:E,'BASE SQL PLANTIO'!B:B,VOOS!A439)=0/1/1900,"",_xlfn.MINIFS('BASE SQL PLANTIO'!E:E,'BASE SQL PLANTIO'!B:B,VOOS!A439))</f>
        <v/>
      </c>
      <c r="J439" s="22"/>
      <c r="K439" s="34" t="str">
        <f t="shared" si="19"/>
        <v/>
      </c>
      <c r="L439" s="35" t="str">
        <f t="shared" si="20"/>
        <v/>
      </c>
      <c r="M439" s="14"/>
      <c r="N439" s="16"/>
    </row>
    <row r="440" spans="1:14" ht="15.6" x14ac:dyDescent="0.3">
      <c r="A440" s="13" t="str">
        <f t="shared" si="18"/>
        <v>-</v>
      </c>
      <c r="B440" s="25"/>
      <c r="C440" s="25"/>
      <c r="D440" s="25"/>
      <c r="E440" s="25"/>
      <c r="F440" s="31"/>
      <c r="G440" s="34">
        <f>SUMIFS('BASE EXEC. Q.L'!N:N,'BASE EXEC. Q.L'!B:B,VOOS!A440)</f>
        <v>0</v>
      </c>
      <c r="H440" s="15" t="str">
        <f>IFERROR(_xlfn.XLOOKUP(A440,'BASE SQL PLANTIO'!B:B,'BASE SQL PLANTIO'!T:T,"verificar",0),"")</f>
        <v/>
      </c>
      <c r="I440" s="77" t="str">
        <f>IF(_xlfn.MINIFS('BASE SQL PLANTIO'!E:E,'BASE SQL PLANTIO'!B:B,VOOS!A440)=0/1/1900,"",_xlfn.MINIFS('BASE SQL PLANTIO'!E:E,'BASE SQL PLANTIO'!B:B,VOOS!A440))</f>
        <v/>
      </c>
      <c r="J440" s="26"/>
      <c r="K440" s="34" t="str">
        <f t="shared" si="19"/>
        <v/>
      </c>
      <c r="L440" s="35" t="str">
        <f t="shared" si="20"/>
        <v/>
      </c>
      <c r="M440" s="14"/>
      <c r="N440" s="15"/>
    </row>
    <row r="441" spans="1:14" ht="15.6" x14ac:dyDescent="0.3">
      <c r="A441" s="13" t="str">
        <f t="shared" si="18"/>
        <v>-</v>
      </c>
      <c r="B441" s="25"/>
      <c r="C441" s="25"/>
      <c r="D441" s="25"/>
      <c r="E441" s="25"/>
      <c r="F441" s="31"/>
      <c r="G441" s="34">
        <f>SUMIFS('BASE EXEC. Q.L'!N:N,'BASE EXEC. Q.L'!B:B,VOOS!A441)</f>
        <v>0</v>
      </c>
      <c r="H441" s="15" t="str">
        <f>IFERROR(_xlfn.XLOOKUP(A441,'BASE SQL PLANTIO'!B:B,'BASE SQL PLANTIO'!T:T,"verificar",0),"")</f>
        <v/>
      </c>
      <c r="I441" s="77" t="str">
        <f>IF(_xlfn.MINIFS('BASE SQL PLANTIO'!E:E,'BASE SQL PLANTIO'!B:B,VOOS!A441)=0/1/1900,"",_xlfn.MINIFS('BASE SQL PLANTIO'!E:E,'BASE SQL PLANTIO'!B:B,VOOS!A441))</f>
        <v/>
      </c>
      <c r="J441" s="26"/>
      <c r="K441" s="34" t="str">
        <f t="shared" si="19"/>
        <v/>
      </c>
      <c r="L441" s="35" t="str">
        <f t="shared" si="20"/>
        <v/>
      </c>
      <c r="M441" s="14"/>
      <c r="N441" s="16"/>
    </row>
    <row r="442" spans="1:14" ht="15.6" x14ac:dyDescent="0.3">
      <c r="A442" s="13" t="str">
        <f t="shared" si="18"/>
        <v>-</v>
      </c>
      <c r="B442" s="27"/>
      <c r="C442" s="26"/>
      <c r="D442" s="26"/>
      <c r="E442" s="26"/>
      <c r="F442" s="26"/>
      <c r="G442" s="34">
        <f>SUMIFS('BASE EXEC. Q.L'!N:N,'BASE EXEC. Q.L'!B:B,VOOS!A442)</f>
        <v>0</v>
      </c>
      <c r="H442" s="15" t="str">
        <f>IFERROR(_xlfn.XLOOKUP(A442,'BASE SQL PLANTIO'!B:B,'BASE SQL PLANTIO'!T:T,"verificar",0),"")</f>
        <v/>
      </c>
      <c r="I442" s="77" t="str">
        <f>IF(_xlfn.MINIFS('BASE SQL PLANTIO'!E:E,'BASE SQL PLANTIO'!B:B,VOOS!A442)=0/1/1900,"",_xlfn.MINIFS('BASE SQL PLANTIO'!E:E,'BASE SQL PLANTIO'!B:B,VOOS!A442))</f>
        <v/>
      </c>
      <c r="J442" s="26"/>
      <c r="K442" s="34" t="str">
        <f t="shared" si="19"/>
        <v/>
      </c>
      <c r="L442" s="35" t="str">
        <f t="shared" si="20"/>
        <v/>
      </c>
      <c r="M442" s="14"/>
      <c r="N442" s="16"/>
    </row>
    <row r="443" spans="1:14" ht="15.6" x14ac:dyDescent="0.3">
      <c r="A443" s="13" t="str">
        <f t="shared" si="18"/>
        <v>-</v>
      </c>
      <c r="B443" s="27"/>
      <c r="C443" s="26"/>
      <c r="D443" s="26"/>
      <c r="E443" s="26"/>
      <c r="F443" s="26"/>
      <c r="G443" s="34">
        <f>SUMIFS('BASE EXEC. Q.L'!N:N,'BASE EXEC. Q.L'!B:B,VOOS!A443)</f>
        <v>0</v>
      </c>
      <c r="H443" s="15" t="str">
        <f>IFERROR(_xlfn.XLOOKUP(A443,'BASE SQL PLANTIO'!B:B,'BASE SQL PLANTIO'!T:T,"verificar",0),"")</f>
        <v/>
      </c>
      <c r="I443" s="77" t="str">
        <f>IF(_xlfn.MINIFS('BASE SQL PLANTIO'!E:E,'BASE SQL PLANTIO'!B:B,VOOS!A443)=0/1/1900,"",_xlfn.MINIFS('BASE SQL PLANTIO'!E:E,'BASE SQL PLANTIO'!B:B,VOOS!A443))</f>
        <v/>
      </c>
      <c r="J443" s="26"/>
      <c r="K443" s="34" t="str">
        <f t="shared" si="19"/>
        <v/>
      </c>
      <c r="L443" s="35" t="str">
        <f t="shared" si="20"/>
        <v/>
      </c>
      <c r="M443" s="14"/>
      <c r="N443" s="16"/>
    </row>
    <row r="444" spans="1:14" ht="15.6" x14ac:dyDescent="0.3">
      <c r="A444" s="13" t="str">
        <f t="shared" si="18"/>
        <v>-</v>
      </c>
      <c r="B444" s="27"/>
      <c r="C444" s="26"/>
      <c r="D444" s="26"/>
      <c r="E444" s="26"/>
      <c r="F444" s="26"/>
      <c r="G444" s="34">
        <f>SUMIFS('BASE EXEC. Q.L'!N:N,'BASE EXEC. Q.L'!B:B,VOOS!A444)</f>
        <v>0</v>
      </c>
      <c r="H444" s="15" t="str">
        <f>IFERROR(_xlfn.XLOOKUP(A444,'BASE SQL PLANTIO'!B:B,'BASE SQL PLANTIO'!T:T,"verificar",0),"")</f>
        <v/>
      </c>
      <c r="I444" s="77" t="str">
        <f>IF(_xlfn.MINIFS('BASE SQL PLANTIO'!E:E,'BASE SQL PLANTIO'!B:B,VOOS!A444)=0/1/1900,"",_xlfn.MINIFS('BASE SQL PLANTIO'!E:E,'BASE SQL PLANTIO'!B:B,VOOS!A444))</f>
        <v/>
      </c>
      <c r="J444" s="26"/>
      <c r="K444" s="34" t="str">
        <f t="shared" si="19"/>
        <v/>
      </c>
      <c r="L444" s="35" t="str">
        <f t="shared" si="20"/>
        <v/>
      </c>
      <c r="M444" s="14"/>
      <c r="N444" s="16"/>
    </row>
    <row r="445" spans="1:14" ht="15.6" x14ac:dyDescent="0.3">
      <c r="A445" s="13" t="str">
        <f t="shared" si="18"/>
        <v>-</v>
      </c>
      <c r="B445" s="27"/>
      <c r="C445" s="26"/>
      <c r="D445" s="26"/>
      <c r="E445" s="26"/>
      <c r="F445" s="26"/>
      <c r="G445" s="34">
        <f>SUMIFS('BASE EXEC. Q.L'!N:N,'BASE EXEC. Q.L'!B:B,VOOS!A445)</f>
        <v>0</v>
      </c>
      <c r="H445" s="15" t="str">
        <f>IFERROR(_xlfn.XLOOKUP(A445,'BASE SQL PLANTIO'!B:B,'BASE SQL PLANTIO'!T:T,"verificar",0),"")</f>
        <v/>
      </c>
      <c r="I445" s="77" t="str">
        <f>IF(_xlfn.MINIFS('BASE SQL PLANTIO'!E:E,'BASE SQL PLANTIO'!B:B,VOOS!A445)=0/1/1900,"",_xlfn.MINIFS('BASE SQL PLANTIO'!E:E,'BASE SQL PLANTIO'!B:B,VOOS!A445))</f>
        <v/>
      </c>
      <c r="J445" s="26"/>
      <c r="K445" s="34" t="str">
        <f t="shared" si="19"/>
        <v/>
      </c>
      <c r="L445" s="35" t="str">
        <f t="shared" si="20"/>
        <v/>
      </c>
      <c r="M445" s="14"/>
      <c r="N445" s="16"/>
    </row>
    <row r="446" spans="1:14" ht="15.6" x14ac:dyDescent="0.3">
      <c r="A446" s="13" t="str">
        <f t="shared" si="18"/>
        <v>-</v>
      </c>
      <c r="B446" s="27"/>
      <c r="C446" s="26"/>
      <c r="D446" s="26"/>
      <c r="E446" s="26"/>
      <c r="F446" s="26"/>
      <c r="G446" s="34">
        <f>SUMIFS('BASE EXEC. Q.L'!N:N,'BASE EXEC. Q.L'!B:B,VOOS!A446)</f>
        <v>0</v>
      </c>
      <c r="H446" s="15" t="str">
        <f>IFERROR(_xlfn.XLOOKUP(A446,'BASE SQL PLANTIO'!B:B,'BASE SQL PLANTIO'!T:T,"verificar",0),"")</f>
        <v/>
      </c>
      <c r="I446" s="77" t="str">
        <f>IF(_xlfn.MINIFS('BASE SQL PLANTIO'!E:E,'BASE SQL PLANTIO'!B:B,VOOS!A446)=0/1/1900,"",_xlfn.MINIFS('BASE SQL PLANTIO'!E:E,'BASE SQL PLANTIO'!B:B,VOOS!A446))</f>
        <v/>
      </c>
      <c r="J446" s="26"/>
      <c r="K446" s="34" t="str">
        <f t="shared" si="19"/>
        <v/>
      </c>
      <c r="L446" s="35" t="str">
        <f t="shared" si="20"/>
        <v/>
      </c>
      <c r="M446" s="14"/>
      <c r="N446" s="16"/>
    </row>
    <row r="447" spans="1:14" ht="15.6" x14ac:dyDescent="0.3">
      <c r="A447" s="13" t="str">
        <f t="shared" si="18"/>
        <v>-</v>
      </c>
      <c r="B447" s="25"/>
      <c r="C447" s="25"/>
      <c r="D447" s="25"/>
      <c r="E447" s="25"/>
      <c r="F447" s="31"/>
      <c r="G447" s="34">
        <f>SUMIFS('BASE EXEC. Q.L'!N:N,'BASE EXEC. Q.L'!B:B,VOOS!A447)</f>
        <v>0</v>
      </c>
      <c r="H447" s="15" t="str">
        <f>IFERROR(_xlfn.XLOOKUP(A447,'BASE SQL PLANTIO'!B:B,'BASE SQL PLANTIO'!T:T,"verificar",0),"")</f>
        <v/>
      </c>
      <c r="I447" s="77" t="str">
        <f>IF(_xlfn.MINIFS('BASE SQL PLANTIO'!E:E,'BASE SQL PLANTIO'!B:B,VOOS!A447)=0/1/1900,"",_xlfn.MINIFS('BASE SQL PLANTIO'!E:E,'BASE SQL PLANTIO'!B:B,VOOS!A447))</f>
        <v/>
      </c>
      <c r="J447" s="26"/>
      <c r="K447" s="34" t="str">
        <f t="shared" si="19"/>
        <v/>
      </c>
      <c r="L447" s="35" t="str">
        <f t="shared" si="20"/>
        <v/>
      </c>
      <c r="M447" s="14"/>
      <c r="N447" s="16"/>
    </row>
    <row r="448" spans="1:14" ht="15.6" x14ac:dyDescent="0.3">
      <c r="A448" s="13" t="str">
        <f t="shared" si="18"/>
        <v>-</v>
      </c>
      <c r="B448" s="25"/>
      <c r="C448" s="25"/>
      <c r="D448" s="25"/>
      <c r="E448" s="25"/>
      <c r="F448" s="31"/>
      <c r="G448" s="34">
        <f>SUMIFS('BASE EXEC. Q.L'!N:N,'BASE EXEC. Q.L'!B:B,VOOS!A448)</f>
        <v>0</v>
      </c>
      <c r="H448" s="15" t="str">
        <f>IFERROR(_xlfn.XLOOKUP(A448,'BASE SQL PLANTIO'!B:B,'BASE SQL PLANTIO'!T:T,"verificar",0),"")</f>
        <v/>
      </c>
      <c r="I448" s="77" t="str">
        <f>IF(_xlfn.MINIFS('BASE SQL PLANTIO'!E:E,'BASE SQL PLANTIO'!B:B,VOOS!A448)=0/1/1900,"",_xlfn.MINIFS('BASE SQL PLANTIO'!E:E,'BASE SQL PLANTIO'!B:B,VOOS!A448))</f>
        <v/>
      </c>
      <c r="J448" s="26"/>
      <c r="K448" s="34" t="str">
        <f t="shared" si="19"/>
        <v/>
      </c>
      <c r="L448" s="35" t="str">
        <f t="shared" si="20"/>
        <v/>
      </c>
      <c r="M448" s="14"/>
      <c r="N448" s="16"/>
    </row>
    <row r="449" spans="1:14" ht="15.6" x14ac:dyDescent="0.3">
      <c r="A449" s="13" t="str">
        <f t="shared" si="18"/>
        <v>-</v>
      </c>
      <c r="B449" s="25"/>
      <c r="C449" s="25"/>
      <c r="D449" s="25"/>
      <c r="E449" s="25"/>
      <c r="F449" s="31"/>
      <c r="G449" s="34">
        <f>SUMIFS('BASE EXEC. Q.L'!N:N,'BASE EXEC. Q.L'!B:B,VOOS!A449)</f>
        <v>0</v>
      </c>
      <c r="H449" s="15" t="str">
        <f>IFERROR(_xlfn.XLOOKUP(A449,'BASE SQL PLANTIO'!B:B,'BASE SQL PLANTIO'!T:T,"verificar",0),"")</f>
        <v/>
      </c>
      <c r="I449" s="77" t="str">
        <f>IF(_xlfn.MINIFS('BASE SQL PLANTIO'!E:E,'BASE SQL PLANTIO'!B:B,VOOS!A449)=0/1/1900,"",_xlfn.MINIFS('BASE SQL PLANTIO'!E:E,'BASE SQL PLANTIO'!B:B,VOOS!A449))</f>
        <v/>
      </c>
      <c r="J449" s="26"/>
      <c r="K449" s="34" t="str">
        <f t="shared" si="19"/>
        <v/>
      </c>
      <c r="L449" s="35" t="str">
        <f t="shared" si="20"/>
        <v/>
      </c>
      <c r="M449" s="14"/>
      <c r="N449" s="16"/>
    </row>
    <row r="450" spans="1:14" ht="15.6" x14ac:dyDescent="0.3">
      <c r="A450" s="13" t="str">
        <f t="shared" si="18"/>
        <v>-</v>
      </c>
      <c r="B450" s="27"/>
      <c r="C450" s="26"/>
      <c r="D450" s="26"/>
      <c r="E450" s="26"/>
      <c r="F450" s="26"/>
      <c r="G450" s="34">
        <f>SUMIFS('BASE EXEC. Q.L'!N:N,'BASE EXEC. Q.L'!B:B,VOOS!A450)</f>
        <v>0</v>
      </c>
      <c r="H450" s="15" t="str">
        <f>IFERROR(_xlfn.XLOOKUP(A450,'BASE SQL PLANTIO'!B:B,'BASE SQL PLANTIO'!T:T,"verificar",0),"")</f>
        <v/>
      </c>
      <c r="I450" s="77" t="str">
        <f>IF(_xlfn.MINIFS('BASE SQL PLANTIO'!E:E,'BASE SQL PLANTIO'!B:B,VOOS!A450)=0/1/1900,"",_xlfn.MINIFS('BASE SQL PLANTIO'!E:E,'BASE SQL PLANTIO'!B:B,VOOS!A450))</f>
        <v/>
      </c>
      <c r="J450" s="26"/>
      <c r="K450" s="34" t="str">
        <f t="shared" si="19"/>
        <v/>
      </c>
      <c r="L450" s="35" t="str">
        <f t="shared" si="20"/>
        <v/>
      </c>
      <c r="M450" s="14"/>
      <c r="N450" s="16"/>
    </row>
    <row r="451" spans="1:14" ht="15.6" x14ac:dyDescent="0.3">
      <c r="A451" s="13" t="str">
        <f t="shared" si="18"/>
        <v>-</v>
      </c>
      <c r="B451" s="27"/>
      <c r="C451" s="26"/>
      <c r="D451" s="26"/>
      <c r="E451" s="26"/>
      <c r="F451" s="26"/>
      <c r="G451" s="34">
        <f>SUMIFS('BASE EXEC. Q.L'!N:N,'BASE EXEC. Q.L'!B:B,VOOS!A451)</f>
        <v>0</v>
      </c>
      <c r="H451" s="15" t="str">
        <f>IFERROR(_xlfn.XLOOKUP(A451,'BASE SQL PLANTIO'!B:B,'BASE SQL PLANTIO'!T:T,"verificar",0),"")</f>
        <v/>
      </c>
      <c r="I451" s="77" t="str">
        <f>IF(_xlfn.MINIFS('BASE SQL PLANTIO'!E:E,'BASE SQL PLANTIO'!B:B,VOOS!A451)=0/1/1900,"",_xlfn.MINIFS('BASE SQL PLANTIO'!E:E,'BASE SQL PLANTIO'!B:B,VOOS!A451))</f>
        <v/>
      </c>
      <c r="J451" s="26"/>
      <c r="K451" s="34" t="str">
        <f t="shared" si="19"/>
        <v/>
      </c>
      <c r="L451" s="35" t="str">
        <f t="shared" si="20"/>
        <v/>
      </c>
      <c r="M451" s="14"/>
      <c r="N451" s="16"/>
    </row>
    <row r="452" spans="1:14" ht="15.6" x14ac:dyDescent="0.3">
      <c r="A452" s="13" t="str">
        <f t="shared" si="18"/>
        <v>-</v>
      </c>
      <c r="B452" s="27"/>
      <c r="C452" s="26"/>
      <c r="D452" s="26"/>
      <c r="E452" s="26"/>
      <c r="F452" s="26"/>
      <c r="G452" s="34">
        <f>SUMIFS('BASE EXEC. Q.L'!N:N,'BASE EXEC. Q.L'!B:B,VOOS!A452)</f>
        <v>0</v>
      </c>
      <c r="H452" s="15" t="str">
        <f>IFERROR(_xlfn.XLOOKUP(A452,'BASE SQL PLANTIO'!B:B,'BASE SQL PLANTIO'!T:T,"verificar",0),"")</f>
        <v/>
      </c>
      <c r="I452" s="77" t="str">
        <f>IF(_xlfn.MINIFS('BASE SQL PLANTIO'!E:E,'BASE SQL PLANTIO'!B:B,VOOS!A452)=0/1/1900,"",_xlfn.MINIFS('BASE SQL PLANTIO'!E:E,'BASE SQL PLANTIO'!B:B,VOOS!A452))</f>
        <v/>
      </c>
      <c r="J452" s="26"/>
      <c r="K452" s="34" t="str">
        <f t="shared" si="19"/>
        <v/>
      </c>
      <c r="L452" s="35" t="str">
        <f t="shared" si="20"/>
        <v/>
      </c>
      <c r="M452" s="14"/>
      <c r="N452" s="15"/>
    </row>
    <row r="453" spans="1:14" ht="15.6" x14ac:dyDescent="0.3">
      <c r="A453" s="13" t="str">
        <f t="shared" ref="A453:A516" si="21">CONCATENATE(B453,"-",E453)</f>
        <v>-</v>
      </c>
      <c r="B453" s="27"/>
      <c r="C453" s="26"/>
      <c r="D453" s="26"/>
      <c r="E453" s="26"/>
      <c r="F453" s="26"/>
      <c r="G453" s="34">
        <f>SUMIFS('BASE EXEC. Q.L'!N:N,'BASE EXEC. Q.L'!B:B,VOOS!A453)</f>
        <v>0</v>
      </c>
      <c r="H453" s="15" t="str">
        <f>IFERROR(_xlfn.XLOOKUP(A453,'BASE SQL PLANTIO'!B:B,'BASE SQL PLANTIO'!T:T,"verificar",0),"")</f>
        <v/>
      </c>
      <c r="I453" s="77" t="str">
        <f>IF(_xlfn.MINIFS('BASE SQL PLANTIO'!E:E,'BASE SQL PLANTIO'!B:B,VOOS!A453)=0/1/1900,"",_xlfn.MINIFS('BASE SQL PLANTIO'!E:E,'BASE SQL PLANTIO'!B:B,VOOS!A453))</f>
        <v/>
      </c>
      <c r="J453" s="26"/>
      <c r="K453" s="34" t="str">
        <f t="shared" ref="K453:K516" si="22">IF(I453="","",$K$3-I453)</f>
        <v/>
      </c>
      <c r="L453" s="35" t="str">
        <f t="shared" ref="L453:L516" si="23">K453</f>
        <v/>
      </c>
      <c r="M453" s="14"/>
      <c r="N453" s="16"/>
    </row>
    <row r="454" spans="1:14" ht="15.6" x14ac:dyDescent="0.3">
      <c r="A454" s="13" t="str">
        <f t="shared" si="21"/>
        <v>-</v>
      </c>
      <c r="B454" s="27"/>
      <c r="C454" s="26"/>
      <c r="D454" s="26"/>
      <c r="E454" s="26"/>
      <c r="F454" s="26"/>
      <c r="G454" s="34">
        <f>SUMIFS('BASE EXEC. Q.L'!N:N,'BASE EXEC. Q.L'!B:B,VOOS!A454)</f>
        <v>0</v>
      </c>
      <c r="H454" s="15" t="str">
        <f>IFERROR(_xlfn.XLOOKUP(A454,'BASE SQL PLANTIO'!B:B,'BASE SQL PLANTIO'!T:T,"verificar",0),"")</f>
        <v/>
      </c>
      <c r="I454" s="77" t="str">
        <f>IF(_xlfn.MINIFS('BASE SQL PLANTIO'!E:E,'BASE SQL PLANTIO'!B:B,VOOS!A454)=0/1/1900,"",_xlfn.MINIFS('BASE SQL PLANTIO'!E:E,'BASE SQL PLANTIO'!B:B,VOOS!A454))</f>
        <v/>
      </c>
      <c r="J454" s="26"/>
      <c r="K454" s="34" t="str">
        <f t="shared" si="22"/>
        <v/>
      </c>
      <c r="L454" s="35" t="str">
        <f t="shared" si="23"/>
        <v/>
      </c>
      <c r="M454" s="14"/>
      <c r="N454" s="16"/>
    </row>
    <row r="455" spans="1:14" ht="15.6" x14ac:dyDescent="0.3">
      <c r="A455" s="13" t="str">
        <f t="shared" si="21"/>
        <v>-</v>
      </c>
      <c r="B455" s="27"/>
      <c r="C455" s="26"/>
      <c r="D455" s="26"/>
      <c r="E455" s="26"/>
      <c r="F455" s="26"/>
      <c r="G455" s="34">
        <f>SUMIFS('BASE EXEC. Q.L'!N:N,'BASE EXEC. Q.L'!B:B,VOOS!A455)</f>
        <v>0</v>
      </c>
      <c r="H455" s="15" t="str">
        <f>IFERROR(_xlfn.XLOOKUP(A455,'BASE SQL PLANTIO'!B:B,'BASE SQL PLANTIO'!T:T,"verificar",0),"")</f>
        <v/>
      </c>
      <c r="I455" s="77" t="str">
        <f>IF(_xlfn.MINIFS('BASE SQL PLANTIO'!E:E,'BASE SQL PLANTIO'!B:B,VOOS!A455)=0/1/1900,"",_xlfn.MINIFS('BASE SQL PLANTIO'!E:E,'BASE SQL PLANTIO'!B:B,VOOS!A455))</f>
        <v/>
      </c>
      <c r="J455" s="26"/>
      <c r="K455" s="34" t="str">
        <f t="shared" si="22"/>
        <v/>
      </c>
      <c r="L455" s="35" t="str">
        <f t="shared" si="23"/>
        <v/>
      </c>
      <c r="M455" s="14"/>
      <c r="N455" s="16"/>
    </row>
    <row r="456" spans="1:14" ht="15.6" x14ac:dyDescent="0.3">
      <c r="A456" s="13" t="str">
        <f t="shared" si="21"/>
        <v>-</v>
      </c>
      <c r="B456" s="27"/>
      <c r="C456" s="26"/>
      <c r="D456" s="26"/>
      <c r="E456" s="26"/>
      <c r="F456" s="26"/>
      <c r="G456" s="34">
        <f>SUMIFS('BASE EXEC. Q.L'!N:N,'BASE EXEC. Q.L'!B:B,VOOS!A456)</f>
        <v>0</v>
      </c>
      <c r="H456" s="15" t="str">
        <f>IFERROR(_xlfn.XLOOKUP(A456,'BASE SQL PLANTIO'!B:B,'BASE SQL PLANTIO'!T:T,"verificar",0),"")</f>
        <v/>
      </c>
      <c r="I456" s="77" t="str">
        <f>IF(_xlfn.MINIFS('BASE SQL PLANTIO'!E:E,'BASE SQL PLANTIO'!B:B,VOOS!A456)=0/1/1900,"",_xlfn.MINIFS('BASE SQL PLANTIO'!E:E,'BASE SQL PLANTIO'!B:B,VOOS!A456))</f>
        <v/>
      </c>
      <c r="J456" s="26"/>
      <c r="K456" s="34" t="str">
        <f t="shared" si="22"/>
        <v/>
      </c>
      <c r="L456" s="35" t="str">
        <f t="shared" si="23"/>
        <v/>
      </c>
      <c r="M456" s="14"/>
      <c r="N456" s="16"/>
    </row>
    <row r="457" spans="1:14" ht="15.6" x14ac:dyDescent="0.3">
      <c r="A457" s="13" t="str">
        <f t="shared" si="21"/>
        <v>-</v>
      </c>
      <c r="B457" s="27"/>
      <c r="C457" s="26"/>
      <c r="D457" s="26"/>
      <c r="E457" s="26"/>
      <c r="F457" s="26"/>
      <c r="G457" s="34">
        <f>SUMIFS('BASE EXEC. Q.L'!N:N,'BASE EXEC. Q.L'!B:B,VOOS!A457)</f>
        <v>0</v>
      </c>
      <c r="H457" s="15" t="str">
        <f>IFERROR(_xlfn.XLOOKUP(A457,'BASE SQL PLANTIO'!B:B,'BASE SQL PLANTIO'!T:T,"verificar",0),"")</f>
        <v/>
      </c>
      <c r="I457" s="77" t="str">
        <f>IF(_xlfn.MINIFS('BASE SQL PLANTIO'!E:E,'BASE SQL PLANTIO'!B:B,VOOS!A457)=0/1/1900,"",_xlfn.MINIFS('BASE SQL PLANTIO'!E:E,'BASE SQL PLANTIO'!B:B,VOOS!A457))</f>
        <v/>
      </c>
      <c r="J457" s="26"/>
      <c r="K457" s="34" t="str">
        <f t="shared" si="22"/>
        <v/>
      </c>
      <c r="L457" s="35" t="str">
        <f t="shared" si="23"/>
        <v/>
      </c>
      <c r="M457" s="14"/>
      <c r="N457" s="16"/>
    </row>
    <row r="458" spans="1:14" ht="15.6" x14ac:dyDescent="0.3">
      <c r="A458" s="13" t="str">
        <f t="shared" si="21"/>
        <v>-</v>
      </c>
      <c r="B458" s="27"/>
      <c r="C458" s="26"/>
      <c r="D458" s="26"/>
      <c r="E458" s="26"/>
      <c r="F458" s="26"/>
      <c r="G458" s="34">
        <f>SUMIFS('BASE EXEC. Q.L'!N:N,'BASE EXEC. Q.L'!B:B,VOOS!A458)</f>
        <v>0</v>
      </c>
      <c r="H458" s="15" t="str">
        <f>IFERROR(_xlfn.XLOOKUP(A458,'BASE SQL PLANTIO'!B:B,'BASE SQL PLANTIO'!T:T,"verificar",0),"")</f>
        <v/>
      </c>
      <c r="I458" s="77" t="str">
        <f>IF(_xlfn.MINIFS('BASE SQL PLANTIO'!E:E,'BASE SQL PLANTIO'!B:B,VOOS!A458)=0/1/1900,"",_xlfn.MINIFS('BASE SQL PLANTIO'!E:E,'BASE SQL PLANTIO'!B:B,VOOS!A458))</f>
        <v/>
      </c>
      <c r="J458" s="26"/>
      <c r="K458" s="34" t="str">
        <f t="shared" si="22"/>
        <v/>
      </c>
      <c r="L458" s="35" t="str">
        <f t="shared" si="23"/>
        <v/>
      </c>
      <c r="M458" s="14"/>
      <c r="N458" s="16"/>
    </row>
    <row r="459" spans="1:14" ht="15.6" x14ac:dyDescent="0.3">
      <c r="A459" s="13" t="str">
        <f t="shared" si="21"/>
        <v>-</v>
      </c>
      <c r="B459" s="27"/>
      <c r="C459" s="26"/>
      <c r="D459" s="26"/>
      <c r="E459" s="26"/>
      <c r="F459" s="26"/>
      <c r="G459" s="34">
        <f>SUMIFS('BASE EXEC. Q.L'!N:N,'BASE EXEC. Q.L'!B:B,VOOS!A459)</f>
        <v>0</v>
      </c>
      <c r="H459" s="15" t="str">
        <f>IFERROR(_xlfn.XLOOKUP(A459,'BASE SQL PLANTIO'!B:B,'BASE SQL PLANTIO'!T:T,"verificar",0),"")</f>
        <v/>
      </c>
      <c r="I459" s="77" t="str">
        <f>IF(_xlfn.MINIFS('BASE SQL PLANTIO'!E:E,'BASE SQL PLANTIO'!B:B,VOOS!A459)=0/1/1900,"",_xlfn.MINIFS('BASE SQL PLANTIO'!E:E,'BASE SQL PLANTIO'!B:B,VOOS!A459))</f>
        <v/>
      </c>
      <c r="J459" s="26"/>
      <c r="K459" s="34" t="str">
        <f t="shared" si="22"/>
        <v/>
      </c>
      <c r="L459" s="35" t="str">
        <f t="shared" si="23"/>
        <v/>
      </c>
      <c r="M459" s="14"/>
      <c r="N459" s="16"/>
    </row>
    <row r="460" spans="1:14" ht="15.6" x14ac:dyDescent="0.3">
      <c r="A460" s="13" t="str">
        <f t="shared" si="21"/>
        <v>-</v>
      </c>
      <c r="B460" s="27"/>
      <c r="C460" s="26"/>
      <c r="D460" s="26"/>
      <c r="E460" s="26"/>
      <c r="F460" s="26"/>
      <c r="G460" s="34">
        <f>SUMIFS('BASE EXEC. Q.L'!N:N,'BASE EXEC. Q.L'!B:B,VOOS!A460)</f>
        <v>0</v>
      </c>
      <c r="H460" s="15" t="str">
        <f>IFERROR(_xlfn.XLOOKUP(A460,'BASE SQL PLANTIO'!B:B,'BASE SQL PLANTIO'!T:T,"verificar",0),"")</f>
        <v/>
      </c>
      <c r="I460" s="77" t="str">
        <f>IF(_xlfn.MINIFS('BASE SQL PLANTIO'!E:E,'BASE SQL PLANTIO'!B:B,VOOS!A460)=0/1/1900,"",_xlfn.MINIFS('BASE SQL PLANTIO'!E:E,'BASE SQL PLANTIO'!B:B,VOOS!A460))</f>
        <v/>
      </c>
      <c r="J460" s="26"/>
      <c r="K460" s="34" t="str">
        <f t="shared" si="22"/>
        <v/>
      </c>
      <c r="L460" s="35" t="str">
        <f t="shared" si="23"/>
        <v/>
      </c>
      <c r="M460" s="14"/>
      <c r="N460" s="16"/>
    </row>
    <row r="461" spans="1:14" ht="15.6" x14ac:dyDescent="0.3">
      <c r="A461" s="13" t="str">
        <f t="shared" si="21"/>
        <v>-</v>
      </c>
      <c r="B461" s="27"/>
      <c r="C461" s="26"/>
      <c r="D461" s="26"/>
      <c r="E461" s="26"/>
      <c r="F461" s="26"/>
      <c r="G461" s="34">
        <f>SUMIFS('BASE EXEC. Q.L'!N:N,'BASE EXEC. Q.L'!B:B,VOOS!A461)</f>
        <v>0</v>
      </c>
      <c r="H461" s="15" t="str">
        <f>IFERROR(_xlfn.XLOOKUP(A461,'BASE SQL PLANTIO'!B:B,'BASE SQL PLANTIO'!T:T,"verificar",0),"")</f>
        <v/>
      </c>
      <c r="I461" s="77" t="str">
        <f>IF(_xlfn.MINIFS('BASE SQL PLANTIO'!E:E,'BASE SQL PLANTIO'!B:B,VOOS!A461)=0/1/1900,"",_xlfn.MINIFS('BASE SQL PLANTIO'!E:E,'BASE SQL PLANTIO'!B:B,VOOS!A461))</f>
        <v/>
      </c>
      <c r="J461" s="26"/>
      <c r="K461" s="34" t="str">
        <f t="shared" si="22"/>
        <v/>
      </c>
      <c r="L461" s="35" t="str">
        <f t="shared" si="23"/>
        <v/>
      </c>
      <c r="M461" s="14"/>
      <c r="N461" s="16"/>
    </row>
    <row r="462" spans="1:14" ht="15.6" x14ac:dyDescent="0.3">
      <c r="A462" s="13" t="str">
        <f t="shared" si="21"/>
        <v>-</v>
      </c>
      <c r="B462" s="27"/>
      <c r="C462" s="26"/>
      <c r="D462" s="26"/>
      <c r="E462" s="26"/>
      <c r="F462" s="26"/>
      <c r="G462" s="34">
        <f>SUMIFS('BASE EXEC. Q.L'!N:N,'BASE EXEC. Q.L'!B:B,VOOS!A462)</f>
        <v>0</v>
      </c>
      <c r="H462" s="15" t="str">
        <f>IFERROR(_xlfn.XLOOKUP(A462,'BASE SQL PLANTIO'!B:B,'BASE SQL PLANTIO'!T:T,"verificar",0),"")</f>
        <v/>
      </c>
      <c r="I462" s="77" t="str">
        <f>IF(_xlfn.MINIFS('BASE SQL PLANTIO'!E:E,'BASE SQL PLANTIO'!B:B,VOOS!A462)=0/1/1900,"",_xlfn.MINIFS('BASE SQL PLANTIO'!E:E,'BASE SQL PLANTIO'!B:B,VOOS!A462))</f>
        <v/>
      </c>
      <c r="J462" s="26"/>
      <c r="K462" s="34" t="str">
        <f t="shared" si="22"/>
        <v/>
      </c>
      <c r="L462" s="35" t="str">
        <f t="shared" si="23"/>
        <v/>
      </c>
      <c r="M462" s="14"/>
      <c r="N462" s="16"/>
    </row>
    <row r="463" spans="1:14" ht="15.6" x14ac:dyDescent="0.3">
      <c r="A463" s="13" t="str">
        <f t="shared" si="21"/>
        <v>-</v>
      </c>
      <c r="B463" s="27"/>
      <c r="C463" s="26"/>
      <c r="D463" s="26"/>
      <c r="E463" s="26"/>
      <c r="F463" s="26"/>
      <c r="G463" s="34">
        <f>SUMIFS('BASE EXEC. Q.L'!N:N,'BASE EXEC. Q.L'!B:B,VOOS!A463)</f>
        <v>0</v>
      </c>
      <c r="H463" s="15" t="str">
        <f>IFERROR(_xlfn.XLOOKUP(A463,'BASE SQL PLANTIO'!B:B,'BASE SQL PLANTIO'!T:T,"verificar",0),"")</f>
        <v/>
      </c>
      <c r="I463" s="77" t="str">
        <f>IF(_xlfn.MINIFS('BASE SQL PLANTIO'!E:E,'BASE SQL PLANTIO'!B:B,VOOS!A463)=0/1/1900,"",_xlfn.MINIFS('BASE SQL PLANTIO'!E:E,'BASE SQL PLANTIO'!B:B,VOOS!A463))</f>
        <v/>
      </c>
      <c r="J463" s="26"/>
      <c r="K463" s="34" t="str">
        <f t="shared" si="22"/>
        <v/>
      </c>
      <c r="L463" s="35" t="str">
        <f t="shared" si="23"/>
        <v/>
      </c>
      <c r="M463" s="14"/>
      <c r="N463" s="16"/>
    </row>
    <row r="464" spans="1:14" ht="15.6" x14ac:dyDescent="0.3">
      <c r="A464" s="13" t="str">
        <f t="shared" si="21"/>
        <v>-</v>
      </c>
      <c r="B464" s="27"/>
      <c r="C464" s="22"/>
      <c r="D464" s="23"/>
      <c r="E464" s="23"/>
      <c r="F464" s="22"/>
      <c r="G464" s="34">
        <f>SUMIFS('BASE EXEC. Q.L'!N:N,'BASE EXEC. Q.L'!B:B,VOOS!A464)</f>
        <v>0</v>
      </c>
      <c r="H464" s="15" t="str">
        <f>IFERROR(_xlfn.XLOOKUP(A464,'BASE SQL PLANTIO'!B:B,'BASE SQL PLANTIO'!T:T,"verificar",0),"")</f>
        <v/>
      </c>
      <c r="I464" s="77" t="str">
        <f>IF(_xlfn.MINIFS('BASE SQL PLANTIO'!E:E,'BASE SQL PLANTIO'!B:B,VOOS!A464)=0/1/1900,"",_xlfn.MINIFS('BASE SQL PLANTIO'!E:E,'BASE SQL PLANTIO'!B:B,VOOS!A464))</f>
        <v/>
      </c>
      <c r="J464" s="22"/>
      <c r="K464" s="34" t="str">
        <f t="shared" si="22"/>
        <v/>
      </c>
      <c r="L464" s="35" t="str">
        <f t="shared" si="23"/>
        <v/>
      </c>
      <c r="M464" s="14"/>
      <c r="N464" s="16"/>
    </row>
    <row r="465" spans="1:14" ht="15.6" x14ac:dyDescent="0.3">
      <c r="A465" s="13" t="str">
        <f t="shared" si="21"/>
        <v>-</v>
      </c>
      <c r="B465" s="25"/>
      <c r="C465" s="25"/>
      <c r="D465" s="25"/>
      <c r="E465" s="25"/>
      <c r="F465" s="31"/>
      <c r="G465" s="34">
        <f>SUMIFS('BASE EXEC. Q.L'!N:N,'BASE EXEC. Q.L'!B:B,VOOS!A465)</f>
        <v>0</v>
      </c>
      <c r="H465" s="15" t="str">
        <f>IFERROR(_xlfn.XLOOKUP(A465,'BASE SQL PLANTIO'!B:B,'BASE SQL PLANTIO'!T:T,"verificar",0),"")</f>
        <v/>
      </c>
      <c r="I465" s="77" t="str">
        <f>IF(_xlfn.MINIFS('BASE SQL PLANTIO'!E:E,'BASE SQL PLANTIO'!B:B,VOOS!A465)=0/1/1900,"",_xlfn.MINIFS('BASE SQL PLANTIO'!E:E,'BASE SQL PLANTIO'!B:B,VOOS!A465))</f>
        <v/>
      </c>
      <c r="J465" s="26"/>
      <c r="K465" s="34" t="str">
        <f t="shared" si="22"/>
        <v/>
      </c>
      <c r="L465" s="35" t="str">
        <f t="shared" si="23"/>
        <v/>
      </c>
      <c r="M465" s="14"/>
      <c r="N465" s="16"/>
    </row>
    <row r="466" spans="1:14" ht="15.6" x14ac:dyDescent="0.3">
      <c r="A466" s="13" t="str">
        <f t="shared" si="21"/>
        <v>-</v>
      </c>
      <c r="B466" s="25"/>
      <c r="C466" s="25"/>
      <c r="D466" s="25"/>
      <c r="E466" s="25"/>
      <c r="F466" s="31"/>
      <c r="G466" s="34">
        <f>SUMIFS('BASE EXEC. Q.L'!N:N,'BASE EXEC. Q.L'!B:B,VOOS!A466)</f>
        <v>0</v>
      </c>
      <c r="H466" s="15" t="str">
        <f>IFERROR(_xlfn.XLOOKUP(A466,'BASE SQL PLANTIO'!B:B,'BASE SQL PLANTIO'!T:T,"verificar",0),"")</f>
        <v/>
      </c>
      <c r="I466" s="77" t="str">
        <f>IF(_xlfn.MINIFS('BASE SQL PLANTIO'!E:E,'BASE SQL PLANTIO'!B:B,VOOS!A466)=0/1/1900,"",_xlfn.MINIFS('BASE SQL PLANTIO'!E:E,'BASE SQL PLANTIO'!B:B,VOOS!A466))</f>
        <v/>
      </c>
      <c r="J466" s="26"/>
      <c r="K466" s="34" t="str">
        <f t="shared" si="22"/>
        <v/>
      </c>
      <c r="L466" s="35" t="str">
        <f t="shared" si="23"/>
        <v/>
      </c>
      <c r="M466" s="14"/>
      <c r="N466" s="16"/>
    </row>
    <row r="467" spans="1:14" ht="15.6" x14ac:dyDescent="0.3">
      <c r="A467" s="13" t="str">
        <f t="shared" si="21"/>
        <v>-</v>
      </c>
      <c r="B467" s="27"/>
      <c r="C467" s="26"/>
      <c r="D467" s="26"/>
      <c r="E467" s="26"/>
      <c r="F467" s="26"/>
      <c r="G467" s="34">
        <f>SUMIFS('BASE EXEC. Q.L'!N:N,'BASE EXEC. Q.L'!B:B,VOOS!A467)</f>
        <v>0</v>
      </c>
      <c r="H467" s="15" t="str">
        <f>IFERROR(_xlfn.XLOOKUP(A467,'BASE SQL PLANTIO'!B:B,'BASE SQL PLANTIO'!T:T,"verificar",0),"")</f>
        <v/>
      </c>
      <c r="I467" s="77" t="str">
        <f>IF(_xlfn.MINIFS('BASE SQL PLANTIO'!E:E,'BASE SQL PLANTIO'!B:B,VOOS!A467)=0/1/1900,"",_xlfn.MINIFS('BASE SQL PLANTIO'!E:E,'BASE SQL PLANTIO'!B:B,VOOS!A467))</f>
        <v/>
      </c>
      <c r="J467" s="26"/>
      <c r="K467" s="34" t="str">
        <f t="shared" si="22"/>
        <v/>
      </c>
      <c r="L467" s="35" t="str">
        <f t="shared" si="23"/>
        <v/>
      </c>
      <c r="M467" s="14"/>
      <c r="N467" s="16"/>
    </row>
    <row r="468" spans="1:14" ht="15.6" x14ac:dyDescent="0.3">
      <c r="A468" s="13" t="str">
        <f t="shared" si="21"/>
        <v>-</v>
      </c>
      <c r="B468" s="27"/>
      <c r="C468" s="26"/>
      <c r="D468" s="26"/>
      <c r="E468" s="26"/>
      <c r="F468" s="26"/>
      <c r="G468" s="34">
        <f>SUMIFS('BASE EXEC. Q.L'!N:N,'BASE EXEC. Q.L'!B:B,VOOS!A468)</f>
        <v>0</v>
      </c>
      <c r="H468" s="15" t="str">
        <f>IFERROR(_xlfn.XLOOKUP(A468,'BASE SQL PLANTIO'!B:B,'BASE SQL PLANTIO'!T:T,"verificar",0),"")</f>
        <v/>
      </c>
      <c r="I468" s="77" t="str">
        <f>IF(_xlfn.MINIFS('BASE SQL PLANTIO'!E:E,'BASE SQL PLANTIO'!B:B,VOOS!A468)=0/1/1900,"",_xlfn.MINIFS('BASE SQL PLANTIO'!E:E,'BASE SQL PLANTIO'!B:B,VOOS!A468))</f>
        <v/>
      </c>
      <c r="J468" s="26"/>
      <c r="K468" s="34" t="str">
        <f t="shared" si="22"/>
        <v/>
      </c>
      <c r="L468" s="35" t="str">
        <f t="shared" si="23"/>
        <v/>
      </c>
      <c r="M468" s="14"/>
      <c r="N468" s="16"/>
    </row>
    <row r="469" spans="1:14" ht="15.6" x14ac:dyDescent="0.3">
      <c r="A469" s="13" t="str">
        <f t="shared" si="21"/>
        <v>-</v>
      </c>
      <c r="B469" s="27"/>
      <c r="C469" s="26"/>
      <c r="D469" s="26"/>
      <c r="E469" s="26"/>
      <c r="F469" s="26"/>
      <c r="G469" s="34">
        <f>SUMIFS('BASE EXEC. Q.L'!N:N,'BASE EXEC. Q.L'!B:B,VOOS!A469)</f>
        <v>0</v>
      </c>
      <c r="H469" s="15" t="str">
        <f>IFERROR(_xlfn.XLOOKUP(A469,'BASE SQL PLANTIO'!B:B,'BASE SQL PLANTIO'!T:T,"verificar",0),"")</f>
        <v/>
      </c>
      <c r="I469" s="77" t="str">
        <f>IF(_xlfn.MINIFS('BASE SQL PLANTIO'!E:E,'BASE SQL PLANTIO'!B:B,VOOS!A469)=0/1/1900,"",_xlfn.MINIFS('BASE SQL PLANTIO'!E:E,'BASE SQL PLANTIO'!B:B,VOOS!A469))</f>
        <v/>
      </c>
      <c r="J469" s="26"/>
      <c r="K469" s="34" t="str">
        <f t="shared" si="22"/>
        <v/>
      </c>
      <c r="L469" s="35" t="str">
        <f t="shared" si="23"/>
        <v/>
      </c>
      <c r="M469" s="14"/>
      <c r="N469" s="16"/>
    </row>
    <row r="470" spans="1:14" ht="15.6" x14ac:dyDescent="0.3">
      <c r="A470" s="13" t="str">
        <f t="shared" si="21"/>
        <v>-</v>
      </c>
      <c r="B470" s="27"/>
      <c r="C470" s="26"/>
      <c r="D470" s="26"/>
      <c r="E470" s="26"/>
      <c r="F470" s="26"/>
      <c r="G470" s="34">
        <f>SUMIFS('BASE EXEC. Q.L'!N:N,'BASE EXEC. Q.L'!B:B,VOOS!A470)</f>
        <v>0</v>
      </c>
      <c r="H470" s="15" t="str">
        <f>IFERROR(_xlfn.XLOOKUP(A470,'BASE SQL PLANTIO'!B:B,'BASE SQL PLANTIO'!T:T,"verificar",0),"")</f>
        <v/>
      </c>
      <c r="I470" s="77" t="str">
        <f>IF(_xlfn.MINIFS('BASE SQL PLANTIO'!E:E,'BASE SQL PLANTIO'!B:B,VOOS!A470)=0/1/1900,"",_xlfn.MINIFS('BASE SQL PLANTIO'!E:E,'BASE SQL PLANTIO'!B:B,VOOS!A470))</f>
        <v/>
      </c>
      <c r="J470" s="26"/>
      <c r="K470" s="34" t="str">
        <f t="shared" si="22"/>
        <v/>
      </c>
      <c r="L470" s="35" t="str">
        <f t="shared" si="23"/>
        <v/>
      </c>
      <c r="M470" s="14"/>
      <c r="N470" s="16"/>
    </row>
    <row r="471" spans="1:14" ht="15.6" x14ac:dyDescent="0.3">
      <c r="A471" s="13" t="str">
        <f t="shared" si="21"/>
        <v>-</v>
      </c>
      <c r="B471" s="27"/>
      <c r="C471" s="26"/>
      <c r="D471" s="26"/>
      <c r="E471" s="26"/>
      <c r="F471" s="26"/>
      <c r="G471" s="34">
        <f>SUMIFS('BASE EXEC. Q.L'!N:N,'BASE EXEC. Q.L'!B:B,VOOS!A471)</f>
        <v>0</v>
      </c>
      <c r="H471" s="15" t="str">
        <f>IFERROR(_xlfn.XLOOKUP(A471,'BASE SQL PLANTIO'!B:B,'BASE SQL PLANTIO'!T:T,"verificar",0),"")</f>
        <v/>
      </c>
      <c r="I471" s="77" t="str">
        <f>IF(_xlfn.MINIFS('BASE SQL PLANTIO'!E:E,'BASE SQL PLANTIO'!B:B,VOOS!A471)=0/1/1900,"",_xlfn.MINIFS('BASE SQL PLANTIO'!E:E,'BASE SQL PLANTIO'!B:B,VOOS!A471))</f>
        <v/>
      </c>
      <c r="J471" s="26"/>
      <c r="K471" s="34" t="str">
        <f t="shared" si="22"/>
        <v/>
      </c>
      <c r="L471" s="35" t="str">
        <f t="shared" si="23"/>
        <v/>
      </c>
      <c r="M471" s="14"/>
      <c r="N471" s="16"/>
    </row>
    <row r="472" spans="1:14" ht="15.6" x14ac:dyDescent="0.3">
      <c r="A472" s="13" t="str">
        <f t="shared" si="21"/>
        <v>-</v>
      </c>
      <c r="B472" s="25"/>
      <c r="C472" s="25"/>
      <c r="D472" s="25"/>
      <c r="E472" s="25"/>
      <c r="F472" s="31"/>
      <c r="G472" s="34">
        <f>SUMIFS('BASE EXEC. Q.L'!N:N,'BASE EXEC. Q.L'!B:B,VOOS!A472)</f>
        <v>0</v>
      </c>
      <c r="H472" s="15" t="str">
        <f>IFERROR(_xlfn.XLOOKUP(A472,'BASE SQL PLANTIO'!B:B,'BASE SQL PLANTIO'!T:T,"verificar",0),"")</f>
        <v/>
      </c>
      <c r="I472" s="77" t="str">
        <f>IF(_xlfn.MINIFS('BASE SQL PLANTIO'!E:E,'BASE SQL PLANTIO'!B:B,VOOS!A472)=0/1/1900,"",_xlfn.MINIFS('BASE SQL PLANTIO'!E:E,'BASE SQL PLANTIO'!B:B,VOOS!A472))</f>
        <v/>
      </c>
      <c r="J472" s="26"/>
      <c r="K472" s="34" t="str">
        <f t="shared" si="22"/>
        <v/>
      </c>
      <c r="L472" s="35" t="str">
        <f t="shared" si="23"/>
        <v/>
      </c>
      <c r="M472" s="14"/>
      <c r="N472" s="16"/>
    </row>
    <row r="473" spans="1:14" ht="15.6" x14ac:dyDescent="0.3">
      <c r="A473" s="13" t="str">
        <f t="shared" si="21"/>
        <v>-</v>
      </c>
      <c r="B473" s="25"/>
      <c r="C473" s="25"/>
      <c r="D473" s="25"/>
      <c r="E473" s="25"/>
      <c r="F473" s="31"/>
      <c r="G473" s="34">
        <f>SUMIFS('BASE EXEC. Q.L'!N:N,'BASE EXEC. Q.L'!B:B,VOOS!A473)</f>
        <v>0</v>
      </c>
      <c r="H473" s="15" t="str">
        <f>IFERROR(_xlfn.XLOOKUP(A473,'BASE SQL PLANTIO'!B:B,'BASE SQL PLANTIO'!T:T,"verificar",0),"")</f>
        <v/>
      </c>
      <c r="I473" s="77" t="str">
        <f>IF(_xlfn.MINIFS('BASE SQL PLANTIO'!E:E,'BASE SQL PLANTIO'!B:B,VOOS!A473)=0/1/1900,"",_xlfn.MINIFS('BASE SQL PLANTIO'!E:E,'BASE SQL PLANTIO'!B:B,VOOS!A473))</f>
        <v/>
      </c>
      <c r="J473" s="26"/>
      <c r="K473" s="34" t="str">
        <f t="shared" si="22"/>
        <v/>
      </c>
      <c r="L473" s="35" t="str">
        <f t="shared" si="23"/>
        <v/>
      </c>
      <c r="M473" s="14"/>
      <c r="N473" s="16"/>
    </row>
    <row r="474" spans="1:14" ht="15.6" x14ac:dyDescent="0.3">
      <c r="A474" s="13" t="str">
        <f t="shared" si="21"/>
        <v>-</v>
      </c>
      <c r="B474" s="25"/>
      <c r="C474" s="25"/>
      <c r="D474" s="25"/>
      <c r="E474" s="25"/>
      <c r="F474" s="31"/>
      <c r="G474" s="34">
        <f>SUMIFS('BASE EXEC. Q.L'!N:N,'BASE EXEC. Q.L'!B:B,VOOS!A474)</f>
        <v>0</v>
      </c>
      <c r="H474" s="15" t="str">
        <f>IFERROR(_xlfn.XLOOKUP(A474,'BASE SQL PLANTIO'!B:B,'BASE SQL PLANTIO'!T:T,"verificar",0),"")</f>
        <v/>
      </c>
      <c r="I474" s="77" t="str">
        <f>IF(_xlfn.MINIFS('BASE SQL PLANTIO'!E:E,'BASE SQL PLANTIO'!B:B,VOOS!A474)=0/1/1900,"",_xlfn.MINIFS('BASE SQL PLANTIO'!E:E,'BASE SQL PLANTIO'!B:B,VOOS!A474))</f>
        <v/>
      </c>
      <c r="J474" s="26"/>
      <c r="K474" s="34" t="str">
        <f t="shared" si="22"/>
        <v/>
      </c>
      <c r="L474" s="35" t="str">
        <f t="shared" si="23"/>
        <v/>
      </c>
      <c r="M474" s="14"/>
      <c r="N474" s="16"/>
    </row>
    <row r="475" spans="1:14" ht="15.6" x14ac:dyDescent="0.3">
      <c r="A475" s="13" t="str">
        <f t="shared" si="21"/>
        <v>-</v>
      </c>
      <c r="B475" s="27"/>
      <c r="C475" s="26"/>
      <c r="D475" s="26"/>
      <c r="E475" s="26"/>
      <c r="F475" s="26"/>
      <c r="G475" s="34">
        <f>SUMIFS('BASE EXEC. Q.L'!N:N,'BASE EXEC. Q.L'!B:B,VOOS!A475)</f>
        <v>0</v>
      </c>
      <c r="H475" s="15" t="str">
        <f>IFERROR(_xlfn.XLOOKUP(A475,'BASE SQL PLANTIO'!B:B,'BASE SQL PLANTIO'!T:T,"verificar",0),"")</f>
        <v/>
      </c>
      <c r="I475" s="77" t="str">
        <f>IF(_xlfn.MINIFS('BASE SQL PLANTIO'!E:E,'BASE SQL PLANTIO'!B:B,VOOS!A475)=0/1/1900,"",_xlfn.MINIFS('BASE SQL PLANTIO'!E:E,'BASE SQL PLANTIO'!B:B,VOOS!A475))</f>
        <v/>
      </c>
      <c r="J475" s="26"/>
      <c r="K475" s="34" t="str">
        <f t="shared" si="22"/>
        <v/>
      </c>
      <c r="L475" s="35" t="str">
        <f t="shared" si="23"/>
        <v/>
      </c>
      <c r="M475" s="14"/>
      <c r="N475" s="16"/>
    </row>
    <row r="476" spans="1:14" ht="15.6" x14ac:dyDescent="0.3">
      <c r="A476" s="13" t="str">
        <f t="shared" si="21"/>
        <v>-</v>
      </c>
      <c r="B476" s="27"/>
      <c r="C476" s="26"/>
      <c r="D476" s="26"/>
      <c r="E476" s="26"/>
      <c r="F476" s="26"/>
      <c r="G476" s="34">
        <f>SUMIFS('BASE EXEC. Q.L'!N:N,'BASE EXEC. Q.L'!B:B,VOOS!A476)</f>
        <v>0</v>
      </c>
      <c r="H476" s="15" t="str">
        <f>IFERROR(_xlfn.XLOOKUP(A476,'BASE SQL PLANTIO'!B:B,'BASE SQL PLANTIO'!T:T,"verificar",0),"")</f>
        <v/>
      </c>
      <c r="I476" s="77" t="str">
        <f>IF(_xlfn.MINIFS('BASE SQL PLANTIO'!E:E,'BASE SQL PLANTIO'!B:B,VOOS!A476)=0/1/1900,"",_xlfn.MINIFS('BASE SQL PLANTIO'!E:E,'BASE SQL PLANTIO'!B:B,VOOS!A476))</f>
        <v/>
      </c>
      <c r="J476" s="26"/>
      <c r="K476" s="34" t="str">
        <f t="shared" si="22"/>
        <v/>
      </c>
      <c r="L476" s="35" t="str">
        <f t="shared" si="23"/>
        <v/>
      </c>
      <c r="M476" s="14"/>
      <c r="N476" s="15"/>
    </row>
    <row r="477" spans="1:14" ht="15.6" x14ac:dyDescent="0.3">
      <c r="A477" s="13" t="str">
        <f t="shared" si="21"/>
        <v>-</v>
      </c>
      <c r="B477" s="27"/>
      <c r="C477" s="26"/>
      <c r="D477" s="26"/>
      <c r="E477" s="26"/>
      <c r="F477" s="26"/>
      <c r="G477" s="34">
        <f>SUMIFS('BASE EXEC. Q.L'!N:N,'BASE EXEC. Q.L'!B:B,VOOS!A477)</f>
        <v>0</v>
      </c>
      <c r="H477" s="15" t="str">
        <f>IFERROR(_xlfn.XLOOKUP(A477,'BASE SQL PLANTIO'!B:B,'BASE SQL PLANTIO'!T:T,"verificar",0),"")</f>
        <v/>
      </c>
      <c r="I477" s="77" t="str">
        <f>IF(_xlfn.MINIFS('BASE SQL PLANTIO'!E:E,'BASE SQL PLANTIO'!B:B,VOOS!A477)=0/1/1900,"",_xlfn.MINIFS('BASE SQL PLANTIO'!E:E,'BASE SQL PLANTIO'!B:B,VOOS!A477))</f>
        <v/>
      </c>
      <c r="J477" s="26"/>
      <c r="K477" s="34" t="str">
        <f t="shared" si="22"/>
        <v/>
      </c>
      <c r="L477" s="35" t="str">
        <f t="shared" si="23"/>
        <v/>
      </c>
      <c r="M477" s="14"/>
      <c r="N477" s="16"/>
    </row>
    <row r="478" spans="1:14" ht="15.6" x14ac:dyDescent="0.3">
      <c r="A478" s="13" t="str">
        <f t="shared" si="21"/>
        <v>-</v>
      </c>
      <c r="B478" s="27"/>
      <c r="C478" s="26"/>
      <c r="D478" s="26"/>
      <c r="E478" s="26"/>
      <c r="F478" s="26"/>
      <c r="G478" s="34">
        <f>SUMIFS('BASE EXEC. Q.L'!N:N,'BASE EXEC. Q.L'!B:B,VOOS!A478)</f>
        <v>0</v>
      </c>
      <c r="H478" s="15" t="str">
        <f>IFERROR(_xlfn.XLOOKUP(A478,'BASE SQL PLANTIO'!B:B,'BASE SQL PLANTIO'!T:T,"verificar",0),"")</f>
        <v/>
      </c>
      <c r="I478" s="77" t="str">
        <f>IF(_xlfn.MINIFS('BASE SQL PLANTIO'!E:E,'BASE SQL PLANTIO'!B:B,VOOS!A478)=0/1/1900,"",_xlfn.MINIFS('BASE SQL PLANTIO'!E:E,'BASE SQL PLANTIO'!B:B,VOOS!A478))</f>
        <v/>
      </c>
      <c r="J478" s="26"/>
      <c r="K478" s="34" t="str">
        <f t="shared" si="22"/>
        <v/>
      </c>
      <c r="L478" s="35" t="str">
        <f t="shared" si="23"/>
        <v/>
      </c>
      <c r="M478" s="14"/>
      <c r="N478" s="16"/>
    </row>
    <row r="479" spans="1:14" ht="15.6" x14ac:dyDescent="0.3">
      <c r="A479" s="13" t="str">
        <f t="shared" si="21"/>
        <v>-</v>
      </c>
      <c r="B479" s="27"/>
      <c r="C479" s="26"/>
      <c r="D479" s="26"/>
      <c r="E479" s="26"/>
      <c r="F479" s="26"/>
      <c r="G479" s="34">
        <f>SUMIFS('BASE EXEC. Q.L'!N:N,'BASE EXEC. Q.L'!B:B,VOOS!A479)</f>
        <v>0</v>
      </c>
      <c r="H479" s="15" t="str">
        <f>IFERROR(_xlfn.XLOOKUP(A479,'BASE SQL PLANTIO'!B:B,'BASE SQL PLANTIO'!T:T,"verificar",0),"")</f>
        <v/>
      </c>
      <c r="I479" s="77" t="str">
        <f>IF(_xlfn.MINIFS('BASE SQL PLANTIO'!E:E,'BASE SQL PLANTIO'!B:B,VOOS!A479)=0/1/1900,"",_xlfn.MINIFS('BASE SQL PLANTIO'!E:E,'BASE SQL PLANTIO'!B:B,VOOS!A479))</f>
        <v/>
      </c>
      <c r="J479" s="26"/>
      <c r="K479" s="34" t="str">
        <f t="shared" si="22"/>
        <v/>
      </c>
      <c r="L479" s="35" t="str">
        <f t="shared" si="23"/>
        <v/>
      </c>
      <c r="M479" s="14"/>
      <c r="N479" s="16"/>
    </row>
    <row r="480" spans="1:14" ht="15.6" x14ac:dyDescent="0.3">
      <c r="A480" s="13" t="str">
        <f t="shared" si="21"/>
        <v>-</v>
      </c>
      <c r="B480" s="27"/>
      <c r="C480" s="22"/>
      <c r="D480" s="23"/>
      <c r="E480" s="23"/>
      <c r="F480" s="22"/>
      <c r="G480" s="34">
        <f>SUMIFS('BASE EXEC. Q.L'!N:N,'BASE EXEC. Q.L'!B:B,VOOS!A480)</f>
        <v>0</v>
      </c>
      <c r="H480" s="15" t="str">
        <f>IFERROR(_xlfn.XLOOKUP(A480,'BASE SQL PLANTIO'!B:B,'BASE SQL PLANTIO'!T:T,"verificar",0),"")</f>
        <v/>
      </c>
      <c r="I480" s="77" t="str">
        <f>IF(_xlfn.MINIFS('BASE SQL PLANTIO'!E:E,'BASE SQL PLANTIO'!B:B,VOOS!A480)=0/1/1900,"",_xlfn.MINIFS('BASE SQL PLANTIO'!E:E,'BASE SQL PLANTIO'!B:B,VOOS!A480))</f>
        <v/>
      </c>
      <c r="J480" s="22"/>
      <c r="K480" s="34" t="str">
        <f t="shared" si="22"/>
        <v/>
      </c>
      <c r="L480" s="35" t="str">
        <f t="shared" si="23"/>
        <v/>
      </c>
      <c r="M480" s="14"/>
      <c r="N480" s="16"/>
    </row>
    <row r="481" spans="1:14" ht="15.6" x14ac:dyDescent="0.3">
      <c r="A481" s="13" t="str">
        <f t="shared" si="21"/>
        <v>-</v>
      </c>
      <c r="B481" s="25"/>
      <c r="C481" s="25"/>
      <c r="D481" s="25"/>
      <c r="E481" s="25"/>
      <c r="F481" s="31"/>
      <c r="G481" s="34">
        <f>SUMIFS('BASE EXEC. Q.L'!N:N,'BASE EXEC. Q.L'!B:B,VOOS!A481)</f>
        <v>0</v>
      </c>
      <c r="H481" s="15" t="str">
        <f>IFERROR(_xlfn.XLOOKUP(A481,'BASE SQL PLANTIO'!B:B,'BASE SQL PLANTIO'!T:T,"verificar",0),"")</f>
        <v/>
      </c>
      <c r="I481" s="77" t="str">
        <f>IF(_xlfn.MINIFS('BASE SQL PLANTIO'!E:E,'BASE SQL PLANTIO'!B:B,VOOS!A481)=0/1/1900,"",_xlfn.MINIFS('BASE SQL PLANTIO'!E:E,'BASE SQL PLANTIO'!B:B,VOOS!A481))</f>
        <v/>
      </c>
      <c r="J481" s="26"/>
      <c r="K481" s="34" t="str">
        <f t="shared" si="22"/>
        <v/>
      </c>
      <c r="L481" s="35" t="str">
        <f t="shared" si="23"/>
        <v/>
      </c>
      <c r="M481" s="14"/>
      <c r="N481" s="16"/>
    </row>
    <row r="482" spans="1:14" ht="15.6" x14ac:dyDescent="0.3">
      <c r="A482" s="13" t="str">
        <f t="shared" si="21"/>
        <v>-</v>
      </c>
      <c r="B482" s="25"/>
      <c r="C482" s="25"/>
      <c r="D482" s="25"/>
      <c r="E482" s="25"/>
      <c r="F482" s="31"/>
      <c r="G482" s="34">
        <f>SUMIFS('BASE EXEC. Q.L'!N:N,'BASE EXEC. Q.L'!B:B,VOOS!A482)</f>
        <v>0</v>
      </c>
      <c r="H482" s="15" t="str">
        <f>IFERROR(_xlfn.XLOOKUP(A482,'BASE SQL PLANTIO'!B:B,'BASE SQL PLANTIO'!T:T,"verificar",0),"")</f>
        <v/>
      </c>
      <c r="I482" s="77" t="str">
        <f>IF(_xlfn.MINIFS('BASE SQL PLANTIO'!E:E,'BASE SQL PLANTIO'!B:B,VOOS!A482)=0/1/1900,"",_xlfn.MINIFS('BASE SQL PLANTIO'!E:E,'BASE SQL PLANTIO'!B:B,VOOS!A482))</f>
        <v/>
      </c>
      <c r="J482" s="26"/>
      <c r="K482" s="34" t="str">
        <f t="shared" si="22"/>
        <v/>
      </c>
      <c r="L482" s="35" t="str">
        <f t="shared" si="23"/>
        <v/>
      </c>
      <c r="M482" s="14"/>
      <c r="N482" s="16"/>
    </row>
    <row r="483" spans="1:14" ht="15.6" x14ac:dyDescent="0.3">
      <c r="A483" s="13" t="str">
        <f t="shared" si="21"/>
        <v>-</v>
      </c>
      <c r="B483" s="27"/>
      <c r="C483" s="26"/>
      <c r="D483" s="26"/>
      <c r="E483" s="26"/>
      <c r="F483" s="26"/>
      <c r="G483" s="34">
        <f>SUMIFS('BASE EXEC. Q.L'!N:N,'BASE EXEC. Q.L'!B:B,VOOS!A483)</f>
        <v>0</v>
      </c>
      <c r="H483" s="15" t="str">
        <f>IFERROR(_xlfn.XLOOKUP(A483,'BASE SQL PLANTIO'!B:B,'BASE SQL PLANTIO'!T:T,"verificar",0),"")</f>
        <v/>
      </c>
      <c r="I483" s="77" t="str">
        <f>IF(_xlfn.MINIFS('BASE SQL PLANTIO'!E:E,'BASE SQL PLANTIO'!B:B,VOOS!A483)=0/1/1900,"",_xlfn.MINIFS('BASE SQL PLANTIO'!E:E,'BASE SQL PLANTIO'!B:B,VOOS!A483))</f>
        <v/>
      </c>
      <c r="J483" s="26"/>
      <c r="K483" s="34" t="str">
        <f t="shared" si="22"/>
        <v/>
      </c>
      <c r="L483" s="35" t="str">
        <f t="shared" si="23"/>
        <v/>
      </c>
      <c r="M483" s="14"/>
      <c r="N483" s="16"/>
    </row>
    <row r="484" spans="1:14" ht="15.6" x14ac:dyDescent="0.3">
      <c r="A484" s="13" t="str">
        <f t="shared" si="21"/>
        <v>-</v>
      </c>
      <c r="B484" s="27"/>
      <c r="C484" s="26"/>
      <c r="D484" s="26"/>
      <c r="E484" s="26"/>
      <c r="F484" s="26"/>
      <c r="G484" s="34">
        <f>SUMIFS('BASE EXEC. Q.L'!N:N,'BASE EXEC. Q.L'!B:B,VOOS!A484)</f>
        <v>0</v>
      </c>
      <c r="H484" s="15" t="str">
        <f>IFERROR(_xlfn.XLOOKUP(A484,'BASE SQL PLANTIO'!B:B,'BASE SQL PLANTIO'!T:T,"verificar",0),"")</f>
        <v/>
      </c>
      <c r="I484" s="77" t="str">
        <f>IF(_xlfn.MINIFS('BASE SQL PLANTIO'!E:E,'BASE SQL PLANTIO'!B:B,VOOS!A484)=0/1/1900,"",_xlfn.MINIFS('BASE SQL PLANTIO'!E:E,'BASE SQL PLANTIO'!B:B,VOOS!A484))</f>
        <v/>
      </c>
      <c r="J484" s="26"/>
      <c r="K484" s="34" t="str">
        <f t="shared" si="22"/>
        <v/>
      </c>
      <c r="L484" s="35" t="str">
        <f t="shared" si="23"/>
        <v/>
      </c>
      <c r="M484" s="14"/>
      <c r="N484" s="16"/>
    </row>
    <row r="485" spans="1:14" ht="15.6" x14ac:dyDescent="0.3">
      <c r="A485" s="13" t="str">
        <f t="shared" si="21"/>
        <v>-</v>
      </c>
      <c r="B485" s="27"/>
      <c r="C485" s="26"/>
      <c r="D485" s="26"/>
      <c r="E485" s="26"/>
      <c r="F485" s="26"/>
      <c r="G485" s="34">
        <f>SUMIFS('BASE EXEC. Q.L'!N:N,'BASE EXEC. Q.L'!B:B,VOOS!A485)</f>
        <v>0</v>
      </c>
      <c r="H485" s="15" t="str">
        <f>IFERROR(_xlfn.XLOOKUP(A485,'BASE SQL PLANTIO'!B:B,'BASE SQL PLANTIO'!T:T,"verificar",0),"")</f>
        <v/>
      </c>
      <c r="I485" s="77" t="str">
        <f>IF(_xlfn.MINIFS('BASE SQL PLANTIO'!E:E,'BASE SQL PLANTIO'!B:B,VOOS!A485)=0/1/1900,"",_xlfn.MINIFS('BASE SQL PLANTIO'!E:E,'BASE SQL PLANTIO'!B:B,VOOS!A485))</f>
        <v/>
      </c>
      <c r="J485" s="26"/>
      <c r="K485" s="34" t="str">
        <f t="shared" si="22"/>
        <v/>
      </c>
      <c r="L485" s="35" t="str">
        <f t="shared" si="23"/>
        <v/>
      </c>
      <c r="M485" s="14"/>
      <c r="N485" s="16"/>
    </row>
    <row r="486" spans="1:14" ht="15.6" x14ac:dyDescent="0.3">
      <c r="A486" s="13" t="str">
        <f t="shared" si="21"/>
        <v>-</v>
      </c>
      <c r="B486" s="27"/>
      <c r="C486" s="26"/>
      <c r="D486" s="26"/>
      <c r="E486" s="26"/>
      <c r="F486" s="26"/>
      <c r="G486" s="34">
        <f>SUMIFS('BASE EXEC. Q.L'!N:N,'BASE EXEC. Q.L'!B:B,VOOS!A486)</f>
        <v>0</v>
      </c>
      <c r="H486" s="15" t="str">
        <f>IFERROR(_xlfn.XLOOKUP(A486,'BASE SQL PLANTIO'!B:B,'BASE SQL PLANTIO'!T:T,"verificar",0),"")</f>
        <v/>
      </c>
      <c r="I486" s="77" t="str">
        <f>IF(_xlfn.MINIFS('BASE SQL PLANTIO'!E:E,'BASE SQL PLANTIO'!B:B,VOOS!A486)=0/1/1900,"",_xlfn.MINIFS('BASE SQL PLANTIO'!E:E,'BASE SQL PLANTIO'!B:B,VOOS!A486))</f>
        <v/>
      </c>
      <c r="J486" s="26"/>
      <c r="K486" s="34" t="str">
        <f t="shared" si="22"/>
        <v/>
      </c>
      <c r="L486" s="35" t="str">
        <f t="shared" si="23"/>
        <v/>
      </c>
      <c r="M486" s="14"/>
      <c r="N486" s="16"/>
    </row>
    <row r="487" spans="1:14" ht="15.6" x14ac:dyDescent="0.3">
      <c r="A487" s="13" t="str">
        <f t="shared" si="21"/>
        <v>-</v>
      </c>
      <c r="B487" s="27"/>
      <c r="C487" s="26"/>
      <c r="D487" s="26"/>
      <c r="E487" s="26"/>
      <c r="F487" s="26"/>
      <c r="G487" s="34">
        <f>SUMIFS('BASE EXEC. Q.L'!N:N,'BASE EXEC. Q.L'!B:B,VOOS!A487)</f>
        <v>0</v>
      </c>
      <c r="H487" s="15" t="str">
        <f>IFERROR(_xlfn.XLOOKUP(A487,'BASE SQL PLANTIO'!B:B,'BASE SQL PLANTIO'!T:T,"verificar",0),"")</f>
        <v/>
      </c>
      <c r="I487" s="77" t="str">
        <f>IF(_xlfn.MINIFS('BASE SQL PLANTIO'!E:E,'BASE SQL PLANTIO'!B:B,VOOS!A487)=0/1/1900,"",_xlfn.MINIFS('BASE SQL PLANTIO'!E:E,'BASE SQL PLANTIO'!B:B,VOOS!A487))</f>
        <v/>
      </c>
      <c r="J487" s="26"/>
      <c r="K487" s="34" t="str">
        <f t="shared" si="22"/>
        <v/>
      </c>
      <c r="L487" s="35" t="str">
        <f t="shared" si="23"/>
        <v/>
      </c>
      <c r="M487" s="14"/>
      <c r="N487" s="16"/>
    </row>
    <row r="488" spans="1:14" ht="15.6" x14ac:dyDescent="0.3">
      <c r="A488" s="13" t="str">
        <f t="shared" si="21"/>
        <v>-</v>
      </c>
      <c r="B488" s="25"/>
      <c r="C488" s="25"/>
      <c r="D488" s="25"/>
      <c r="E488" s="25"/>
      <c r="F488" s="31"/>
      <c r="G488" s="34">
        <f>SUMIFS('BASE EXEC. Q.L'!N:N,'BASE EXEC. Q.L'!B:B,VOOS!A488)</f>
        <v>0</v>
      </c>
      <c r="H488" s="15" t="str">
        <f>IFERROR(_xlfn.XLOOKUP(A488,'BASE SQL PLANTIO'!B:B,'BASE SQL PLANTIO'!T:T,"verificar",0),"")</f>
        <v/>
      </c>
      <c r="I488" s="77" t="str">
        <f>IF(_xlfn.MINIFS('BASE SQL PLANTIO'!E:E,'BASE SQL PLANTIO'!B:B,VOOS!A488)=0/1/1900,"",_xlfn.MINIFS('BASE SQL PLANTIO'!E:E,'BASE SQL PLANTIO'!B:B,VOOS!A488))</f>
        <v/>
      </c>
      <c r="J488" s="26"/>
      <c r="K488" s="34" t="str">
        <f t="shared" si="22"/>
        <v/>
      </c>
      <c r="L488" s="35" t="str">
        <f t="shared" si="23"/>
        <v/>
      </c>
      <c r="M488" s="14"/>
      <c r="N488" s="15"/>
    </row>
    <row r="489" spans="1:14" ht="15.6" x14ac:dyDescent="0.3">
      <c r="A489" s="13" t="str">
        <f t="shared" si="21"/>
        <v>-</v>
      </c>
      <c r="B489" s="25"/>
      <c r="C489" s="25"/>
      <c r="D489" s="25"/>
      <c r="E489" s="25"/>
      <c r="F489" s="31"/>
      <c r="G489" s="34">
        <f>SUMIFS('BASE EXEC. Q.L'!N:N,'BASE EXEC. Q.L'!B:B,VOOS!A489)</f>
        <v>0</v>
      </c>
      <c r="H489" s="15" t="str">
        <f>IFERROR(_xlfn.XLOOKUP(A489,'BASE SQL PLANTIO'!B:B,'BASE SQL PLANTIO'!T:T,"verificar",0),"")</f>
        <v/>
      </c>
      <c r="I489" s="77" t="str">
        <f>IF(_xlfn.MINIFS('BASE SQL PLANTIO'!E:E,'BASE SQL PLANTIO'!B:B,VOOS!A489)=0/1/1900,"",_xlfn.MINIFS('BASE SQL PLANTIO'!E:E,'BASE SQL PLANTIO'!B:B,VOOS!A489))</f>
        <v/>
      </c>
      <c r="J489" s="26"/>
      <c r="K489" s="34" t="str">
        <f t="shared" si="22"/>
        <v/>
      </c>
      <c r="L489" s="35" t="str">
        <f t="shared" si="23"/>
        <v/>
      </c>
      <c r="M489" s="14"/>
      <c r="N489" s="16"/>
    </row>
    <row r="490" spans="1:14" ht="15.6" x14ac:dyDescent="0.3">
      <c r="A490" s="13" t="str">
        <f t="shared" si="21"/>
        <v>-</v>
      </c>
      <c r="B490" s="25"/>
      <c r="C490" s="25"/>
      <c r="D490" s="25"/>
      <c r="E490" s="25"/>
      <c r="F490" s="31"/>
      <c r="G490" s="34">
        <f>SUMIFS('BASE EXEC. Q.L'!N:N,'BASE EXEC. Q.L'!B:B,VOOS!A490)</f>
        <v>0</v>
      </c>
      <c r="H490" s="15" t="str">
        <f>IFERROR(_xlfn.XLOOKUP(A490,'BASE SQL PLANTIO'!B:B,'BASE SQL PLANTIO'!T:T,"verificar",0),"")</f>
        <v/>
      </c>
      <c r="I490" s="77" t="str">
        <f>IF(_xlfn.MINIFS('BASE SQL PLANTIO'!E:E,'BASE SQL PLANTIO'!B:B,VOOS!A490)=0/1/1900,"",_xlfn.MINIFS('BASE SQL PLANTIO'!E:E,'BASE SQL PLANTIO'!B:B,VOOS!A490))</f>
        <v/>
      </c>
      <c r="J490" s="26"/>
      <c r="K490" s="34" t="str">
        <f t="shared" si="22"/>
        <v/>
      </c>
      <c r="L490" s="35" t="str">
        <f t="shared" si="23"/>
        <v/>
      </c>
      <c r="M490" s="14"/>
      <c r="N490" s="16"/>
    </row>
    <row r="491" spans="1:14" ht="15.6" x14ac:dyDescent="0.3">
      <c r="A491" s="13" t="str">
        <f t="shared" si="21"/>
        <v>-</v>
      </c>
      <c r="B491" s="27"/>
      <c r="C491" s="26"/>
      <c r="D491" s="26"/>
      <c r="E491" s="26"/>
      <c r="F491" s="26"/>
      <c r="G491" s="34">
        <f>SUMIFS('BASE EXEC. Q.L'!N:N,'BASE EXEC. Q.L'!B:B,VOOS!A491)</f>
        <v>0</v>
      </c>
      <c r="H491" s="15" t="str">
        <f>IFERROR(_xlfn.XLOOKUP(A491,'BASE SQL PLANTIO'!B:B,'BASE SQL PLANTIO'!T:T,"verificar",0),"")</f>
        <v/>
      </c>
      <c r="I491" s="77" t="str">
        <f>IF(_xlfn.MINIFS('BASE SQL PLANTIO'!E:E,'BASE SQL PLANTIO'!B:B,VOOS!A491)=0/1/1900,"",_xlfn.MINIFS('BASE SQL PLANTIO'!E:E,'BASE SQL PLANTIO'!B:B,VOOS!A491))</f>
        <v/>
      </c>
      <c r="J491" s="26"/>
      <c r="K491" s="34" t="str">
        <f t="shared" si="22"/>
        <v/>
      </c>
      <c r="L491" s="35" t="str">
        <f t="shared" si="23"/>
        <v/>
      </c>
      <c r="M491" s="14"/>
      <c r="N491" s="16"/>
    </row>
    <row r="492" spans="1:14" ht="15.6" x14ac:dyDescent="0.3">
      <c r="A492" s="13" t="str">
        <f t="shared" si="21"/>
        <v>-</v>
      </c>
      <c r="B492" s="27"/>
      <c r="C492" s="26"/>
      <c r="D492" s="26"/>
      <c r="E492" s="26"/>
      <c r="F492" s="26"/>
      <c r="G492" s="34">
        <f>SUMIFS('BASE EXEC. Q.L'!N:N,'BASE EXEC. Q.L'!B:B,VOOS!A492)</f>
        <v>0</v>
      </c>
      <c r="H492" s="15" t="str">
        <f>IFERROR(_xlfn.XLOOKUP(A492,'BASE SQL PLANTIO'!B:B,'BASE SQL PLANTIO'!T:T,"verificar",0),"")</f>
        <v/>
      </c>
      <c r="I492" s="77" t="str">
        <f>IF(_xlfn.MINIFS('BASE SQL PLANTIO'!E:E,'BASE SQL PLANTIO'!B:B,VOOS!A492)=0/1/1900,"",_xlfn.MINIFS('BASE SQL PLANTIO'!E:E,'BASE SQL PLANTIO'!B:B,VOOS!A492))</f>
        <v/>
      </c>
      <c r="J492" s="26"/>
      <c r="K492" s="34" t="str">
        <f t="shared" si="22"/>
        <v/>
      </c>
      <c r="L492" s="35" t="str">
        <f t="shared" si="23"/>
        <v/>
      </c>
      <c r="M492" s="14"/>
      <c r="N492" s="16"/>
    </row>
    <row r="493" spans="1:14" ht="15.6" x14ac:dyDescent="0.3">
      <c r="A493" s="13" t="str">
        <f t="shared" si="21"/>
        <v>-</v>
      </c>
      <c r="B493" s="27"/>
      <c r="C493" s="26"/>
      <c r="D493" s="26"/>
      <c r="E493" s="26"/>
      <c r="F493" s="26"/>
      <c r="G493" s="34">
        <f>SUMIFS('BASE EXEC. Q.L'!N:N,'BASE EXEC. Q.L'!B:B,VOOS!A493)</f>
        <v>0</v>
      </c>
      <c r="H493" s="15" t="str">
        <f>IFERROR(_xlfn.XLOOKUP(A493,'BASE SQL PLANTIO'!B:B,'BASE SQL PLANTIO'!T:T,"verificar",0),"")</f>
        <v/>
      </c>
      <c r="I493" s="77" t="str">
        <f>IF(_xlfn.MINIFS('BASE SQL PLANTIO'!E:E,'BASE SQL PLANTIO'!B:B,VOOS!A493)=0/1/1900,"",_xlfn.MINIFS('BASE SQL PLANTIO'!E:E,'BASE SQL PLANTIO'!B:B,VOOS!A493))</f>
        <v/>
      </c>
      <c r="J493" s="26"/>
      <c r="K493" s="34" t="str">
        <f t="shared" si="22"/>
        <v/>
      </c>
      <c r="L493" s="35" t="str">
        <f t="shared" si="23"/>
        <v/>
      </c>
      <c r="M493" s="14"/>
      <c r="N493" s="16"/>
    </row>
    <row r="494" spans="1:14" ht="15.6" x14ac:dyDescent="0.3">
      <c r="A494" s="13" t="str">
        <f t="shared" si="21"/>
        <v>-</v>
      </c>
      <c r="B494" s="27"/>
      <c r="C494" s="26"/>
      <c r="D494" s="26"/>
      <c r="E494" s="26"/>
      <c r="F494" s="26"/>
      <c r="G494" s="34">
        <f>SUMIFS('BASE EXEC. Q.L'!N:N,'BASE EXEC. Q.L'!B:B,VOOS!A494)</f>
        <v>0</v>
      </c>
      <c r="H494" s="15" t="str">
        <f>IFERROR(_xlfn.XLOOKUP(A494,'BASE SQL PLANTIO'!B:B,'BASE SQL PLANTIO'!T:T,"verificar",0),"")</f>
        <v/>
      </c>
      <c r="I494" s="77" t="str">
        <f>IF(_xlfn.MINIFS('BASE SQL PLANTIO'!E:E,'BASE SQL PLANTIO'!B:B,VOOS!A494)=0/1/1900,"",_xlfn.MINIFS('BASE SQL PLANTIO'!E:E,'BASE SQL PLANTIO'!B:B,VOOS!A494))</f>
        <v/>
      </c>
      <c r="J494" s="26"/>
      <c r="K494" s="34" t="str">
        <f t="shared" si="22"/>
        <v/>
      </c>
      <c r="L494" s="35" t="str">
        <f t="shared" si="23"/>
        <v/>
      </c>
      <c r="M494" s="14"/>
      <c r="N494" s="16"/>
    </row>
    <row r="495" spans="1:14" ht="15.6" x14ac:dyDescent="0.3">
      <c r="A495" s="13" t="str">
        <f t="shared" si="21"/>
        <v>-</v>
      </c>
      <c r="B495" s="27"/>
      <c r="C495" s="26"/>
      <c r="D495" s="26"/>
      <c r="E495" s="26"/>
      <c r="F495" s="26"/>
      <c r="G495" s="34">
        <f>SUMIFS('BASE EXEC. Q.L'!N:N,'BASE EXEC. Q.L'!B:B,VOOS!A495)</f>
        <v>0</v>
      </c>
      <c r="H495" s="15" t="str">
        <f>IFERROR(_xlfn.XLOOKUP(A495,'BASE SQL PLANTIO'!B:B,'BASE SQL PLANTIO'!T:T,"verificar",0),"")</f>
        <v/>
      </c>
      <c r="I495" s="77" t="str">
        <f>IF(_xlfn.MINIFS('BASE SQL PLANTIO'!E:E,'BASE SQL PLANTIO'!B:B,VOOS!A495)=0/1/1900,"",_xlfn.MINIFS('BASE SQL PLANTIO'!E:E,'BASE SQL PLANTIO'!B:B,VOOS!A495))</f>
        <v/>
      </c>
      <c r="J495" s="26"/>
      <c r="K495" s="34" t="str">
        <f t="shared" si="22"/>
        <v/>
      </c>
      <c r="L495" s="35" t="str">
        <f t="shared" si="23"/>
        <v/>
      </c>
      <c r="M495" s="14"/>
      <c r="N495" s="16"/>
    </row>
    <row r="496" spans="1:14" ht="15.6" x14ac:dyDescent="0.3">
      <c r="A496" s="13" t="str">
        <f t="shared" si="21"/>
        <v>-</v>
      </c>
      <c r="B496" s="27"/>
      <c r="C496" s="26"/>
      <c r="D496" s="26"/>
      <c r="E496" s="26"/>
      <c r="F496" s="26"/>
      <c r="G496" s="34">
        <f>SUMIFS('BASE EXEC. Q.L'!N:N,'BASE EXEC. Q.L'!B:B,VOOS!A496)</f>
        <v>0</v>
      </c>
      <c r="H496" s="15" t="str">
        <f>IFERROR(_xlfn.XLOOKUP(A496,'BASE SQL PLANTIO'!B:B,'BASE SQL PLANTIO'!T:T,"verificar",0),"")</f>
        <v/>
      </c>
      <c r="I496" s="77" t="str">
        <f>IF(_xlfn.MINIFS('BASE SQL PLANTIO'!E:E,'BASE SQL PLANTIO'!B:B,VOOS!A496)=0/1/1900,"",_xlfn.MINIFS('BASE SQL PLANTIO'!E:E,'BASE SQL PLANTIO'!B:B,VOOS!A496))</f>
        <v/>
      </c>
      <c r="J496" s="26"/>
      <c r="K496" s="34" t="str">
        <f t="shared" si="22"/>
        <v/>
      </c>
      <c r="L496" s="35" t="str">
        <f t="shared" si="23"/>
        <v/>
      </c>
      <c r="M496" s="14"/>
      <c r="N496" s="16"/>
    </row>
    <row r="497" spans="1:14" ht="15.6" x14ac:dyDescent="0.3">
      <c r="A497" s="13" t="str">
        <f t="shared" si="21"/>
        <v>-</v>
      </c>
      <c r="B497" s="27"/>
      <c r="C497" s="26"/>
      <c r="D497" s="26"/>
      <c r="E497" s="26"/>
      <c r="F497" s="26"/>
      <c r="G497" s="34">
        <f>SUMIFS('BASE EXEC. Q.L'!N:N,'BASE EXEC. Q.L'!B:B,VOOS!A497)</f>
        <v>0</v>
      </c>
      <c r="H497" s="15" t="str">
        <f>IFERROR(_xlfn.XLOOKUP(A497,'BASE SQL PLANTIO'!B:B,'BASE SQL PLANTIO'!T:T,"verificar",0),"")</f>
        <v/>
      </c>
      <c r="I497" s="77" t="str">
        <f>IF(_xlfn.MINIFS('BASE SQL PLANTIO'!E:E,'BASE SQL PLANTIO'!B:B,VOOS!A497)=0/1/1900,"",_xlfn.MINIFS('BASE SQL PLANTIO'!E:E,'BASE SQL PLANTIO'!B:B,VOOS!A497))</f>
        <v/>
      </c>
      <c r="J497" s="26"/>
      <c r="K497" s="34" t="str">
        <f t="shared" si="22"/>
        <v/>
      </c>
      <c r="L497" s="35" t="str">
        <f t="shared" si="23"/>
        <v/>
      </c>
      <c r="M497" s="14"/>
      <c r="N497" s="16"/>
    </row>
    <row r="498" spans="1:14" ht="15.6" x14ac:dyDescent="0.3">
      <c r="A498" s="13" t="str">
        <f t="shared" si="21"/>
        <v>-</v>
      </c>
      <c r="B498" s="27"/>
      <c r="C498" s="26"/>
      <c r="D498" s="26"/>
      <c r="E498" s="26"/>
      <c r="F498" s="26"/>
      <c r="G498" s="34">
        <f>SUMIFS('BASE EXEC. Q.L'!N:N,'BASE EXEC. Q.L'!B:B,VOOS!A498)</f>
        <v>0</v>
      </c>
      <c r="H498" s="15" t="str">
        <f>IFERROR(_xlfn.XLOOKUP(A498,'BASE SQL PLANTIO'!B:B,'BASE SQL PLANTIO'!T:T,"verificar",0),"")</f>
        <v/>
      </c>
      <c r="I498" s="77" t="str">
        <f>IF(_xlfn.MINIFS('BASE SQL PLANTIO'!E:E,'BASE SQL PLANTIO'!B:B,VOOS!A498)=0/1/1900,"",_xlfn.MINIFS('BASE SQL PLANTIO'!E:E,'BASE SQL PLANTIO'!B:B,VOOS!A498))</f>
        <v/>
      </c>
      <c r="J498" s="26"/>
      <c r="K498" s="34" t="str">
        <f t="shared" si="22"/>
        <v/>
      </c>
      <c r="L498" s="35" t="str">
        <f t="shared" si="23"/>
        <v/>
      </c>
      <c r="M498" s="14"/>
      <c r="N498" s="16"/>
    </row>
    <row r="499" spans="1:14" ht="15.6" x14ac:dyDescent="0.3">
      <c r="A499" s="13" t="str">
        <f t="shared" si="21"/>
        <v>-</v>
      </c>
      <c r="B499" s="27"/>
      <c r="C499" s="26"/>
      <c r="D499" s="26"/>
      <c r="E499" s="26"/>
      <c r="F499" s="26"/>
      <c r="G499" s="34">
        <f>SUMIFS('BASE EXEC. Q.L'!N:N,'BASE EXEC. Q.L'!B:B,VOOS!A499)</f>
        <v>0</v>
      </c>
      <c r="H499" s="15" t="str">
        <f>IFERROR(_xlfn.XLOOKUP(A499,'BASE SQL PLANTIO'!B:B,'BASE SQL PLANTIO'!T:T,"verificar",0),"")</f>
        <v/>
      </c>
      <c r="I499" s="77" t="str">
        <f>IF(_xlfn.MINIFS('BASE SQL PLANTIO'!E:E,'BASE SQL PLANTIO'!B:B,VOOS!A499)=0/1/1900,"",_xlfn.MINIFS('BASE SQL PLANTIO'!E:E,'BASE SQL PLANTIO'!B:B,VOOS!A499))</f>
        <v/>
      </c>
      <c r="J499" s="26"/>
      <c r="K499" s="34" t="str">
        <f t="shared" si="22"/>
        <v/>
      </c>
      <c r="L499" s="35" t="str">
        <f t="shared" si="23"/>
        <v/>
      </c>
      <c r="M499" s="14"/>
      <c r="N499" s="16"/>
    </row>
    <row r="500" spans="1:14" ht="15.6" x14ac:dyDescent="0.3">
      <c r="A500" s="13" t="str">
        <f t="shared" si="21"/>
        <v>-</v>
      </c>
      <c r="B500" s="27"/>
      <c r="C500" s="26"/>
      <c r="D500" s="26"/>
      <c r="E500" s="26"/>
      <c r="F500" s="26"/>
      <c r="G500" s="34">
        <f>SUMIFS('BASE EXEC. Q.L'!N:N,'BASE EXEC. Q.L'!B:B,VOOS!A500)</f>
        <v>0</v>
      </c>
      <c r="H500" s="15" t="str">
        <f>IFERROR(_xlfn.XLOOKUP(A500,'BASE SQL PLANTIO'!B:B,'BASE SQL PLANTIO'!T:T,"verificar",0),"")</f>
        <v/>
      </c>
      <c r="I500" s="77" t="str">
        <f>IF(_xlfn.MINIFS('BASE SQL PLANTIO'!E:E,'BASE SQL PLANTIO'!B:B,VOOS!A500)=0/1/1900,"",_xlfn.MINIFS('BASE SQL PLANTIO'!E:E,'BASE SQL PLANTIO'!B:B,VOOS!A500))</f>
        <v/>
      </c>
      <c r="J500" s="26"/>
      <c r="K500" s="34" t="str">
        <f t="shared" si="22"/>
        <v/>
      </c>
      <c r="L500" s="35" t="str">
        <f t="shared" si="23"/>
        <v/>
      </c>
      <c r="M500" s="14"/>
      <c r="N500" s="15"/>
    </row>
    <row r="501" spans="1:14" ht="15.6" x14ac:dyDescent="0.3">
      <c r="A501" s="13" t="str">
        <f t="shared" si="21"/>
        <v>-</v>
      </c>
      <c r="B501" s="25"/>
      <c r="C501" s="25"/>
      <c r="D501" s="25"/>
      <c r="E501" s="25"/>
      <c r="F501" s="31"/>
      <c r="G501" s="34">
        <f>SUMIFS('BASE EXEC. Q.L'!N:N,'BASE EXEC. Q.L'!B:B,VOOS!A501)</f>
        <v>0</v>
      </c>
      <c r="H501" s="15" t="str">
        <f>IFERROR(_xlfn.XLOOKUP(A501,'BASE SQL PLANTIO'!B:B,'BASE SQL PLANTIO'!T:T,"verificar",0),"")</f>
        <v/>
      </c>
      <c r="I501" s="77" t="str">
        <f>IF(_xlfn.MINIFS('BASE SQL PLANTIO'!E:E,'BASE SQL PLANTIO'!B:B,VOOS!A501)=0/1/1900,"",_xlfn.MINIFS('BASE SQL PLANTIO'!E:E,'BASE SQL PLANTIO'!B:B,VOOS!A501))</f>
        <v/>
      </c>
      <c r="J501" s="26"/>
      <c r="K501" s="34" t="str">
        <f t="shared" si="22"/>
        <v/>
      </c>
      <c r="L501" s="35" t="str">
        <f t="shared" si="23"/>
        <v/>
      </c>
      <c r="M501" s="14"/>
      <c r="N501" s="16"/>
    </row>
    <row r="502" spans="1:14" ht="15.6" x14ac:dyDescent="0.3">
      <c r="A502" s="13" t="str">
        <f t="shared" si="21"/>
        <v>-</v>
      </c>
      <c r="B502" s="27"/>
      <c r="C502" s="26"/>
      <c r="D502" s="26"/>
      <c r="E502" s="26"/>
      <c r="F502" s="26"/>
      <c r="G502" s="34">
        <f>SUMIFS('BASE EXEC. Q.L'!N:N,'BASE EXEC. Q.L'!B:B,VOOS!A502)</f>
        <v>0</v>
      </c>
      <c r="H502" s="15" t="str">
        <f>IFERROR(_xlfn.XLOOKUP(A502,'BASE SQL PLANTIO'!B:B,'BASE SQL PLANTIO'!T:T,"verificar",0),"")</f>
        <v/>
      </c>
      <c r="I502" s="77" t="str">
        <f>IF(_xlfn.MINIFS('BASE SQL PLANTIO'!E:E,'BASE SQL PLANTIO'!B:B,VOOS!A502)=0/1/1900,"",_xlfn.MINIFS('BASE SQL PLANTIO'!E:E,'BASE SQL PLANTIO'!B:B,VOOS!A502))</f>
        <v/>
      </c>
      <c r="J502" s="26"/>
      <c r="K502" s="34" t="str">
        <f t="shared" si="22"/>
        <v/>
      </c>
      <c r="L502" s="35" t="str">
        <f t="shared" si="23"/>
        <v/>
      </c>
      <c r="M502" s="14"/>
      <c r="N502" s="16"/>
    </row>
    <row r="503" spans="1:14" ht="15.6" x14ac:dyDescent="0.3">
      <c r="A503" s="13" t="str">
        <f t="shared" si="21"/>
        <v>-</v>
      </c>
      <c r="B503" s="27"/>
      <c r="C503" s="26"/>
      <c r="D503" s="26"/>
      <c r="E503" s="26"/>
      <c r="F503" s="26"/>
      <c r="G503" s="34">
        <f>SUMIFS('BASE EXEC. Q.L'!N:N,'BASE EXEC. Q.L'!B:B,VOOS!A503)</f>
        <v>0</v>
      </c>
      <c r="H503" s="15" t="str">
        <f>IFERROR(_xlfn.XLOOKUP(A503,'BASE SQL PLANTIO'!B:B,'BASE SQL PLANTIO'!T:T,"verificar",0),"")</f>
        <v/>
      </c>
      <c r="I503" s="77" t="str">
        <f>IF(_xlfn.MINIFS('BASE SQL PLANTIO'!E:E,'BASE SQL PLANTIO'!B:B,VOOS!A503)=0/1/1900,"",_xlfn.MINIFS('BASE SQL PLANTIO'!E:E,'BASE SQL PLANTIO'!B:B,VOOS!A503))</f>
        <v/>
      </c>
      <c r="J503" s="26"/>
      <c r="K503" s="34" t="str">
        <f t="shared" si="22"/>
        <v/>
      </c>
      <c r="L503" s="35" t="str">
        <f t="shared" si="23"/>
        <v/>
      </c>
      <c r="M503" s="14"/>
      <c r="N503" s="16"/>
    </row>
    <row r="504" spans="1:14" ht="15.6" x14ac:dyDescent="0.3">
      <c r="A504" s="13" t="str">
        <f t="shared" si="21"/>
        <v>-</v>
      </c>
      <c r="B504" s="27"/>
      <c r="C504" s="26"/>
      <c r="D504" s="26"/>
      <c r="E504" s="26"/>
      <c r="F504" s="26"/>
      <c r="G504" s="34">
        <f>SUMIFS('BASE EXEC. Q.L'!N:N,'BASE EXEC. Q.L'!B:B,VOOS!A504)</f>
        <v>0</v>
      </c>
      <c r="H504" s="15" t="str">
        <f>IFERROR(_xlfn.XLOOKUP(A504,'BASE SQL PLANTIO'!B:B,'BASE SQL PLANTIO'!T:T,"verificar",0),"")</f>
        <v/>
      </c>
      <c r="I504" s="77" t="str">
        <f>IF(_xlfn.MINIFS('BASE SQL PLANTIO'!E:E,'BASE SQL PLANTIO'!B:B,VOOS!A504)=0/1/1900,"",_xlfn.MINIFS('BASE SQL PLANTIO'!E:E,'BASE SQL PLANTIO'!B:B,VOOS!A504))</f>
        <v/>
      </c>
      <c r="J504" s="26"/>
      <c r="K504" s="34" t="str">
        <f t="shared" si="22"/>
        <v/>
      </c>
      <c r="L504" s="35" t="str">
        <f t="shared" si="23"/>
        <v/>
      </c>
      <c r="M504" s="14"/>
      <c r="N504" s="16"/>
    </row>
    <row r="505" spans="1:14" ht="15.6" x14ac:dyDescent="0.3">
      <c r="A505" s="13" t="str">
        <f t="shared" si="21"/>
        <v>-</v>
      </c>
      <c r="B505" s="27"/>
      <c r="C505" s="22"/>
      <c r="D505" s="23"/>
      <c r="E505" s="23"/>
      <c r="F505" s="22"/>
      <c r="G505" s="34">
        <f>SUMIFS('BASE EXEC. Q.L'!N:N,'BASE EXEC. Q.L'!B:B,VOOS!A505)</f>
        <v>0</v>
      </c>
      <c r="H505" s="15" t="str">
        <f>IFERROR(_xlfn.XLOOKUP(A505,'BASE SQL PLANTIO'!B:B,'BASE SQL PLANTIO'!T:T,"verificar",0),"")</f>
        <v/>
      </c>
      <c r="I505" s="77" t="str">
        <f>IF(_xlfn.MINIFS('BASE SQL PLANTIO'!E:E,'BASE SQL PLANTIO'!B:B,VOOS!A505)=0/1/1900,"",_xlfn.MINIFS('BASE SQL PLANTIO'!E:E,'BASE SQL PLANTIO'!B:B,VOOS!A505))</f>
        <v/>
      </c>
      <c r="J505" s="22"/>
      <c r="K505" s="34" t="str">
        <f t="shared" si="22"/>
        <v/>
      </c>
      <c r="L505" s="35" t="str">
        <f t="shared" si="23"/>
        <v/>
      </c>
      <c r="M505" s="14"/>
      <c r="N505" s="16"/>
    </row>
    <row r="506" spans="1:14" ht="15.6" x14ac:dyDescent="0.3">
      <c r="A506" s="13" t="str">
        <f t="shared" si="21"/>
        <v>-</v>
      </c>
      <c r="B506" s="25"/>
      <c r="C506" s="25"/>
      <c r="D506" s="25"/>
      <c r="E506" s="25"/>
      <c r="F506" s="31"/>
      <c r="G506" s="34">
        <f>SUMIFS('BASE EXEC. Q.L'!N:N,'BASE EXEC. Q.L'!B:B,VOOS!A506)</f>
        <v>0</v>
      </c>
      <c r="H506" s="15" t="str">
        <f>IFERROR(_xlfn.XLOOKUP(A506,'BASE SQL PLANTIO'!B:B,'BASE SQL PLANTIO'!T:T,"verificar",0),"")</f>
        <v/>
      </c>
      <c r="I506" s="77" t="str">
        <f>IF(_xlfn.MINIFS('BASE SQL PLANTIO'!E:E,'BASE SQL PLANTIO'!B:B,VOOS!A506)=0/1/1900,"",_xlfn.MINIFS('BASE SQL PLANTIO'!E:E,'BASE SQL PLANTIO'!B:B,VOOS!A506))</f>
        <v/>
      </c>
      <c r="J506" s="26"/>
      <c r="K506" s="34" t="str">
        <f t="shared" si="22"/>
        <v/>
      </c>
      <c r="L506" s="35" t="str">
        <f t="shared" si="23"/>
        <v/>
      </c>
      <c r="M506" s="14"/>
      <c r="N506" s="16"/>
    </row>
    <row r="507" spans="1:14" ht="15.6" x14ac:dyDescent="0.3">
      <c r="A507" s="13" t="str">
        <f t="shared" si="21"/>
        <v>-</v>
      </c>
      <c r="B507" s="25"/>
      <c r="C507" s="25"/>
      <c r="D507" s="25"/>
      <c r="E507" s="25"/>
      <c r="F507" s="31"/>
      <c r="G507" s="34">
        <f>SUMIFS('BASE EXEC. Q.L'!N:N,'BASE EXEC. Q.L'!B:B,VOOS!A507)</f>
        <v>0</v>
      </c>
      <c r="H507" s="15" t="str">
        <f>IFERROR(_xlfn.XLOOKUP(A507,'BASE SQL PLANTIO'!B:B,'BASE SQL PLANTIO'!T:T,"verificar",0),"")</f>
        <v/>
      </c>
      <c r="I507" s="77" t="str">
        <f>IF(_xlfn.MINIFS('BASE SQL PLANTIO'!E:E,'BASE SQL PLANTIO'!B:B,VOOS!A507)=0/1/1900,"",_xlfn.MINIFS('BASE SQL PLANTIO'!E:E,'BASE SQL PLANTIO'!B:B,VOOS!A507))</f>
        <v/>
      </c>
      <c r="J507" s="26"/>
      <c r="K507" s="34" t="str">
        <f t="shared" si="22"/>
        <v/>
      </c>
      <c r="L507" s="35" t="str">
        <f t="shared" si="23"/>
        <v/>
      </c>
      <c r="M507" s="14"/>
      <c r="N507" s="16"/>
    </row>
    <row r="508" spans="1:14" ht="15.6" x14ac:dyDescent="0.3">
      <c r="A508" s="13" t="str">
        <f t="shared" si="21"/>
        <v>-</v>
      </c>
      <c r="B508" s="27"/>
      <c r="C508" s="26"/>
      <c r="D508" s="26"/>
      <c r="E508" s="26"/>
      <c r="F508" s="26"/>
      <c r="G508" s="34">
        <f>SUMIFS('BASE EXEC. Q.L'!N:N,'BASE EXEC. Q.L'!B:B,VOOS!A508)</f>
        <v>0</v>
      </c>
      <c r="H508" s="15" t="str">
        <f>IFERROR(_xlfn.XLOOKUP(A508,'BASE SQL PLANTIO'!B:B,'BASE SQL PLANTIO'!T:T,"verificar",0),"")</f>
        <v/>
      </c>
      <c r="I508" s="77" t="str">
        <f>IF(_xlfn.MINIFS('BASE SQL PLANTIO'!E:E,'BASE SQL PLANTIO'!B:B,VOOS!A508)=0/1/1900,"",_xlfn.MINIFS('BASE SQL PLANTIO'!E:E,'BASE SQL PLANTIO'!B:B,VOOS!A508))</f>
        <v/>
      </c>
      <c r="J508" s="26"/>
      <c r="K508" s="34" t="str">
        <f t="shared" si="22"/>
        <v/>
      </c>
      <c r="L508" s="35" t="str">
        <f t="shared" si="23"/>
        <v/>
      </c>
      <c r="M508" s="14"/>
      <c r="N508" s="16"/>
    </row>
    <row r="509" spans="1:14" ht="15.6" x14ac:dyDescent="0.3">
      <c r="A509" s="13" t="str">
        <f t="shared" si="21"/>
        <v>-</v>
      </c>
      <c r="B509" s="27"/>
      <c r="C509" s="26"/>
      <c r="D509" s="26"/>
      <c r="E509" s="26"/>
      <c r="F509" s="26"/>
      <c r="G509" s="34">
        <f>SUMIFS('BASE EXEC. Q.L'!N:N,'BASE EXEC. Q.L'!B:B,VOOS!A509)</f>
        <v>0</v>
      </c>
      <c r="H509" s="15" t="str">
        <f>IFERROR(_xlfn.XLOOKUP(A509,'BASE SQL PLANTIO'!B:B,'BASE SQL PLANTIO'!T:T,"verificar",0),"")</f>
        <v/>
      </c>
      <c r="I509" s="77" t="str">
        <f>IF(_xlfn.MINIFS('BASE SQL PLANTIO'!E:E,'BASE SQL PLANTIO'!B:B,VOOS!A509)=0/1/1900,"",_xlfn.MINIFS('BASE SQL PLANTIO'!E:E,'BASE SQL PLANTIO'!B:B,VOOS!A509))</f>
        <v/>
      </c>
      <c r="J509" s="26"/>
      <c r="K509" s="34" t="str">
        <f t="shared" si="22"/>
        <v/>
      </c>
      <c r="L509" s="35" t="str">
        <f t="shared" si="23"/>
        <v/>
      </c>
      <c r="M509" s="14"/>
      <c r="N509" s="16"/>
    </row>
    <row r="510" spans="1:14" ht="15.6" x14ac:dyDescent="0.3">
      <c r="A510" s="13" t="str">
        <f t="shared" si="21"/>
        <v>-</v>
      </c>
      <c r="B510" s="27"/>
      <c r="C510" s="26"/>
      <c r="D510" s="26"/>
      <c r="E510" s="26"/>
      <c r="F510" s="26"/>
      <c r="G510" s="34">
        <f>SUMIFS('BASE EXEC. Q.L'!N:N,'BASE EXEC. Q.L'!B:B,VOOS!A510)</f>
        <v>0</v>
      </c>
      <c r="H510" s="15" t="str">
        <f>IFERROR(_xlfn.XLOOKUP(A510,'BASE SQL PLANTIO'!B:B,'BASE SQL PLANTIO'!T:T,"verificar",0),"")</f>
        <v/>
      </c>
      <c r="I510" s="77" t="str">
        <f>IF(_xlfn.MINIFS('BASE SQL PLANTIO'!E:E,'BASE SQL PLANTIO'!B:B,VOOS!A510)=0/1/1900,"",_xlfn.MINIFS('BASE SQL PLANTIO'!E:E,'BASE SQL PLANTIO'!B:B,VOOS!A510))</f>
        <v/>
      </c>
      <c r="J510" s="26"/>
      <c r="K510" s="34" t="str">
        <f t="shared" si="22"/>
        <v/>
      </c>
      <c r="L510" s="35" t="str">
        <f t="shared" si="23"/>
        <v/>
      </c>
      <c r="M510" s="14"/>
      <c r="N510" s="16"/>
    </row>
    <row r="511" spans="1:14" ht="15.6" x14ac:dyDescent="0.3">
      <c r="A511" s="13" t="str">
        <f t="shared" si="21"/>
        <v>-</v>
      </c>
      <c r="B511" s="25"/>
      <c r="C511" s="25"/>
      <c r="D511" s="25"/>
      <c r="E511" s="25"/>
      <c r="F511" s="31"/>
      <c r="G511" s="34">
        <f>SUMIFS('BASE EXEC. Q.L'!N:N,'BASE EXEC. Q.L'!B:B,VOOS!A511)</f>
        <v>0</v>
      </c>
      <c r="H511" s="15" t="str">
        <f>IFERROR(_xlfn.XLOOKUP(A511,'BASE SQL PLANTIO'!B:B,'BASE SQL PLANTIO'!T:T,"verificar",0),"")</f>
        <v/>
      </c>
      <c r="I511" s="77" t="str">
        <f>IF(_xlfn.MINIFS('BASE SQL PLANTIO'!E:E,'BASE SQL PLANTIO'!B:B,VOOS!A511)=0/1/1900,"",_xlfn.MINIFS('BASE SQL PLANTIO'!E:E,'BASE SQL PLANTIO'!B:B,VOOS!A511))</f>
        <v/>
      </c>
      <c r="J511" s="26"/>
      <c r="K511" s="34" t="str">
        <f t="shared" si="22"/>
        <v/>
      </c>
      <c r="L511" s="35" t="str">
        <f t="shared" si="23"/>
        <v/>
      </c>
      <c r="M511" s="14"/>
      <c r="N511" s="15"/>
    </row>
    <row r="512" spans="1:14" ht="15.6" x14ac:dyDescent="0.3">
      <c r="A512" s="13" t="str">
        <f t="shared" si="21"/>
        <v>-</v>
      </c>
      <c r="B512" s="25"/>
      <c r="C512" s="25"/>
      <c r="D512" s="25"/>
      <c r="E512" s="25"/>
      <c r="F512" s="31"/>
      <c r="G512" s="34">
        <f>SUMIFS('BASE EXEC. Q.L'!N:N,'BASE EXEC. Q.L'!B:B,VOOS!A512)</f>
        <v>0</v>
      </c>
      <c r="H512" s="15" t="str">
        <f>IFERROR(_xlfn.XLOOKUP(A512,'BASE SQL PLANTIO'!B:B,'BASE SQL PLANTIO'!T:T,"verificar",0),"")</f>
        <v/>
      </c>
      <c r="I512" s="77" t="str">
        <f>IF(_xlfn.MINIFS('BASE SQL PLANTIO'!E:E,'BASE SQL PLANTIO'!B:B,VOOS!A512)=0/1/1900,"",_xlfn.MINIFS('BASE SQL PLANTIO'!E:E,'BASE SQL PLANTIO'!B:B,VOOS!A512))</f>
        <v/>
      </c>
      <c r="J512" s="26"/>
      <c r="K512" s="34" t="str">
        <f t="shared" si="22"/>
        <v/>
      </c>
      <c r="L512" s="35" t="str">
        <f t="shared" si="23"/>
        <v/>
      </c>
      <c r="M512" s="14"/>
      <c r="N512" s="16"/>
    </row>
    <row r="513" spans="1:14" ht="15.6" x14ac:dyDescent="0.3">
      <c r="A513" s="13" t="str">
        <f t="shared" si="21"/>
        <v>-</v>
      </c>
      <c r="B513" s="25"/>
      <c r="C513" s="25"/>
      <c r="D513" s="25"/>
      <c r="E513" s="25"/>
      <c r="F513" s="31"/>
      <c r="G513" s="34">
        <f>SUMIFS('BASE EXEC. Q.L'!N:N,'BASE EXEC. Q.L'!B:B,VOOS!A513)</f>
        <v>0</v>
      </c>
      <c r="H513" s="15" t="str">
        <f>IFERROR(_xlfn.XLOOKUP(A513,'BASE SQL PLANTIO'!B:B,'BASE SQL PLANTIO'!T:T,"verificar",0),"")</f>
        <v/>
      </c>
      <c r="I513" s="77" t="str">
        <f>IF(_xlfn.MINIFS('BASE SQL PLANTIO'!E:E,'BASE SQL PLANTIO'!B:B,VOOS!A513)=0/1/1900,"",_xlfn.MINIFS('BASE SQL PLANTIO'!E:E,'BASE SQL PLANTIO'!B:B,VOOS!A513))</f>
        <v/>
      </c>
      <c r="J513" s="26"/>
      <c r="K513" s="34" t="str">
        <f t="shared" si="22"/>
        <v/>
      </c>
      <c r="L513" s="35" t="str">
        <f t="shared" si="23"/>
        <v/>
      </c>
      <c r="M513" s="14"/>
      <c r="N513" s="16"/>
    </row>
    <row r="514" spans="1:14" ht="15.6" x14ac:dyDescent="0.3">
      <c r="A514" s="13" t="str">
        <f t="shared" si="21"/>
        <v>-</v>
      </c>
      <c r="B514" s="27"/>
      <c r="C514" s="26"/>
      <c r="D514" s="26"/>
      <c r="E514" s="26"/>
      <c r="F514" s="26"/>
      <c r="G514" s="34">
        <f>SUMIFS('BASE EXEC. Q.L'!N:N,'BASE EXEC. Q.L'!B:B,VOOS!A514)</f>
        <v>0</v>
      </c>
      <c r="H514" s="15" t="str">
        <f>IFERROR(_xlfn.XLOOKUP(A514,'BASE SQL PLANTIO'!B:B,'BASE SQL PLANTIO'!T:T,"verificar",0),"")</f>
        <v/>
      </c>
      <c r="I514" s="77" t="str">
        <f>IF(_xlfn.MINIFS('BASE SQL PLANTIO'!E:E,'BASE SQL PLANTIO'!B:B,VOOS!A514)=0/1/1900,"",_xlfn.MINIFS('BASE SQL PLANTIO'!E:E,'BASE SQL PLANTIO'!B:B,VOOS!A514))</f>
        <v/>
      </c>
      <c r="J514" s="26"/>
      <c r="K514" s="34" t="str">
        <f t="shared" si="22"/>
        <v/>
      </c>
      <c r="L514" s="35" t="str">
        <f t="shared" si="23"/>
        <v/>
      </c>
      <c r="M514" s="14"/>
      <c r="N514" s="16"/>
    </row>
    <row r="515" spans="1:14" ht="15.6" x14ac:dyDescent="0.3">
      <c r="A515" s="13" t="str">
        <f t="shared" si="21"/>
        <v>-</v>
      </c>
      <c r="B515" s="27"/>
      <c r="C515" s="26"/>
      <c r="D515" s="26"/>
      <c r="E515" s="26"/>
      <c r="F515" s="26"/>
      <c r="G515" s="34">
        <f>SUMIFS('BASE EXEC. Q.L'!N:N,'BASE EXEC. Q.L'!B:B,VOOS!A515)</f>
        <v>0</v>
      </c>
      <c r="H515" s="15" t="str">
        <f>IFERROR(_xlfn.XLOOKUP(A515,'BASE SQL PLANTIO'!B:B,'BASE SQL PLANTIO'!T:T,"verificar",0),"")</f>
        <v/>
      </c>
      <c r="I515" s="77" t="str">
        <f>IF(_xlfn.MINIFS('BASE SQL PLANTIO'!E:E,'BASE SQL PLANTIO'!B:B,VOOS!A515)=0/1/1900,"",_xlfn.MINIFS('BASE SQL PLANTIO'!E:E,'BASE SQL PLANTIO'!B:B,VOOS!A515))</f>
        <v/>
      </c>
      <c r="J515" s="26"/>
      <c r="K515" s="34" t="str">
        <f t="shared" si="22"/>
        <v/>
      </c>
      <c r="L515" s="35" t="str">
        <f t="shared" si="23"/>
        <v/>
      </c>
      <c r="M515" s="14"/>
      <c r="N515" s="16"/>
    </row>
    <row r="516" spans="1:14" ht="15.6" x14ac:dyDescent="0.3">
      <c r="A516" s="13" t="str">
        <f t="shared" si="21"/>
        <v>-</v>
      </c>
      <c r="B516" s="27"/>
      <c r="C516" s="26"/>
      <c r="D516" s="26"/>
      <c r="E516" s="26"/>
      <c r="F516" s="26"/>
      <c r="G516" s="34">
        <f>SUMIFS('BASE EXEC. Q.L'!N:N,'BASE EXEC. Q.L'!B:B,VOOS!A516)</f>
        <v>0</v>
      </c>
      <c r="H516" s="15" t="str">
        <f>IFERROR(_xlfn.XLOOKUP(A516,'BASE SQL PLANTIO'!B:B,'BASE SQL PLANTIO'!T:T,"verificar",0),"")</f>
        <v/>
      </c>
      <c r="I516" s="77" t="str">
        <f>IF(_xlfn.MINIFS('BASE SQL PLANTIO'!E:E,'BASE SQL PLANTIO'!B:B,VOOS!A516)=0/1/1900,"",_xlfn.MINIFS('BASE SQL PLANTIO'!E:E,'BASE SQL PLANTIO'!B:B,VOOS!A516))</f>
        <v/>
      </c>
      <c r="J516" s="26"/>
      <c r="K516" s="34" t="str">
        <f t="shared" si="22"/>
        <v/>
      </c>
      <c r="L516" s="35" t="str">
        <f t="shared" si="23"/>
        <v/>
      </c>
      <c r="M516" s="14"/>
      <c r="N516" s="16"/>
    </row>
    <row r="517" spans="1:14" ht="15.6" x14ac:dyDescent="0.3">
      <c r="A517" s="13" t="str">
        <f t="shared" ref="A517:A580" si="24">CONCATENATE(B517,"-",E517)</f>
        <v>-</v>
      </c>
      <c r="B517" s="27"/>
      <c r="C517" s="26"/>
      <c r="D517" s="26"/>
      <c r="E517" s="26"/>
      <c r="F517" s="26"/>
      <c r="G517" s="34">
        <f>SUMIFS('BASE EXEC. Q.L'!N:N,'BASE EXEC. Q.L'!B:B,VOOS!A517)</f>
        <v>0</v>
      </c>
      <c r="H517" s="15" t="str">
        <f>IFERROR(_xlfn.XLOOKUP(A517,'BASE SQL PLANTIO'!B:B,'BASE SQL PLANTIO'!T:T,"verificar",0),"")</f>
        <v/>
      </c>
      <c r="I517" s="77" t="str">
        <f>IF(_xlfn.MINIFS('BASE SQL PLANTIO'!E:E,'BASE SQL PLANTIO'!B:B,VOOS!A517)=0/1/1900,"",_xlfn.MINIFS('BASE SQL PLANTIO'!E:E,'BASE SQL PLANTIO'!B:B,VOOS!A517))</f>
        <v/>
      </c>
      <c r="J517" s="26"/>
      <c r="K517" s="34" t="str">
        <f t="shared" ref="K517:K580" si="25">IF(I517="","",$K$3-I517)</f>
        <v/>
      </c>
      <c r="L517" s="35" t="str">
        <f t="shared" ref="L517:L580" si="26">K517</f>
        <v/>
      </c>
      <c r="M517" s="14"/>
      <c r="N517" s="16"/>
    </row>
    <row r="518" spans="1:14" ht="15.6" x14ac:dyDescent="0.3">
      <c r="A518" s="13" t="str">
        <f t="shared" si="24"/>
        <v>-</v>
      </c>
      <c r="B518" s="27"/>
      <c r="C518" s="26"/>
      <c r="D518" s="26"/>
      <c r="E518" s="26"/>
      <c r="F518" s="26"/>
      <c r="G518" s="34">
        <f>SUMIFS('BASE EXEC. Q.L'!N:N,'BASE EXEC. Q.L'!B:B,VOOS!A518)</f>
        <v>0</v>
      </c>
      <c r="H518" s="15" t="str">
        <f>IFERROR(_xlfn.XLOOKUP(A518,'BASE SQL PLANTIO'!B:B,'BASE SQL PLANTIO'!T:T,"verificar",0),"")</f>
        <v/>
      </c>
      <c r="I518" s="77" t="str">
        <f>IF(_xlfn.MINIFS('BASE SQL PLANTIO'!E:E,'BASE SQL PLANTIO'!B:B,VOOS!A518)=0/1/1900,"",_xlfn.MINIFS('BASE SQL PLANTIO'!E:E,'BASE SQL PLANTIO'!B:B,VOOS!A518))</f>
        <v/>
      </c>
      <c r="J518" s="26"/>
      <c r="K518" s="34" t="str">
        <f t="shared" si="25"/>
        <v/>
      </c>
      <c r="L518" s="35" t="str">
        <f t="shared" si="26"/>
        <v/>
      </c>
      <c r="M518" s="14"/>
      <c r="N518" s="16"/>
    </row>
    <row r="519" spans="1:14" ht="15.6" x14ac:dyDescent="0.3">
      <c r="A519" s="13" t="str">
        <f t="shared" si="24"/>
        <v>-</v>
      </c>
      <c r="B519" s="25"/>
      <c r="C519" s="25"/>
      <c r="D519" s="25"/>
      <c r="E519" s="25"/>
      <c r="F519" s="31"/>
      <c r="G519" s="34">
        <f>SUMIFS('BASE EXEC. Q.L'!N:N,'BASE EXEC. Q.L'!B:B,VOOS!A519)</f>
        <v>0</v>
      </c>
      <c r="H519" s="15" t="str">
        <f>IFERROR(_xlfn.XLOOKUP(A519,'BASE SQL PLANTIO'!B:B,'BASE SQL PLANTIO'!T:T,"verificar",0),"")</f>
        <v/>
      </c>
      <c r="I519" s="77" t="str">
        <f>IF(_xlfn.MINIFS('BASE SQL PLANTIO'!E:E,'BASE SQL PLANTIO'!B:B,VOOS!A519)=0/1/1900,"",_xlfn.MINIFS('BASE SQL PLANTIO'!E:E,'BASE SQL PLANTIO'!B:B,VOOS!A519))</f>
        <v/>
      </c>
      <c r="J519" s="26"/>
      <c r="K519" s="34" t="str">
        <f t="shared" si="25"/>
        <v/>
      </c>
      <c r="L519" s="35" t="str">
        <f t="shared" si="26"/>
        <v/>
      </c>
      <c r="M519" s="14"/>
      <c r="N519" s="16"/>
    </row>
    <row r="520" spans="1:14" ht="15.6" x14ac:dyDescent="0.3">
      <c r="A520" s="13" t="str">
        <f t="shared" si="24"/>
        <v>-</v>
      </c>
      <c r="B520" s="25"/>
      <c r="C520" s="25"/>
      <c r="D520" s="25"/>
      <c r="E520" s="25"/>
      <c r="F520" s="31"/>
      <c r="G520" s="34">
        <f>SUMIFS('BASE EXEC. Q.L'!N:N,'BASE EXEC. Q.L'!B:B,VOOS!A520)</f>
        <v>0</v>
      </c>
      <c r="H520" s="15" t="str">
        <f>IFERROR(_xlfn.XLOOKUP(A520,'BASE SQL PLANTIO'!B:B,'BASE SQL PLANTIO'!T:T,"verificar",0),"")</f>
        <v/>
      </c>
      <c r="I520" s="77" t="str">
        <f>IF(_xlfn.MINIFS('BASE SQL PLANTIO'!E:E,'BASE SQL PLANTIO'!B:B,VOOS!A520)=0/1/1900,"",_xlfn.MINIFS('BASE SQL PLANTIO'!E:E,'BASE SQL PLANTIO'!B:B,VOOS!A520))</f>
        <v/>
      </c>
      <c r="J520" s="26"/>
      <c r="K520" s="34" t="str">
        <f t="shared" si="25"/>
        <v/>
      </c>
      <c r="L520" s="35" t="str">
        <f t="shared" si="26"/>
        <v/>
      </c>
      <c r="M520" s="14"/>
      <c r="N520" s="16"/>
    </row>
    <row r="521" spans="1:14" ht="15.6" x14ac:dyDescent="0.3">
      <c r="A521" s="13" t="str">
        <f t="shared" si="24"/>
        <v>-</v>
      </c>
      <c r="B521" s="27"/>
      <c r="C521" s="26"/>
      <c r="D521" s="26"/>
      <c r="E521" s="26"/>
      <c r="F521" s="26"/>
      <c r="G521" s="34">
        <f>SUMIFS('BASE EXEC. Q.L'!N:N,'BASE EXEC. Q.L'!B:B,VOOS!A521)</f>
        <v>0</v>
      </c>
      <c r="H521" s="15" t="str">
        <f>IFERROR(_xlfn.XLOOKUP(A521,'BASE SQL PLANTIO'!B:B,'BASE SQL PLANTIO'!T:T,"verificar",0),"")</f>
        <v/>
      </c>
      <c r="I521" s="77" t="str">
        <f>IF(_xlfn.MINIFS('BASE SQL PLANTIO'!E:E,'BASE SQL PLANTIO'!B:B,VOOS!A521)=0/1/1900,"",_xlfn.MINIFS('BASE SQL PLANTIO'!E:E,'BASE SQL PLANTIO'!B:B,VOOS!A521))</f>
        <v/>
      </c>
      <c r="J521" s="26"/>
      <c r="K521" s="34" t="str">
        <f t="shared" si="25"/>
        <v/>
      </c>
      <c r="L521" s="35" t="str">
        <f t="shared" si="26"/>
        <v/>
      </c>
      <c r="M521" s="14"/>
      <c r="N521" s="16"/>
    </row>
    <row r="522" spans="1:14" ht="15.6" x14ac:dyDescent="0.3">
      <c r="A522" s="13" t="str">
        <f t="shared" si="24"/>
        <v>-</v>
      </c>
      <c r="B522" s="27"/>
      <c r="C522" s="26"/>
      <c r="D522" s="26"/>
      <c r="E522" s="26"/>
      <c r="F522" s="26"/>
      <c r="G522" s="34">
        <f>SUMIFS('BASE EXEC. Q.L'!N:N,'BASE EXEC. Q.L'!B:B,VOOS!A522)</f>
        <v>0</v>
      </c>
      <c r="H522" s="15" t="str">
        <f>IFERROR(_xlfn.XLOOKUP(A522,'BASE SQL PLANTIO'!B:B,'BASE SQL PLANTIO'!T:T,"verificar",0),"")</f>
        <v/>
      </c>
      <c r="I522" s="77" t="str">
        <f>IF(_xlfn.MINIFS('BASE SQL PLANTIO'!E:E,'BASE SQL PLANTIO'!B:B,VOOS!A522)=0/1/1900,"",_xlfn.MINIFS('BASE SQL PLANTIO'!E:E,'BASE SQL PLANTIO'!B:B,VOOS!A522))</f>
        <v/>
      </c>
      <c r="J522" s="26"/>
      <c r="K522" s="34" t="str">
        <f t="shared" si="25"/>
        <v/>
      </c>
      <c r="L522" s="35" t="str">
        <f t="shared" si="26"/>
        <v/>
      </c>
      <c r="M522" s="14"/>
      <c r="N522" s="15"/>
    </row>
    <row r="523" spans="1:14" ht="15.6" x14ac:dyDescent="0.3">
      <c r="A523" s="13" t="str">
        <f t="shared" si="24"/>
        <v>-</v>
      </c>
      <c r="B523" s="27"/>
      <c r="C523" s="26"/>
      <c r="D523" s="26"/>
      <c r="E523" s="26"/>
      <c r="F523" s="26"/>
      <c r="G523" s="34">
        <f>SUMIFS('BASE EXEC. Q.L'!N:N,'BASE EXEC. Q.L'!B:B,VOOS!A523)</f>
        <v>0</v>
      </c>
      <c r="H523" s="15" t="str">
        <f>IFERROR(_xlfn.XLOOKUP(A523,'BASE SQL PLANTIO'!B:B,'BASE SQL PLANTIO'!T:T,"verificar",0),"")</f>
        <v/>
      </c>
      <c r="I523" s="77" t="str">
        <f>IF(_xlfn.MINIFS('BASE SQL PLANTIO'!E:E,'BASE SQL PLANTIO'!B:B,VOOS!A523)=0/1/1900,"",_xlfn.MINIFS('BASE SQL PLANTIO'!E:E,'BASE SQL PLANTIO'!B:B,VOOS!A523))</f>
        <v/>
      </c>
      <c r="J523" s="26"/>
      <c r="K523" s="34" t="str">
        <f t="shared" si="25"/>
        <v/>
      </c>
      <c r="L523" s="35" t="str">
        <f t="shared" si="26"/>
        <v/>
      </c>
      <c r="M523" s="14"/>
      <c r="N523" s="16"/>
    </row>
    <row r="524" spans="1:14" ht="15.6" x14ac:dyDescent="0.3">
      <c r="A524" s="13" t="str">
        <f t="shared" si="24"/>
        <v>-</v>
      </c>
      <c r="B524" s="27"/>
      <c r="C524" s="26"/>
      <c r="D524" s="26"/>
      <c r="E524" s="26"/>
      <c r="F524" s="26"/>
      <c r="G524" s="34">
        <f>SUMIFS('BASE EXEC. Q.L'!N:N,'BASE EXEC. Q.L'!B:B,VOOS!A524)</f>
        <v>0</v>
      </c>
      <c r="H524" s="15" t="str">
        <f>IFERROR(_xlfn.XLOOKUP(A524,'BASE SQL PLANTIO'!B:B,'BASE SQL PLANTIO'!T:T,"verificar",0),"")</f>
        <v/>
      </c>
      <c r="I524" s="77" t="str">
        <f>IF(_xlfn.MINIFS('BASE SQL PLANTIO'!E:E,'BASE SQL PLANTIO'!B:B,VOOS!A524)=0/1/1900,"",_xlfn.MINIFS('BASE SQL PLANTIO'!E:E,'BASE SQL PLANTIO'!B:B,VOOS!A524))</f>
        <v/>
      </c>
      <c r="J524" s="26"/>
      <c r="K524" s="34" t="str">
        <f t="shared" si="25"/>
        <v/>
      </c>
      <c r="L524" s="35" t="str">
        <f t="shared" si="26"/>
        <v/>
      </c>
      <c r="M524" s="14"/>
      <c r="N524" s="16"/>
    </row>
    <row r="525" spans="1:14" ht="15.6" x14ac:dyDescent="0.3">
      <c r="A525" s="13" t="str">
        <f t="shared" si="24"/>
        <v>-</v>
      </c>
      <c r="B525" s="27"/>
      <c r="C525" s="26"/>
      <c r="D525" s="26"/>
      <c r="E525" s="26"/>
      <c r="F525" s="26"/>
      <c r="G525" s="34">
        <f>SUMIFS('BASE EXEC. Q.L'!N:N,'BASE EXEC. Q.L'!B:B,VOOS!A525)</f>
        <v>0</v>
      </c>
      <c r="H525" s="15" t="str">
        <f>IFERROR(_xlfn.XLOOKUP(A525,'BASE SQL PLANTIO'!B:B,'BASE SQL PLANTIO'!T:T,"verificar",0),"")</f>
        <v/>
      </c>
      <c r="I525" s="77" t="str">
        <f>IF(_xlfn.MINIFS('BASE SQL PLANTIO'!E:E,'BASE SQL PLANTIO'!B:B,VOOS!A525)=0/1/1900,"",_xlfn.MINIFS('BASE SQL PLANTIO'!E:E,'BASE SQL PLANTIO'!B:B,VOOS!A525))</f>
        <v/>
      </c>
      <c r="J525" s="26"/>
      <c r="K525" s="34" t="str">
        <f t="shared" si="25"/>
        <v/>
      </c>
      <c r="L525" s="35" t="str">
        <f t="shared" si="26"/>
        <v/>
      </c>
      <c r="M525" s="14"/>
      <c r="N525" s="15"/>
    </row>
    <row r="526" spans="1:14" ht="15.6" x14ac:dyDescent="0.3">
      <c r="A526" s="13" t="str">
        <f t="shared" si="24"/>
        <v>-</v>
      </c>
      <c r="B526" s="27"/>
      <c r="C526" s="26"/>
      <c r="D526" s="26"/>
      <c r="E526" s="26"/>
      <c r="F526" s="26"/>
      <c r="G526" s="34">
        <f>SUMIFS('BASE EXEC. Q.L'!N:N,'BASE EXEC. Q.L'!B:B,VOOS!A526)</f>
        <v>0</v>
      </c>
      <c r="H526" s="15" t="str">
        <f>IFERROR(_xlfn.XLOOKUP(A526,'BASE SQL PLANTIO'!B:B,'BASE SQL PLANTIO'!T:T,"verificar",0),"")</f>
        <v/>
      </c>
      <c r="I526" s="77" t="str">
        <f>IF(_xlfn.MINIFS('BASE SQL PLANTIO'!E:E,'BASE SQL PLANTIO'!B:B,VOOS!A526)=0/1/1900,"",_xlfn.MINIFS('BASE SQL PLANTIO'!E:E,'BASE SQL PLANTIO'!B:B,VOOS!A526))</f>
        <v/>
      </c>
      <c r="J526" s="26"/>
      <c r="K526" s="34" t="str">
        <f t="shared" si="25"/>
        <v/>
      </c>
      <c r="L526" s="35" t="str">
        <f t="shared" si="26"/>
        <v/>
      </c>
      <c r="M526" s="14"/>
      <c r="N526" s="16"/>
    </row>
    <row r="527" spans="1:14" ht="15.6" x14ac:dyDescent="0.3">
      <c r="A527" s="13" t="str">
        <f t="shared" si="24"/>
        <v>-</v>
      </c>
      <c r="B527" s="25"/>
      <c r="C527" s="25"/>
      <c r="D527" s="25"/>
      <c r="E527" s="25"/>
      <c r="F527" s="31"/>
      <c r="G527" s="34">
        <f>SUMIFS('BASE EXEC. Q.L'!N:N,'BASE EXEC. Q.L'!B:B,VOOS!A527)</f>
        <v>0</v>
      </c>
      <c r="H527" s="15" t="str">
        <f>IFERROR(_xlfn.XLOOKUP(A527,'BASE SQL PLANTIO'!B:B,'BASE SQL PLANTIO'!T:T,"verificar",0),"")</f>
        <v/>
      </c>
      <c r="I527" s="77" t="str">
        <f>IF(_xlfn.MINIFS('BASE SQL PLANTIO'!E:E,'BASE SQL PLANTIO'!B:B,VOOS!A527)=0/1/1900,"",_xlfn.MINIFS('BASE SQL PLANTIO'!E:E,'BASE SQL PLANTIO'!B:B,VOOS!A527))</f>
        <v/>
      </c>
      <c r="J527" s="26"/>
      <c r="K527" s="34" t="str">
        <f t="shared" si="25"/>
        <v/>
      </c>
      <c r="L527" s="35" t="str">
        <f t="shared" si="26"/>
        <v/>
      </c>
      <c r="M527" s="14"/>
      <c r="N527" s="16"/>
    </row>
    <row r="528" spans="1:14" ht="15.6" x14ac:dyDescent="0.3">
      <c r="A528" s="13" t="str">
        <f t="shared" si="24"/>
        <v>-</v>
      </c>
      <c r="B528" s="27"/>
      <c r="C528" s="26"/>
      <c r="D528" s="26"/>
      <c r="E528" s="26"/>
      <c r="F528" s="26"/>
      <c r="G528" s="34">
        <f>SUMIFS('BASE EXEC. Q.L'!N:N,'BASE EXEC. Q.L'!B:B,VOOS!A528)</f>
        <v>0</v>
      </c>
      <c r="H528" s="15" t="str">
        <f>IFERROR(_xlfn.XLOOKUP(A528,'BASE SQL PLANTIO'!B:B,'BASE SQL PLANTIO'!T:T,"verificar",0),"")</f>
        <v/>
      </c>
      <c r="I528" s="77" t="str">
        <f>IF(_xlfn.MINIFS('BASE SQL PLANTIO'!E:E,'BASE SQL PLANTIO'!B:B,VOOS!A528)=0/1/1900,"",_xlfn.MINIFS('BASE SQL PLANTIO'!E:E,'BASE SQL PLANTIO'!B:B,VOOS!A528))</f>
        <v/>
      </c>
      <c r="J528" s="26"/>
      <c r="K528" s="34" t="str">
        <f t="shared" si="25"/>
        <v/>
      </c>
      <c r="L528" s="35" t="str">
        <f t="shared" si="26"/>
        <v/>
      </c>
      <c r="M528" s="14"/>
      <c r="N528" s="16"/>
    </row>
    <row r="529" spans="1:14" ht="15.6" x14ac:dyDescent="0.3">
      <c r="A529" s="13" t="str">
        <f t="shared" si="24"/>
        <v>-</v>
      </c>
      <c r="B529" s="27"/>
      <c r="C529" s="26"/>
      <c r="D529" s="26"/>
      <c r="E529" s="26"/>
      <c r="F529" s="26"/>
      <c r="G529" s="34">
        <f>SUMIFS('BASE EXEC. Q.L'!N:N,'BASE EXEC. Q.L'!B:B,VOOS!A529)</f>
        <v>0</v>
      </c>
      <c r="H529" s="15" t="str">
        <f>IFERROR(_xlfn.XLOOKUP(A529,'BASE SQL PLANTIO'!B:B,'BASE SQL PLANTIO'!T:T,"verificar",0),"")</f>
        <v/>
      </c>
      <c r="I529" s="77" t="str">
        <f>IF(_xlfn.MINIFS('BASE SQL PLANTIO'!E:E,'BASE SQL PLANTIO'!B:B,VOOS!A529)=0/1/1900,"",_xlfn.MINIFS('BASE SQL PLANTIO'!E:E,'BASE SQL PLANTIO'!B:B,VOOS!A529))</f>
        <v/>
      </c>
      <c r="J529" s="26"/>
      <c r="K529" s="34" t="str">
        <f t="shared" si="25"/>
        <v/>
      </c>
      <c r="L529" s="35" t="str">
        <f t="shared" si="26"/>
        <v/>
      </c>
      <c r="M529" s="14"/>
      <c r="N529" s="16"/>
    </row>
    <row r="530" spans="1:14" ht="15.6" x14ac:dyDescent="0.3">
      <c r="A530" s="13" t="str">
        <f t="shared" si="24"/>
        <v>-</v>
      </c>
      <c r="B530" s="27"/>
      <c r="C530" s="26"/>
      <c r="D530" s="26"/>
      <c r="E530" s="26"/>
      <c r="F530" s="26"/>
      <c r="G530" s="34">
        <f>SUMIFS('BASE EXEC. Q.L'!N:N,'BASE EXEC. Q.L'!B:B,VOOS!A530)</f>
        <v>0</v>
      </c>
      <c r="H530" s="15" t="str">
        <f>IFERROR(_xlfn.XLOOKUP(A530,'BASE SQL PLANTIO'!B:B,'BASE SQL PLANTIO'!T:T,"verificar",0),"")</f>
        <v/>
      </c>
      <c r="I530" s="77" t="str">
        <f>IF(_xlfn.MINIFS('BASE SQL PLANTIO'!E:E,'BASE SQL PLANTIO'!B:B,VOOS!A530)=0/1/1900,"",_xlfn.MINIFS('BASE SQL PLANTIO'!E:E,'BASE SQL PLANTIO'!B:B,VOOS!A530))</f>
        <v/>
      </c>
      <c r="J530" s="26"/>
      <c r="K530" s="34" t="str">
        <f t="shared" si="25"/>
        <v/>
      </c>
      <c r="L530" s="35" t="str">
        <f t="shared" si="26"/>
        <v/>
      </c>
      <c r="M530" s="14"/>
      <c r="N530" s="16"/>
    </row>
    <row r="531" spans="1:14" ht="15.6" x14ac:dyDescent="0.3">
      <c r="A531" s="13" t="str">
        <f t="shared" si="24"/>
        <v>-</v>
      </c>
      <c r="B531" s="27"/>
      <c r="C531" s="26"/>
      <c r="D531" s="26"/>
      <c r="E531" s="26"/>
      <c r="F531" s="26"/>
      <c r="G531" s="34">
        <f>SUMIFS('BASE EXEC. Q.L'!N:N,'BASE EXEC. Q.L'!B:B,VOOS!A531)</f>
        <v>0</v>
      </c>
      <c r="H531" s="15" t="str">
        <f>IFERROR(_xlfn.XLOOKUP(A531,'BASE SQL PLANTIO'!B:B,'BASE SQL PLANTIO'!T:T,"verificar",0),"")</f>
        <v/>
      </c>
      <c r="I531" s="77" t="str">
        <f>IF(_xlfn.MINIFS('BASE SQL PLANTIO'!E:E,'BASE SQL PLANTIO'!B:B,VOOS!A531)=0/1/1900,"",_xlfn.MINIFS('BASE SQL PLANTIO'!E:E,'BASE SQL PLANTIO'!B:B,VOOS!A531))</f>
        <v/>
      </c>
      <c r="J531" s="26"/>
      <c r="K531" s="34" t="str">
        <f t="shared" si="25"/>
        <v/>
      </c>
      <c r="L531" s="35" t="str">
        <f t="shared" si="26"/>
        <v/>
      </c>
      <c r="M531" s="14"/>
      <c r="N531" s="16"/>
    </row>
    <row r="532" spans="1:14" ht="15.6" x14ac:dyDescent="0.3">
      <c r="A532" s="13" t="str">
        <f t="shared" si="24"/>
        <v>-</v>
      </c>
      <c r="B532" s="27"/>
      <c r="C532" s="26"/>
      <c r="D532" s="26"/>
      <c r="E532" s="26"/>
      <c r="F532" s="26"/>
      <c r="G532" s="34">
        <f>SUMIFS('BASE EXEC. Q.L'!N:N,'BASE EXEC. Q.L'!B:B,VOOS!A532)</f>
        <v>0</v>
      </c>
      <c r="H532" s="15" t="str">
        <f>IFERROR(_xlfn.XLOOKUP(A532,'BASE SQL PLANTIO'!B:B,'BASE SQL PLANTIO'!T:T,"verificar",0),"")</f>
        <v/>
      </c>
      <c r="I532" s="77" t="str">
        <f>IF(_xlfn.MINIFS('BASE SQL PLANTIO'!E:E,'BASE SQL PLANTIO'!B:B,VOOS!A532)=0/1/1900,"",_xlfn.MINIFS('BASE SQL PLANTIO'!E:E,'BASE SQL PLANTIO'!B:B,VOOS!A532))</f>
        <v/>
      </c>
      <c r="J532" s="26"/>
      <c r="K532" s="34" t="str">
        <f t="shared" si="25"/>
        <v/>
      </c>
      <c r="L532" s="35" t="str">
        <f t="shared" si="26"/>
        <v/>
      </c>
      <c r="M532" s="14"/>
      <c r="N532" s="16"/>
    </row>
    <row r="533" spans="1:14" ht="15.6" x14ac:dyDescent="0.3">
      <c r="A533" s="13" t="str">
        <f t="shared" si="24"/>
        <v>-</v>
      </c>
      <c r="B533" s="27"/>
      <c r="C533" s="26"/>
      <c r="D533" s="26"/>
      <c r="E533" s="26"/>
      <c r="F533" s="26"/>
      <c r="G533" s="34">
        <f>SUMIFS('BASE EXEC. Q.L'!N:N,'BASE EXEC. Q.L'!B:B,VOOS!A533)</f>
        <v>0</v>
      </c>
      <c r="H533" s="15" t="str">
        <f>IFERROR(_xlfn.XLOOKUP(A533,'BASE SQL PLANTIO'!B:B,'BASE SQL PLANTIO'!T:T,"verificar",0),"")</f>
        <v/>
      </c>
      <c r="I533" s="77" t="str">
        <f>IF(_xlfn.MINIFS('BASE SQL PLANTIO'!E:E,'BASE SQL PLANTIO'!B:B,VOOS!A533)=0/1/1900,"",_xlfn.MINIFS('BASE SQL PLANTIO'!E:E,'BASE SQL PLANTIO'!B:B,VOOS!A533))</f>
        <v/>
      </c>
      <c r="J533" s="26"/>
      <c r="K533" s="34" t="str">
        <f t="shared" si="25"/>
        <v/>
      </c>
      <c r="L533" s="35" t="str">
        <f t="shared" si="26"/>
        <v/>
      </c>
      <c r="M533" s="14"/>
      <c r="N533" s="16"/>
    </row>
    <row r="534" spans="1:14" ht="15.6" x14ac:dyDescent="0.3">
      <c r="A534" s="13" t="str">
        <f t="shared" si="24"/>
        <v>-</v>
      </c>
      <c r="B534" s="27"/>
      <c r="C534" s="26"/>
      <c r="D534" s="26"/>
      <c r="E534" s="26"/>
      <c r="F534" s="26"/>
      <c r="G534" s="34">
        <f>SUMIFS('BASE EXEC. Q.L'!N:N,'BASE EXEC. Q.L'!B:B,VOOS!A534)</f>
        <v>0</v>
      </c>
      <c r="H534" s="15" t="str">
        <f>IFERROR(_xlfn.XLOOKUP(A534,'BASE SQL PLANTIO'!B:B,'BASE SQL PLANTIO'!T:T,"verificar",0),"")</f>
        <v/>
      </c>
      <c r="I534" s="77" t="str">
        <f>IF(_xlfn.MINIFS('BASE SQL PLANTIO'!E:E,'BASE SQL PLANTIO'!B:B,VOOS!A534)=0/1/1900,"",_xlfn.MINIFS('BASE SQL PLANTIO'!E:E,'BASE SQL PLANTIO'!B:B,VOOS!A534))</f>
        <v/>
      </c>
      <c r="J534" s="26"/>
      <c r="K534" s="34" t="str">
        <f t="shared" si="25"/>
        <v/>
      </c>
      <c r="L534" s="35" t="str">
        <f t="shared" si="26"/>
        <v/>
      </c>
      <c r="M534" s="14"/>
      <c r="N534" s="16"/>
    </row>
    <row r="535" spans="1:14" ht="15.6" x14ac:dyDescent="0.3">
      <c r="A535" s="13" t="str">
        <f t="shared" si="24"/>
        <v>-</v>
      </c>
      <c r="B535" s="27"/>
      <c r="C535" s="26"/>
      <c r="D535" s="26"/>
      <c r="E535" s="26"/>
      <c r="F535" s="26"/>
      <c r="G535" s="34">
        <f>SUMIFS('BASE EXEC. Q.L'!N:N,'BASE EXEC. Q.L'!B:B,VOOS!A535)</f>
        <v>0</v>
      </c>
      <c r="H535" s="15" t="str">
        <f>IFERROR(_xlfn.XLOOKUP(A535,'BASE SQL PLANTIO'!B:B,'BASE SQL PLANTIO'!T:T,"verificar",0),"")</f>
        <v/>
      </c>
      <c r="I535" s="77" t="str">
        <f>IF(_xlfn.MINIFS('BASE SQL PLANTIO'!E:E,'BASE SQL PLANTIO'!B:B,VOOS!A535)=0/1/1900,"",_xlfn.MINIFS('BASE SQL PLANTIO'!E:E,'BASE SQL PLANTIO'!B:B,VOOS!A535))</f>
        <v/>
      </c>
      <c r="J535" s="26"/>
      <c r="K535" s="34" t="str">
        <f t="shared" si="25"/>
        <v/>
      </c>
      <c r="L535" s="35" t="str">
        <f t="shared" si="26"/>
        <v/>
      </c>
      <c r="M535" s="14"/>
      <c r="N535" s="16"/>
    </row>
    <row r="536" spans="1:14" ht="15.6" x14ac:dyDescent="0.3">
      <c r="A536" s="13" t="str">
        <f t="shared" si="24"/>
        <v>-</v>
      </c>
      <c r="B536" s="27"/>
      <c r="C536" s="26"/>
      <c r="D536" s="26"/>
      <c r="E536" s="26"/>
      <c r="F536" s="26"/>
      <c r="G536" s="34">
        <f>SUMIFS('BASE EXEC. Q.L'!N:N,'BASE EXEC. Q.L'!B:B,VOOS!A536)</f>
        <v>0</v>
      </c>
      <c r="H536" s="15" t="str">
        <f>IFERROR(_xlfn.XLOOKUP(A536,'BASE SQL PLANTIO'!B:B,'BASE SQL PLANTIO'!T:T,"verificar",0),"")</f>
        <v/>
      </c>
      <c r="I536" s="77" t="str">
        <f>IF(_xlfn.MINIFS('BASE SQL PLANTIO'!E:E,'BASE SQL PLANTIO'!B:B,VOOS!A536)=0/1/1900,"",_xlfn.MINIFS('BASE SQL PLANTIO'!E:E,'BASE SQL PLANTIO'!B:B,VOOS!A536))</f>
        <v/>
      </c>
      <c r="J536" s="26"/>
      <c r="K536" s="34" t="str">
        <f t="shared" si="25"/>
        <v/>
      </c>
      <c r="L536" s="35" t="str">
        <f t="shared" si="26"/>
        <v/>
      </c>
      <c r="M536" s="14"/>
      <c r="N536" s="16"/>
    </row>
    <row r="537" spans="1:14" ht="15.6" x14ac:dyDescent="0.3">
      <c r="A537" s="13" t="str">
        <f t="shared" si="24"/>
        <v>-</v>
      </c>
      <c r="B537" s="27"/>
      <c r="C537" s="26"/>
      <c r="D537" s="26"/>
      <c r="E537" s="26"/>
      <c r="F537" s="26"/>
      <c r="G537" s="34">
        <f>SUMIFS('BASE EXEC. Q.L'!N:N,'BASE EXEC. Q.L'!B:B,VOOS!A537)</f>
        <v>0</v>
      </c>
      <c r="H537" s="15" t="str">
        <f>IFERROR(_xlfn.XLOOKUP(A537,'BASE SQL PLANTIO'!B:B,'BASE SQL PLANTIO'!T:T,"verificar",0),"")</f>
        <v/>
      </c>
      <c r="I537" s="77" t="str">
        <f>IF(_xlfn.MINIFS('BASE SQL PLANTIO'!E:E,'BASE SQL PLANTIO'!B:B,VOOS!A537)=0/1/1900,"",_xlfn.MINIFS('BASE SQL PLANTIO'!E:E,'BASE SQL PLANTIO'!B:B,VOOS!A537))</f>
        <v/>
      </c>
      <c r="J537" s="26"/>
      <c r="K537" s="34" t="str">
        <f t="shared" si="25"/>
        <v/>
      </c>
      <c r="L537" s="35" t="str">
        <f t="shared" si="26"/>
        <v/>
      </c>
      <c r="M537" s="14"/>
      <c r="N537" s="15"/>
    </row>
    <row r="538" spans="1:14" ht="15.6" x14ac:dyDescent="0.3">
      <c r="A538" s="13" t="str">
        <f t="shared" si="24"/>
        <v>-</v>
      </c>
      <c r="B538" s="27"/>
      <c r="C538" s="26"/>
      <c r="D538" s="26"/>
      <c r="E538" s="26"/>
      <c r="F538" s="26"/>
      <c r="G538" s="34">
        <f>SUMIFS('BASE EXEC. Q.L'!N:N,'BASE EXEC. Q.L'!B:B,VOOS!A538)</f>
        <v>0</v>
      </c>
      <c r="H538" s="15" t="str">
        <f>IFERROR(_xlfn.XLOOKUP(A538,'BASE SQL PLANTIO'!B:B,'BASE SQL PLANTIO'!T:T,"verificar",0),"")</f>
        <v/>
      </c>
      <c r="I538" s="77" t="str">
        <f>IF(_xlfn.MINIFS('BASE SQL PLANTIO'!E:E,'BASE SQL PLANTIO'!B:B,VOOS!A538)=0/1/1900,"",_xlfn.MINIFS('BASE SQL PLANTIO'!E:E,'BASE SQL PLANTIO'!B:B,VOOS!A538))</f>
        <v/>
      </c>
      <c r="J538" s="26"/>
      <c r="K538" s="34" t="str">
        <f t="shared" si="25"/>
        <v/>
      </c>
      <c r="L538" s="35" t="str">
        <f t="shared" si="26"/>
        <v/>
      </c>
      <c r="M538" s="14"/>
      <c r="N538" s="16"/>
    </row>
    <row r="539" spans="1:14" ht="15.6" x14ac:dyDescent="0.3">
      <c r="A539" s="13" t="str">
        <f t="shared" si="24"/>
        <v>-</v>
      </c>
      <c r="B539" s="27"/>
      <c r="C539" s="26"/>
      <c r="D539" s="26"/>
      <c r="E539" s="26"/>
      <c r="F539" s="26"/>
      <c r="G539" s="34">
        <f>SUMIFS('BASE EXEC. Q.L'!N:N,'BASE EXEC. Q.L'!B:B,VOOS!A539)</f>
        <v>0</v>
      </c>
      <c r="H539" s="15" t="str">
        <f>IFERROR(_xlfn.XLOOKUP(A539,'BASE SQL PLANTIO'!B:B,'BASE SQL PLANTIO'!T:T,"verificar",0),"")</f>
        <v/>
      </c>
      <c r="I539" s="77" t="str">
        <f>IF(_xlfn.MINIFS('BASE SQL PLANTIO'!E:E,'BASE SQL PLANTIO'!B:B,VOOS!A539)=0/1/1900,"",_xlfn.MINIFS('BASE SQL PLANTIO'!E:E,'BASE SQL PLANTIO'!B:B,VOOS!A539))</f>
        <v/>
      </c>
      <c r="J539" s="26"/>
      <c r="K539" s="34" t="str">
        <f t="shared" si="25"/>
        <v/>
      </c>
      <c r="L539" s="35" t="str">
        <f t="shared" si="26"/>
        <v/>
      </c>
      <c r="M539" s="14"/>
      <c r="N539" s="16"/>
    </row>
    <row r="540" spans="1:14" ht="15.6" x14ac:dyDescent="0.3">
      <c r="A540" s="13" t="str">
        <f t="shared" si="24"/>
        <v>-</v>
      </c>
      <c r="B540" s="27"/>
      <c r="C540" s="26"/>
      <c r="D540" s="26"/>
      <c r="E540" s="26"/>
      <c r="F540" s="26"/>
      <c r="G540" s="34">
        <f>SUMIFS('BASE EXEC. Q.L'!N:N,'BASE EXEC. Q.L'!B:B,VOOS!A540)</f>
        <v>0</v>
      </c>
      <c r="H540" s="15" t="str">
        <f>IFERROR(_xlfn.XLOOKUP(A540,'BASE SQL PLANTIO'!B:B,'BASE SQL PLANTIO'!T:T,"verificar",0),"")</f>
        <v/>
      </c>
      <c r="I540" s="77" t="str">
        <f>IF(_xlfn.MINIFS('BASE SQL PLANTIO'!E:E,'BASE SQL PLANTIO'!B:B,VOOS!A540)=0/1/1900,"",_xlfn.MINIFS('BASE SQL PLANTIO'!E:E,'BASE SQL PLANTIO'!B:B,VOOS!A540))</f>
        <v/>
      </c>
      <c r="J540" s="26"/>
      <c r="K540" s="34" t="str">
        <f t="shared" si="25"/>
        <v/>
      </c>
      <c r="L540" s="35" t="str">
        <f t="shared" si="26"/>
        <v/>
      </c>
      <c r="M540" s="14"/>
      <c r="N540" s="16"/>
    </row>
    <row r="541" spans="1:14" ht="15.6" x14ac:dyDescent="0.3">
      <c r="A541" s="13" t="str">
        <f t="shared" si="24"/>
        <v>-</v>
      </c>
      <c r="B541" s="27"/>
      <c r="C541" s="26"/>
      <c r="D541" s="26"/>
      <c r="E541" s="26"/>
      <c r="F541" s="26"/>
      <c r="G541" s="34">
        <f>SUMIFS('BASE EXEC. Q.L'!N:N,'BASE EXEC. Q.L'!B:B,VOOS!A541)</f>
        <v>0</v>
      </c>
      <c r="H541" s="15" t="str">
        <f>IFERROR(_xlfn.XLOOKUP(A541,'BASE SQL PLANTIO'!B:B,'BASE SQL PLANTIO'!T:T,"verificar",0),"")</f>
        <v/>
      </c>
      <c r="I541" s="77" t="str">
        <f>IF(_xlfn.MINIFS('BASE SQL PLANTIO'!E:E,'BASE SQL PLANTIO'!B:B,VOOS!A541)=0/1/1900,"",_xlfn.MINIFS('BASE SQL PLANTIO'!E:E,'BASE SQL PLANTIO'!B:B,VOOS!A541))</f>
        <v/>
      </c>
      <c r="J541" s="26"/>
      <c r="K541" s="34" t="str">
        <f t="shared" si="25"/>
        <v/>
      </c>
      <c r="L541" s="35" t="str">
        <f t="shared" si="26"/>
        <v/>
      </c>
      <c r="M541" s="14"/>
      <c r="N541" s="16"/>
    </row>
    <row r="542" spans="1:14" ht="15.6" x14ac:dyDescent="0.3">
      <c r="A542" s="13" t="str">
        <f t="shared" si="24"/>
        <v>-</v>
      </c>
      <c r="B542" s="27"/>
      <c r="C542" s="26"/>
      <c r="D542" s="26"/>
      <c r="E542" s="26"/>
      <c r="F542" s="26"/>
      <c r="G542" s="34">
        <f>SUMIFS('BASE EXEC. Q.L'!N:N,'BASE EXEC. Q.L'!B:B,VOOS!A542)</f>
        <v>0</v>
      </c>
      <c r="H542" s="15" t="str">
        <f>IFERROR(_xlfn.XLOOKUP(A542,'BASE SQL PLANTIO'!B:B,'BASE SQL PLANTIO'!T:T,"verificar",0),"")</f>
        <v/>
      </c>
      <c r="I542" s="77" t="str">
        <f>IF(_xlfn.MINIFS('BASE SQL PLANTIO'!E:E,'BASE SQL PLANTIO'!B:B,VOOS!A542)=0/1/1900,"",_xlfn.MINIFS('BASE SQL PLANTIO'!E:E,'BASE SQL PLANTIO'!B:B,VOOS!A542))</f>
        <v/>
      </c>
      <c r="J542" s="26"/>
      <c r="K542" s="34" t="str">
        <f t="shared" si="25"/>
        <v/>
      </c>
      <c r="L542" s="35" t="str">
        <f t="shared" si="26"/>
        <v/>
      </c>
      <c r="M542" s="14"/>
      <c r="N542" s="16"/>
    </row>
    <row r="543" spans="1:14" ht="15.6" x14ac:dyDescent="0.3">
      <c r="A543" s="13" t="str">
        <f t="shared" si="24"/>
        <v>-</v>
      </c>
      <c r="B543" s="25"/>
      <c r="C543" s="25"/>
      <c r="D543" s="25"/>
      <c r="E543" s="25"/>
      <c r="F543" s="31"/>
      <c r="G543" s="34">
        <f>SUMIFS('BASE EXEC. Q.L'!N:N,'BASE EXEC. Q.L'!B:B,VOOS!A543)</f>
        <v>0</v>
      </c>
      <c r="H543" s="15" t="str">
        <f>IFERROR(_xlfn.XLOOKUP(A543,'BASE SQL PLANTIO'!B:B,'BASE SQL PLANTIO'!T:T,"verificar",0),"")</f>
        <v/>
      </c>
      <c r="I543" s="77" t="str">
        <f>IF(_xlfn.MINIFS('BASE SQL PLANTIO'!E:E,'BASE SQL PLANTIO'!B:B,VOOS!A543)=0/1/1900,"",_xlfn.MINIFS('BASE SQL PLANTIO'!E:E,'BASE SQL PLANTIO'!B:B,VOOS!A543))</f>
        <v/>
      </c>
      <c r="J543" s="26"/>
      <c r="K543" s="34" t="str">
        <f t="shared" si="25"/>
        <v/>
      </c>
      <c r="L543" s="35" t="str">
        <f t="shared" si="26"/>
        <v/>
      </c>
      <c r="M543" s="14"/>
      <c r="N543" s="16"/>
    </row>
    <row r="544" spans="1:14" ht="15.6" x14ac:dyDescent="0.3">
      <c r="A544" s="13" t="str">
        <f t="shared" si="24"/>
        <v>-</v>
      </c>
      <c r="B544" s="25"/>
      <c r="C544" s="29"/>
      <c r="D544" s="30"/>
      <c r="E544" s="30"/>
      <c r="F544" s="28"/>
      <c r="G544" s="34">
        <f>SUMIFS('BASE EXEC. Q.L'!N:N,'BASE EXEC. Q.L'!B:B,VOOS!A544)</f>
        <v>0</v>
      </c>
      <c r="H544" s="15" t="str">
        <f>IFERROR(_xlfn.XLOOKUP(A544,'BASE SQL PLANTIO'!B:B,'BASE SQL PLANTIO'!T:T,"verificar",0),"")</f>
        <v/>
      </c>
      <c r="I544" s="77" t="str">
        <f>IF(_xlfn.MINIFS('BASE SQL PLANTIO'!E:E,'BASE SQL PLANTIO'!B:B,VOOS!A544)=0/1/1900,"",_xlfn.MINIFS('BASE SQL PLANTIO'!E:E,'BASE SQL PLANTIO'!B:B,VOOS!A544))</f>
        <v/>
      </c>
      <c r="J544" s="22"/>
      <c r="K544" s="34" t="str">
        <f t="shared" si="25"/>
        <v/>
      </c>
      <c r="L544" s="35" t="str">
        <f t="shared" si="26"/>
        <v/>
      </c>
      <c r="M544" s="14"/>
      <c r="N544" s="16"/>
    </row>
    <row r="545" spans="1:14" ht="15.6" x14ac:dyDescent="0.3">
      <c r="A545" s="13" t="str">
        <f t="shared" si="24"/>
        <v>-</v>
      </c>
      <c r="B545" s="27"/>
      <c r="C545" s="26"/>
      <c r="D545" s="26"/>
      <c r="E545" s="26"/>
      <c r="F545" s="26"/>
      <c r="G545" s="34">
        <f>SUMIFS('BASE EXEC. Q.L'!N:N,'BASE EXEC. Q.L'!B:B,VOOS!A545)</f>
        <v>0</v>
      </c>
      <c r="H545" s="15" t="str">
        <f>IFERROR(_xlfn.XLOOKUP(A545,'BASE SQL PLANTIO'!B:B,'BASE SQL PLANTIO'!T:T,"verificar",0),"")</f>
        <v/>
      </c>
      <c r="I545" s="77" t="str">
        <f>IF(_xlfn.MINIFS('BASE SQL PLANTIO'!E:E,'BASE SQL PLANTIO'!B:B,VOOS!A545)=0/1/1900,"",_xlfn.MINIFS('BASE SQL PLANTIO'!E:E,'BASE SQL PLANTIO'!B:B,VOOS!A545))</f>
        <v/>
      </c>
      <c r="J545" s="26"/>
      <c r="K545" s="34" t="str">
        <f t="shared" si="25"/>
        <v/>
      </c>
      <c r="L545" s="35" t="str">
        <f t="shared" si="26"/>
        <v/>
      </c>
      <c r="M545" s="14"/>
      <c r="N545" s="16"/>
    </row>
    <row r="546" spans="1:14" ht="15.6" x14ac:dyDescent="0.3">
      <c r="A546" s="13" t="str">
        <f t="shared" si="24"/>
        <v>-</v>
      </c>
      <c r="B546" s="27"/>
      <c r="C546" s="26"/>
      <c r="D546" s="26"/>
      <c r="E546" s="26"/>
      <c r="F546" s="26"/>
      <c r="G546" s="34">
        <f>SUMIFS('BASE EXEC. Q.L'!N:N,'BASE EXEC. Q.L'!B:B,VOOS!A546)</f>
        <v>0</v>
      </c>
      <c r="H546" s="15" t="str">
        <f>IFERROR(_xlfn.XLOOKUP(A546,'BASE SQL PLANTIO'!B:B,'BASE SQL PLANTIO'!T:T,"verificar",0),"")</f>
        <v/>
      </c>
      <c r="I546" s="77" t="str">
        <f>IF(_xlfn.MINIFS('BASE SQL PLANTIO'!E:E,'BASE SQL PLANTIO'!B:B,VOOS!A546)=0/1/1900,"",_xlfn.MINIFS('BASE SQL PLANTIO'!E:E,'BASE SQL PLANTIO'!B:B,VOOS!A546))</f>
        <v/>
      </c>
      <c r="J546" s="26"/>
      <c r="K546" s="34" t="str">
        <f t="shared" si="25"/>
        <v/>
      </c>
      <c r="L546" s="35" t="str">
        <f t="shared" si="26"/>
        <v/>
      </c>
      <c r="M546" s="14"/>
      <c r="N546" s="16"/>
    </row>
    <row r="547" spans="1:14" ht="15.6" x14ac:dyDescent="0.3">
      <c r="A547" s="13" t="str">
        <f t="shared" si="24"/>
        <v>-</v>
      </c>
      <c r="B547" s="27"/>
      <c r="C547" s="26"/>
      <c r="D547" s="26"/>
      <c r="E547" s="26"/>
      <c r="F547" s="26"/>
      <c r="G547" s="34">
        <f>SUMIFS('BASE EXEC. Q.L'!N:N,'BASE EXEC. Q.L'!B:B,VOOS!A547)</f>
        <v>0</v>
      </c>
      <c r="H547" s="15" t="str">
        <f>IFERROR(_xlfn.XLOOKUP(A547,'BASE SQL PLANTIO'!B:B,'BASE SQL PLANTIO'!T:T,"verificar",0),"")</f>
        <v/>
      </c>
      <c r="I547" s="77" t="str">
        <f>IF(_xlfn.MINIFS('BASE SQL PLANTIO'!E:E,'BASE SQL PLANTIO'!B:B,VOOS!A547)=0/1/1900,"",_xlfn.MINIFS('BASE SQL PLANTIO'!E:E,'BASE SQL PLANTIO'!B:B,VOOS!A547))</f>
        <v/>
      </c>
      <c r="J547" s="26"/>
      <c r="K547" s="34" t="str">
        <f t="shared" si="25"/>
        <v/>
      </c>
      <c r="L547" s="35" t="str">
        <f t="shared" si="26"/>
        <v/>
      </c>
      <c r="M547" s="14"/>
      <c r="N547" s="16"/>
    </row>
    <row r="548" spans="1:14" ht="15.6" x14ac:dyDescent="0.3">
      <c r="A548" s="13" t="str">
        <f t="shared" si="24"/>
        <v>-</v>
      </c>
      <c r="B548" s="27"/>
      <c r="C548" s="26"/>
      <c r="D548" s="26"/>
      <c r="E548" s="26"/>
      <c r="F548" s="26"/>
      <c r="G548" s="34">
        <f>SUMIFS('BASE EXEC. Q.L'!N:N,'BASE EXEC. Q.L'!B:B,VOOS!A548)</f>
        <v>0</v>
      </c>
      <c r="H548" s="15" t="str">
        <f>IFERROR(_xlfn.XLOOKUP(A548,'BASE SQL PLANTIO'!B:B,'BASE SQL PLANTIO'!T:T,"verificar",0),"")</f>
        <v/>
      </c>
      <c r="I548" s="77" t="str">
        <f>IF(_xlfn.MINIFS('BASE SQL PLANTIO'!E:E,'BASE SQL PLANTIO'!B:B,VOOS!A548)=0/1/1900,"",_xlfn.MINIFS('BASE SQL PLANTIO'!E:E,'BASE SQL PLANTIO'!B:B,VOOS!A548))</f>
        <v/>
      </c>
      <c r="J548" s="26"/>
      <c r="K548" s="34" t="str">
        <f t="shared" si="25"/>
        <v/>
      </c>
      <c r="L548" s="35" t="str">
        <f t="shared" si="26"/>
        <v/>
      </c>
      <c r="M548" s="14"/>
      <c r="N548" s="16"/>
    </row>
    <row r="549" spans="1:14" ht="15.6" x14ac:dyDescent="0.3">
      <c r="A549" s="13" t="str">
        <f t="shared" si="24"/>
        <v>-</v>
      </c>
      <c r="B549" s="27"/>
      <c r="C549" s="26"/>
      <c r="D549" s="26"/>
      <c r="E549" s="26"/>
      <c r="F549" s="26"/>
      <c r="G549" s="34">
        <f>SUMIFS('BASE EXEC. Q.L'!N:N,'BASE EXEC. Q.L'!B:B,VOOS!A549)</f>
        <v>0</v>
      </c>
      <c r="H549" s="15" t="str">
        <f>IFERROR(_xlfn.XLOOKUP(A549,'BASE SQL PLANTIO'!B:B,'BASE SQL PLANTIO'!T:T,"verificar",0),"")</f>
        <v/>
      </c>
      <c r="I549" s="77" t="str">
        <f>IF(_xlfn.MINIFS('BASE SQL PLANTIO'!E:E,'BASE SQL PLANTIO'!B:B,VOOS!A549)=0/1/1900,"",_xlfn.MINIFS('BASE SQL PLANTIO'!E:E,'BASE SQL PLANTIO'!B:B,VOOS!A549))</f>
        <v/>
      </c>
      <c r="J549" s="26"/>
      <c r="K549" s="34" t="str">
        <f t="shared" si="25"/>
        <v/>
      </c>
      <c r="L549" s="35" t="str">
        <f t="shared" si="26"/>
        <v/>
      </c>
      <c r="M549" s="14"/>
      <c r="N549" s="15"/>
    </row>
    <row r="550" spans="1:14" ht="15.6" x14ac:dyDescent="0.3">
      <c r="A550" s="13" t="str">
        <f t="shared" si="24"/>
        <v>-</v>
      </c>
      <c r="B550" s="27"/>
      <c r="C550" s="26"/>
      <c r="D550" s="26"/>
      <c r="E550" s="26"/>
      <c r="F550" s="26"/>
      <c r="G550" s="34">
        <f>SUMIFS('BASE EXEC. Q.L'!N:N,'BASE EXEC. Q.L'!B:B,VOOS!A550)</f>
        <v>0</v>
      </c>
      <c r="H550" s="15" t="str">
        <f>IFERROR(_xlfn.XLOOKUP(A550,'BASE SQL PLANTIO'!B:B,'BASE SQL PLANTIO'!T:T,"verificar",0),"")</f>
        <v/>
      </c>
      <c r="I550" s="77" t="str">
        <f>IF(_xlfn.MINIFS('BASE SQL PLANTIO'!E:E,'BASE SQL PLANTIO'!B:B,VOOS!A550)=0/1/1900,"",_xlfn.MINIFS('BASE SQL PLANTIO'!E:E,'BASE SQL PLANTIO'!B:B,VOOS!A550))</f>
        <v/>
      </c>
      <c r="J550" s="26"/>
      <c r="K550" s="34" t="str">
        <f t="shared" si="25"/>
        <v/>
      </c>
      <c r="L550" s="35" t="str">
        <f t="shared" si="26"/>
        <v/>
      </c>
      <c r="M550" s="14"/>
      <c r="N550" s="16"/>
    </row>
    <row r="551" spans="1:14" ht="15.6" x14ac:dyDescent="0.3">
      <c r="A551" s="13" t="str">
        <f t="shared" si="24"/>
        <v>-</v>
      </c>
      <c r="B551" s="27"/>
      <c r="C551" s="26"/>
      <c r="D551" s="26"/>
      <c r="E551" s="26"/>
      <c r="F551" s="26"/>
      <c r="G551" s="34">
        <f>SUMIFS('BASE EXEC. Q.L'!N:N,'BASE EXEC. Q.L'!B:B,VOOS!A551)</f>
        <v>0</v>
      </c>
      <c r="H551" s="15" t="str">
        <f>IFERROR(_xlfn.XLOOKUP(A551,'BASE SQL PLANTIO'!B:B,'BASE SQL PLANTIO'!T:T,"verificar",0),"")</f>
        <v/>
      </c>
      <c r="I551" s="77" t="str">
        <f>IF(_xlfn.MINIFS('BASE SQL PLANTIO'!E:E,'BASE SQL PLANTIO'!B:B,VOOS!A551)=0/1/1900,"",_xlfn.MINIFS('BASE SQL PLANTIO'!E:E,'BASE SQL PLANTIO'!B:B,VOOS!A551))</f>
        <v/>
      </c>
      <c r="J551" s="26"/>
      <c r="K551" s="34" t="str">
        <f t="shared" si="25"/>
        <v/>
      </c>
      <c r="L551" s="35" t="str">
        <f t="shared" si="26"/>
        <v/>
      </c>
      <c r="M551" s="14"/>
      <c r="N551" s="16"/>
    </row>
    <row r="552" spans="1:14" ht="15.6" x14ac:dyDescent="0.3">
      <c r="A552" s="13" t="str">
        <f t="shared" si="24"/>
        <v>-</v>
      </c>
      <c r="B552" s="27"/>
      <c r="C552" s="26"/>
      <c r="D552" s="26"/>
      <c r="E552" s="26"/>
      <c r="F552" s="26"/>
      <c r="G552" s="34">
        <f>SUMIFS('BASE EXEC. Q.L'!N:N,'BASE EXEC. Q.L'!B:B,VOOS!A552)</f>
        <v>0</v>
      </c>
      <c r="H552" s="15" t="str">
        <f>IFERROR(_xlfn.XLOOKUP(A552,'BASE SQL PLANTIO'!B:B,'BASE SQL PLANTIO'!T:T,"verificar",0),"")</f>
        <v/>
      </c>
      <c r="I552" s="77" t="str">
        <f>IF(_xlfn.MINIFS('BASE SQL PLANTIO'!E:E,'BASE SQL PLANTIO'!B:B,VOOS!A552)=0/1/1900,"",_xlfn.MINIFS('BASE SQL PLANTIO'!E:E,'BASE SQL PLANTIO'!B:B,VOOS!A552))</f>
        <v/>
      </c>
      <c r="J552" s="26"/>
      <c r="K552" s="34" t="str">
        <f t="shared" si="25"/>
        <v/>
      </c>
      <c r="L552" s="35" t="str">
        <f t="shared" si="26"/>
        <v/>
      </c>
      <c r="M552" s="14"/>
      <c r="N552" s="16"/>
    </row>
    <row r="553" spans="1:14" ht="15.6" x14ac:dyDescent="0.3">
      <c r="A553" s="13" t="str">
        <f t="shared" si="24"/>
        <v>-</v>
      </c>
      <c r="B553" s="27"/>
      <c r="C553" s="26"/>
      <c r="D553" s="26"/>
      <c r="E553" s="26"/>
      <c r="F553" s="26"/>
      <c r="G553" s="34">
        <f>SUMIFS('BASE EXEC. Q.L'!N:N,'BASE EXEC. Q.L'!B:B,VOOS!A553)</f>
        <v>0</v>
      </c>
      <c r="H553" s="15" t="str">
        <f>IFERROR(_xlfn.XLOOKUP(A553,'BASE SQL PLANTIO'!B:B,'BASE SQL PLANTIO'!T:T,"verificar",0),"")</f>
        <v/>
      </c>
      <c r="I553" s="77" t="str">
        <f>IF(_xlfn.MINIFS('BASE SQL PLANTIO'!E:E,'BASE SQL PLANTIO'!B:B,VOOS!A553)=0/1/1900,"",_xlfn.MINIFS('BASE SQL PLANTIO'!E:E,'BASE SQL PLANTIO'!B:B,VOOS!A553))</f>
        <v/>
      </c>
      <c r="J553" s="26"/>
      <c r="K553" s="34" t="str">
        <f t="shared" si="25"/>
        <v/>
      </c>
      <c r="L553" s="35" t="str">
        <f t="shared" si="26"/>
        <v/>
      </c>
      <c r="M553" s="14"/>
      <c r="N553" s="16"/>
    </row>
    <row r="554" spans="1:14" ht="15.6" x14ac:dyDescent="0.3">
      <c r="A554" s="13" t="str">
        <f t="shared" si="24"/>
        <v>-</v>
      </c>
      <c r="B554" s="27"/>
      <c r="C554" s="26"/>
      <c r="D554" s="26"/>
      <c r="E554" s="26"/>
      <c r="F554" s="26"/>
      <c r="G554" s="34">
        <f>SUMIFS('BASE EXEC. Q.L'!N:N,'BASE EXEC. Q.L'!B:B,VOOS!A554)</f>
        <v>0</v>
      </c>
      <c r="H554" s="15" t="str">
        <f>IFERROR(_xlfn.XLOOKUP(A554,'BASE SQL PLANTIO'!B:B,'BASE SQL PLANTIO'!T:T,"verificar",0),"")</f>
        <v/>
      </c>
      <c r="I554" s="77" t="str">
        <f>IF(_xlfn.MINIFS('BASE SQL PLANTIO'!E:E,'BASE SQL PLANTIO'!B:B,VOOS!A554)=0/1/1900,"",_xlfn.MINIFS('BASE SQL PLANTIO'!E:E,'BASE SQL PLANTIO'!B:B,VOOS!A554))</f>
        <v/>
      </c>
      <c r="J554" s="26"/>
      <c r="K554" s="34" t="str">
        <f t="shared" si="25"/>
        <v/>
      </c>
      <c r="L554" s="35" t="str">
        <f t="shared" si="26"/>
        <v/>
      </c>
      <c r="M554" s="14"/>
      <c r="N554" s="16"/>
    </row>
    <row r="555" spans="1:14" ht="15.6" x14ac:dyDescent="0.3">
      <c r="A555" s="13" t="str">
        <f t="shared" si="24"/>
        <v>-</v>
      </c>
      <c r="B555" s="27"/>
      <c r="C555" s="26"/>
      <c r="D555" s="26"/>
      <c r="E555" s="26"/>
      <c r="F555" s="26"/>
      <c r="G555" s="34">
        <f>SUMIFS('BASE EXEC. Q.L'!N:N,'BASE EXEC. Q.L'!B:B,VOOS!A555)</f>
        <v>0</v>
      </c>
      <c r="H555" s="15" t="str">
        <f>IFERROR(_xlfn.XLOOKUP(A555,'BASE SQL PLANTIO'!B:B,'BASE SQL PLANTIO'!T:T,"verificar",0),"")</f>
        <v/>
      </c>
      <c r="I555" s="77" t="str">
        <f>IF(_xlfn.MINIFS('BASE SQL PLANTIO'!E:E,'BASE SQL PLANTIO'!B:B,VOOS!A555)=0/1/1900,"",_xlfn.MINIFS('BASE SQL PLANTIO'!E:E,'BASE SQL PLANTIO'!B:B,VOOS!A555))</f>
        <v/>
      </c>
      <c r="J555" s="26"/>
      <c r="K555" s="34" t="str">
        <f t="shared" si="25"/>
        <v/>
      </c>
      <c r="L555" s="35" t="str">
        <f t="shared" si="26"/>
        <v/>
      </c>
      <c r="M555" s="14"/>
      <c r="N555" s="15"/>
    </row>
    <row r="556" spans="1:14" ht="15.6" x14ac:dyDescent="0.3">
      <c r="A556" s="13" t="str">
        <f t="shared" si="24"/>
        <v>-</v>
      </c>
      <c r="B556" s="27"/>
      <c r="C556" s="26"/>
      <c r="D556" s="26"/>
      <c r="E556" s="26"/>
      <c r="F556" s="26"/>
      <c r="G556" s="34">
        <f>SUMIFS('BASE EXEC. Q.L'!N:N,'BASE EXEC. Q.L'!B:B,VOOS!A556)</f>
        <v>0</v>
      </c>
      <c r="H556" s="15" t="str">
        <f>IFERROR(_xlfn.XLOOKUP(A556,'BASE SQL PLANTIO'!B:B,'BASE SQL PLANTIO'!T:T,"verificar",0),"")</f>
        <v/>
      </c>
      <c r="I556" s="77" t="str">
        <f>IF(_xlfn.MINIFS('BASE SQL PLANTIO'!E:E,'BASE SQL PLANTIO'!B:B,VOOS!A556)=0/1/1900,"",_xlfn.MINIFS('BASE SQL PLANTIO'!E:E,'BASE SQL PLANTIO'!B:B,VOOS!A556))</f>
        <v/>
      </c>
      <c r="J556" s="26"/>
      <c r="K556" s="34" t="str">
        <f t="shared" si="25"/>
        <v/>
      </c>
      <c r="L556" s="35" t="str">
        <f t="shared" si="26"/>
        <v/>
      </c>
      <c r="M556" s="14"/>
      <c r="N556" s="16"/>
    </row>
    <row r="557" spans="1:14" ht="15.6" x14ac:dyDescent="0.3">
      <c r="A557" s="13" t="str">
        <f t="shared" si="24"/>
        <v>-</v>
      </c>
      <c r="B557" s="27"/>
      <c r="C557" s="26"/>
      <c r="D557" s="26"/>
      <c r="E557" s="26"/>
      <c r="F557" s="26"/>
      <c r="G557" s="34">
        <f>SUMIFS('BASE EXEC. Q.L'!N:N,'BASE EXEC. Q.L'!B:B,VOOS!A557)</f>
        <v>0</v>
      </c>
      <c r="H557" s="15" t="str">
        <f>IFERROR(_xlfn.XLOOKUP(A557,'BASE SQL PLANTIO'!B:B,'BASE SQL PLANTIO'!T:T,"verificar",0),"")</f>
        <v/>
      </c>
      <c r="I557" s="77" t="str">
        <f>IF(_xlfn.MINIFS('BASE SQL PLANTIO'!E:E,'BASE SQL PLANTIO'!B:B,VOOS!A557)=0/1/1900,"",_xlfn.MINIFS('BASE SQL PLANTIO'!E:E,'BASE SQL PLANTIO'!B:B,VOOS!A557))</f>
        <v/>
      </c>
      <c r="J557" s="26"/>
      <c r="K557" s="34" t="str">
        <f t="shared" si="25"/>
        <v/>
      </c>
      <c r="L557" s="35" t="str">
        <f t="shared" si="26"/>
        <v/>
      </c>
      <c r="M557" s="14"/>
      <c r="N557" s="16"/>
    </row>
    <row r="558" spans="1:14" ht="15.6" x14ac:dyDescent="0.3">
      <c r="A558" s="13" t="str">
        <f t="shared" si="24"/>
        <v>-</v>
      </c>
      <c r="B558" s="27"/>
      <c r="C558" s="26"/>
      <c r="D558" s="26"/>
      <c r="E558" s="26"/>
      <c r="F558" s="26"/>
      <c r="G558" s="34">
        <f>SUMIFS('BASE EXEC. Q.L'!N:N,'BASE EXEC. Q.L'!B:B,VOOS!A558)</f>
        <v>0</v>
      </c>
      <c r="H558" s="15" t="str">
        <f>IFERROR(_xlfn.XLOOKUP(A558,'BASE SQL PLANTIO'!B:B,'BASE SQL PLANTIO'!T:T,"verificar",0),"")</f>
        <v/>
      </c>
      <c r="I558" s="77" t="str">
        <f>IF(_xlfn.MINIFS('BASE SQL PLANTIO'!E:E,'BASE SQL PLANTIO'!B:B,VOOS!A558)=0/1/1900,"",_xlfn.MINIFS('BASE SQL PLANTIO'!E:E,'BASE SQL PLANTIO'!B:B,VOOS!A558))</f>
        <v/>
      </c>
      <c r="J558" s="26"/>
      <c r="K558" s="34" t="str">
        <f t="shared" si="25"/>
        <v/>
      </c>
      <c r="L558" s="35" t="str">
        <f t="shared" si="26"/>
        <v/>
      </c>
      <c r="M558" s="14"/>
      <c r="N558" s="16"/>
    </row>
    <row r="559" spans="1:14" ht="15.6" x14ac:dyDescent="0.3">
      <c r="A559" s="13" t="str">
        <f t="shared" si="24"/>
        <v>-</v>
      </c>
      <c r="B559" s="27"/>
      <c r="C559" s="26"/>
      <c r="D559" s="26"/>
      <c r="E559" s="26"/>
      <c r="F559" s="26"/>
      <c r="G559" s="34">
        <f>SUMIFS('BASE EXEC. Q.L'!N:N,'BASE EXEC. Q.L'!B:B,VOOS!A559)</f>
        <v>0</v>
      </c>
      <c r="H559" s="15" t="str">
        <f>IFERROR(_xlfn.XLOOKUP(A559,'BASE SQL PLANTIO'!B:B,'BASE SQL PLANTIO'!T:T,"verificar",0),"")</f>
        <v/>
      </c>
      <c r="I559" s="77" t="str">
        <f>IF(_xlfn.MINIFS('BASE SQL PLANTIO'!E:E,'BASE SQL PLANTIO'!B:B,VOOS!A559)=0/1/1900,"",_xlfn.MINIFS('BASE SQL PLANTIO'!E:E,'BASE SQL PLANTIO'!B:B,VOOS!A559))</f>
        <v/>
      </c>
      <c r="J559" s="26"/>
      <c r="K559" s="34" t="str">
        <f t="shared" si="25"/>
        <v/>
      </c>
      <c r="L559" s="35" t="str">
        <f t="shared" si="26"/>
        <v/>
      </c>
      <c r="M559" s="14"/>
      <c r="N559" s="16"/>
    </row>
    <row r="560" spans="1:14" ht="15.6" x14ac:dyDescent="0.3">
      <c r="A560" s="13" t="str">
        <f t="shared" si="24"/>
        <v>-</v>
      </c>
      <c r="B560" s="25"/>
      <c r="C560" s="25"/>
      <c r="D560" s="25"/>
      <c r="E560" s="25"/>
      <c r="F560" s="31"/>
      <c r="G560" s="34">
        <f>SUMIFS('BASE EXEC. Q.L'!N:N,'BASE EXEC. Q.L'!B:B,VOOS!A560)</f>
        <v>0</v>
      </c>
      <c r="H560" s="15" t="str">
        <f>IFERROR(_xlfn.XLOOKUP(A560,'BASE SQL PLANTIO'!B:B,'BASE SQL PLANTIO'!T:T,"verificar",0),"")</f>
        <v/>
      </c>
      <c r="I560" s="77" t="str">
        <f>IF(_xlfn.MINIFS('BASE SQL PLANTIO'!E:E,'BASE SQL PLANTIO'!B:B,VOOS!A560)=0/1/1900,"",_xlfn.MINIFS('BASE SQL PLANTIO'!E:E,'BASE SQL PLANTIO'!B:B,VOOS!A560))</f>
        <v/>
      </c>
      <c r="J560" s="26"/>
      <c r="K560" s="34" t="str">
        <f t="shared" si="25"/>
        <v/>
      </c>
      <c r="L560" s="35" t="str">
        <f t="shared" si="26"/>
        <v/>
      </c>
      <c r="M560" s="14"/>
      <c r="N560" s="16"/>
    </row>
    <row r="561" spans="1:14" ht="15.6" x14ac:dyDescent="0.3">
      <c r="A561" s="13" t="str">
        <f t="shared" si="24"/>
        <v>-</v>
      </c>
      <c r="B561" s="25"/>
      <c r="C561" s="25"/>
      <c r="D561" s="25"/>
      <c r="E561" s="25"/>
      <c r="F561" s="31"/>
      <c r="G561" s="34">
        <f>SUMIFS('BASE EXEC. Q.L'!N:N,'BASE EXEC. Q.L'!B:B,VOOS!A561)</f>
        <v>0</v>
      </c>
      <c r="H561" s="15" t="str">
        <f>IFERROR(_xlfn.XLOOKUP(A561,'BASE SQL PLANTIO'!B:B,'BASE SQL PLANTIO'!T:T,"verificar",0),"")</f>
        <v/>
      </c>
      <c r="I561" s="77" t="str">
        <f>IF(_xlfn.MINIFS('BASE SQL PLANTIO'!E:E,'BASE SQL PLANTIO'!B:B,VOOS!A561)=0/1/1900,"",_xlfn.MINIFS('BASE SQL PLANTIO'!E:E,'BASE SQL PLANTIO'!B:B,VOOS!A561))</f>
        <v/>
      </c>
      <c r="J561" s="26"/>
      <c r="K561" s="34" t="str">
        <f t="shared" si="25"/>
        <v/>
      </c>
      <c r="L561" s="35" t="str">
        <f t="shared" si="26"/>
        <v/>
      </c>
      <c r="M561" s="14"/>
      <c r="N561" s="16"/>
    </row>
    <row r="562" spans="1:14" ht="15.6" x14ac:dyDescent="0.3">
      <c r="A562" s="13" t="str">
        <f t="shared" si="24"/>
        <v>-</v>
      </c>
      <c r="B562" s="27"/>
      <c r="C562" s="26"/>
      <c r="D562" s="26"/>
      <c r="E562" s="26"/>
      <c r="F562" s="26"/>
      <c r="G562" s="34">
        <f>SUMIFS('BASE EXEC. Q.L'!N:N,'BASE EXEC. Q.L'!B:B,VOOS!A562)</f>
        <v>0</v>
      </c>
      <c r="H562" s="15" t="str">
        <f>IFERROR(_xlfn.XLOOKUP(A562,'BASE SQL PLANTIO'!B:B,'BASE SQL PLANTIO'!T:T,"verificar",0),"")</f>
        <v/>
      </c>
      <c r="I562" s="77" t="str">
        <f>IF(_xlfn.MINIFS('BASE SQL PLANTIO'!E:E,'BASE SQL PLANTIO'!B:B,VOOS!A562)=0/1/1900,"",_xlfn.MINIFS('BASE SQL PLANTIO'!E:E,'BASE SQL PLANTIO'!B:B,VOOS!A562))</f>
        <v/>
      </c>
      <c r="J562" s="26"/>
      <c r="K562" s="34" t="str">
        <f t="shared" si="25"/>
        <v/>
      </c>
      <c r="L562" s="35" t="str">
        <f t="shared" si="26"/>
        <v/>
      </c>
      <c r="M562" s="14"/>
      <c r="N562" s="16"/>
    </row>
    <row r="563" spans="1:14" ht="15.6" x14ac:dyDescent="0.3">
      <c r="A563" s="13" t="str">
        <f t="shared" si="24"/>
        <v>-</v>
      </c>
      <c r="B563" s="27"/>
      <c r="C563" s="22"/>
      <c r="D563" s="23"/>
      <c r="E563" s="23"/>
      <c r="F563" s="22"/>
      <c r="G563" s="34">
        <f>SUMIFS('BASE EXEC. Q.L'!N:N,'BASE EXEC. Q.L'!B:B,VOOS!A563)</f>
        <v>0</v>
      </c>
      <c r="H563" s="15" t="str">
        <f>IFERROR(_xlfn.XLOOKUP(A563,'BASE SQL PLANTIO'!B:B,'BASE SQL PLANTIO'!T:T,"verificar",0),"")</f>
        <v/>
      </c>
      <c r="I563" s="77" t="str">
        <f>IF(_xlfn.MINIFS('BASE SQL PLANTIO'!E:E,'BASE SQL PLANTIO'!B:B,VOOS!A563)=0/1/1900,"",_xlfn.MINIFS('BASE SQL PLANTIO'!E:E,'BASE SQL PLANTIO'!B:B,VOOS!A563))</f>
        <v/>
      </c>
      <c r="J563" s="22"/>
      <c r="K563" s="34" t="str">
        <f t="shared" si="25"/>
        <v/>
      </c>
      <c r="L563" s="35" t="str">
        <f t="shared" si="26"/>
        <v/>
      </c>
      <c r="M563" s="14"/>
      <c r="N563" s="16"/>
    </row>
    <row r="564" spans="1:14" ht="15.6" x14ac:dyDescent="0.3">
      <c r="A564" s="13" t="str">
        <f t="shared" si="24"/>
        <v>-</v>
      </c>
      <c r="B564" s="27"/>
      <c r="C564" s="26"/>
      <c r="D564" s="26"/>
      <c r="E564" s="26"/>
      <c r="F564" s="26"/>
      <c r="G564" s="34">
        <f>SUMIFS('BASE EXEC. Q.L'!N:N,'BASE EXEC. Q.L'!B:B,VOOS!A564)</f>
        <v>0</v>
      </c>
      <c r="H564" s="15" t="str">
        <f>IFERROR(_xlfn.XLOOKUP(A564,'BASE SQL PLANTIO'!B:B,'BASE SQL PLANTIO'!T:T,"verificar",0),"")</f>
        <v/>
      </c>
      <c r="I564" s="77" t="str">
        <f>IF(_xlfn.MINIFS('BASE SQL PLANTIO'!E:E,'BASE SQL PLANTIO'!B:B,VOOS!A564)=0/1/1900,"",_xlfn.MINIFS('BASE SQL PLANTIO'!E:E,'BASE SQL PLANTIO'!B:B,VOOS!A564))</f>
        <v/>
      </c>
      <c r="J564" s="26"/>
      <c r="K564" s="34" t="str">
        <f t="shared" si="25"/>
        <v/>
      </c>
      <c r="L564" s="35" t="str">
        <f t="shared" si="26"/>
        <v/>
      </c>
      <c r="M564" s="14"/>
      <c r="N564" s="16"/>
    </row>
    <row r="565" spans="1:14" ht="15.6" x14ac:dyDescent="0.3">
      <c r="A565" s="13" t="str">
        <f t="shared" si="24"/>
        <v>-</v>
      </c>
      <c r="B565" s="27"/>
      <c r="C565" s="26"/>
      <c r="D565" s="26"/>
      <c r="E565" s="26"/>
      <c r="F565" s="26"/>
      <c r="G565" s="34">
        <f>SUMIFS('BASE EXEC. Q.L'!N:N,'BASE EXEC. Q.L'!B:B,VOOS!A565)</f>
        <v>0</v>
      </c>
      <c r="H565" s="15" t="str">
        <f>IFERROR(_xlfn.XLOOKUP(A565,'BASE SQL PLANTIO'!B:B,'BASE SQL PLANTIO'!T:T,"verificar",0),"")</f>
        <v/>
      </c>
      <c r="I565" s="77" t="str">
        <f>IF(_xlfn.MINIFS('BASE SQL PLANTIO'!E:E,'BASE SQL PLANTIO'!B:B,VOOS!A565)=0/1/1900,"",_xlfn.MINIFS('BASE SQL PLANTIO'!E:E,'BASE SQL PLANTIO'!B:B,VOOS!A565))</f>
        <v/>
      </c>
      <c r="J565" s="26"/>
      <c r="K565" s="34" t="str">
        <f t="shared" si="25"/>
        <v/>
      </c>
      <c r="L565" s="35" t="str">
        <f t="shared" si="26"/>
        <v/>
      </c>
      <c r="M565" s="14"/>
      <c r="N565" s="16"/>
    </row>
    <row r="566" spans="1:14" ht="15.6" x14ac:dyDescent="0.3">
      <c r="A566" s="13" t="str">
        <f t="shared" si="24"/>
        <v>-</v>
      </c>
      <c r="B566" s="27"/>
      <c r="C566" s="26"/>
      <c r="D566" s="26"/>
      <c r="E566" s="26"/>
      <c r="F566" s="26"/>
      <c r="G566" s="34">
        <f>SUMIFS('BASE EXEC. Q.L'!N:N,'BASE EXEC. Q.L'!B:B,VOOS!A566)</f>
        <v>0</v>
      </c>
      <c r="H566" s="15" t="str">
        <f>IFERROR(_xlfn.XLOOKUP(A566,'BASE SQL PLANTIO'!B:B,'BASE SQL PLANTIO'!T:T,"verificar",0),"")</f>
        <v/>
      </c>
      <c r="I566" s="77" t="str">
        <f>IF(_xlfn.MINIFS('BASE SQL PLANTIO'!E:E,'BASE SQL PLANTIO'!B:B,VOOS!A566)=0/1/1900,"",_xlfn.MINIFS('BASE SQL PLANTIO'!E:E,'BASE SQL PLANTIO'!B:B,VOOS!A566))</f>
        <v/>
      </c>
      <c r="J566" s="26"/>
      <c r="K566" s="34" t="str">
        <f t="shared" si="25"/>
        <v/>
      </c>
      <c r="L566" s="35" t="str">
        <f t="shared" si="26"/>
        <v/>
      </c>
      <c r="M566" s="14"/>
      <c r="N566" s="16"/>
    </row>
    <row r="567" spans="1:14" ht="15.6" x14ac:dyDescent="0.3">
      <c r="A567" s="13" t="str">
        <f t="shared" si="24"/>
        <v>-</v>
      </c>
      <c r="B567" s="25"/>
      <c r="C567" s="25"/>
      <c r="D567" s="25"/>
      <c r="E567" s="25"/>
      <c r="F567" s="31"/>
      <c r="G567" s="34">
        <f>SUMIFS('BASE EXEC. Q.L'!N:N,'BASE EXEC. Q.L'!B:B,VOOS!A567)</f>
        <v>0</v>
      </c>
      <c r="H567" s="15" t="str">
        <f>IFERROR(_xlfn.XLOOKUP(A567,'BASE SQL PLANTIO'!B:B,'BASE SQL PLANTIO'!T:T,"verificar",0),"")</f>
        <v/>
      </c>
      <c r="I567" s="77" t="str">
        <f>IF(_xlfn.MINIFS('BASE SQL PLANTIO'!E:E,'BASE SQL PLANTIO'!B:B,VOOS!A567)=0/1/1900,"",_xlfn.MINIFS('BASE SQL PLANTIO'!E:E,'BASE SQL PLANTIO'!B:B,VOOS!A567))</f>
        <v/>
      </c>
      <c r="J567" s="26"/>
      <c r="K567" s="34" t="str">
        <f t="shared" si="25"/>
        <v/>
      </c>
      <c r="L567" s="35" t="str">
        <f t="shared" si="26"/>
        <v/>
      </c>
      <c r="M567" s="14"/>
      <c r="N567" s="15"/>
    </row>
    <row r="568" spans="1:14" ht="15.6" x14ac:dyDescent="0.3">
      <c r="A568" s="13" t="str">
        <f t="shared" si="24"/>
        <v>-</v>
      </c>
      <c r="B568" s="27"/>
      <c r="C568" s="26"/>
      <c r="D568" s="26"/>
      <c r="E568" s="26"/>
      <c r="F568" s="26"/>
      <c r="G568" s="34">
        <f>SUMIFS('BASE EXEC. Q.L'!N:N,'BASE EXEC. Q.L'!B:B,VOOS!A568)</f>
        <v>0</v>
      </c>
      <c r="H568" s="15" t="str">
        <f>IFERROR(_xlfn.XLOOKUP(A568,'BASE SQL PLANTIO'!B:B,'BASE SQL PLANTIO'!T:T,"verificar",0),"")</f>
        <v/>
      </c>
      <c r="I568" s="77" t="str">
        <f>IF(_xlfn.MINIFS('BASE SQL PLANTIO'!E:E,'BASE SQL PLANTIO'!B:B,VOOS!A568)=0/1/1900,"",_xlfn.MINIFS('BASE SQL PLANTIO'!E:E,'BASE SQL PLANTIO'!B:B,VOOS!A568))</f>
        <v/>
      </c>
      <c r="J568" s="26"/>
      <c r="K568" s="34" t="str">
        <f t="shared" si="25"/>
        <v/>
      </c>
      <c r="L568" s="35" t="str">
        <f t="shared" si="26"/>
        <v/>
      </c>
      <c r="M568" s="14"/>
      <c r="N568" s="16"/>
    </row>
    <row r="569" spans="1:14" ht="15.6" x14ac:dyDescent="0.3">
      <c r="A569" s="13" t="str">
        <f t="shared" si="24"/>
        <v>-</v>
      </c>
      <c r="B569" s="27"/>
      <c r="C569" s="26"/>
      <c r="D569" s="26"/>
      <c r="E569" s="26"/>
      <c r="F569" s="26"/>
      <c r="G569" s="34">
        <f>SUMIFS('BASE EXEC. Q.L'!N:N,'BASE EXEC. Q.L'!B:B,VOOS!A569)</f>
        <v>0</v>
      </c>
      <c r="H569" s="15" t="str">
        <f>IFERROR(_xlfn.XLOOKUP(A569,'BASE SQL PLANTIO'!B:B,'BASE SQL PLANTIO'!T:T,"verificar",0),"")</f>
        <v/>
      </c>
      <c r="I569" s="77" t="str">
        <f>IF(_xlfn.MINIFS('BASE SQL PLANTIO'!E:E,'BASE SQL PLANTIO'!B:B,VOOS!A569)=0/1/1900,"",_xlfn.MINIFS('BASE SQL PLANTIO'!E:E,'BASE SQL PLANTIO'!B:B,VOOS!A569))</f>
        <v/>
      </c>
      <c r="J569" s="26"/>
      <c r="K569" s="34" t="str">
        <f t="shared" si="25"/>
        <v/>
      </c>
      <c r="L569" s="35" t="str">
        <f t="shared" si="26"/>
        <v/>
      </c>
      <c r="M569" s="14"/>
      <c r="N569" s="16"/>
    </row>
    <row r="570" spans="1:14" ht="15.6" x14ac:dyDescent="0.3">
      <c r="A570" s="13" t="str">
        <f t="shared" si="24"/>
        <v>-</v>
      </c>
      <c r="B570" s="27"/>
      <c r="C570" s="26"/>
      <c r="D570" s="26"/>
      <c r="E570" s="26"/>
      <c r="F570" s="26"/>
      <c r="G570" s="34">
        <f>SUMIFS('BASE EXEC. Q.L'!N:N,'BASE EXEC. Q.L'!B:B,VOOS!A570)</f>
        <v>0</v>
      </c>
      <c r="H570" s="15" t="str">
        <f>IFERROR(_xlfn.XLOOKUP(A570,'BASE SQL PLANTIO'!B:B,'BASE SQL PLANTIO'!T:T,"verificar",0),"")</f>
        <v/>
      </c>
      <c r="I570" s="77" t="str">
        <f>IF(_xlfn.MINIFS('BASE SQL PLANTIO'!E:E,'BASE SQL PLANTIO'!B:B,VOOS!A570)=0/1/1900,"",_xlfn.MINIFS('BASE SQL PLANTIO'!E:E,'BASE SQL PLANTIO'!B:B,VOOS!A570))</f>
        <v/>
      </c>
      <c r="J570" s="26"/>
      <c r="K570" s="34" t="str">
        <f t="shared" si="25"/>
        <v/>
      </c>
      <c r="L570" s="35" t="str">
        <f t="shared" si="26"/>
        <v/>
      </c>
      <c r="M570" s="14"/>
      <c r="N570" s="16"/>
    </row>
    <row r="571" spans="1:14" ht="15.6" x14ac:dyDescent="0.3">
      <c r="A571" s="13" t="str">
        <f t="shared" si="24"/>
        <v>-</v>
      </c>
      <c r="B571" s="27"/>
      <c r="C571" s="26"/>
      <c r="D571" s="26"/>
      <c r="E571" s="26"/>
      <c r="F571" s="26"/>
      <c r="G571" s="34">
        <f>SUMIFS('BASE EXEC. Q.L'!N:N,'BASE EXEC. Q.L'!B:B,VOOS!A571)</f>
        <v>0</v>
      </c>
      <c r="H571" s="15" t="str">
        <f>IFERROR(_xlfn.XLOOKUP(A571,'BASE SQL PLANTIO'!B:B,'BASE SQL PLANTIO'!T:T,"verificar",0),"")</f>
        <v/>
      </c>
      <c r="I571" s="77" t="str">
        <f>IF(_xlfn.MINIFS('BASE SQL PLANTIO'!E:E,'BASE SQL PLANTIO'!B:B,VOOS!A571)=0/1/1900,"",_xlfn.MINIFS('BASE SQL PLANTIO'!E:E,'BASE SQL PLANTIO'!B:B,VOOS!A571))</f>
        <v/>
      </c>
      <c r="J571" s="26"/>
      <c r="K571" s="34" t="str">
        <f t="shared" si="25"/>
        <v/>
      </c>
      <c r="L571" s="35" t="str">
        <f t="shared" si="26"/>
        <v/>
      </c>
      <c r="M571" s="14"/>
      <c r="N571" s="16"/>
    </row>
    <row r="572" spans="1:14" ht="15.6" x14ac:dyDescent="0.3">
      <c r="A572" s="13" t="str">
        <f t="shared" si="24"/>
        <v>-</v>
      </c>
      <c r="B572" s="25"/>
      <c r="C572" s="25"/>
      <c r="D572" s="25"/>
      <c r="E572" s="25"/>
      <c r="F572" s="31"/>
      <c r="G572" s="34">
        <f>SUMIFS('BASE EXEC. Q.L'!N:N,'BASE EXEC. Q.L'!B:B,VOOS!A572)</f>
        <v>0</v>
      </c>
      <c r="H572" s="15" t="str">
        <f>IFERROR(_xlfn.XLOOKUP(A572,'BASE SQL PLANTIO'!B:B,'BASE SQL PLANTIO'!T:T,"verificar",0),"")</f>
        <v/>
      </c>
      <c r="I572" s="77" t="str">
        <f>IF(_xlfn.MINIFS('BASE SQL PLANTIO'!E:E,'BASE SQL PLANTIO'!B:B,VOOS!A572)=0/1/1900,"",_xlfn.MINIFS('BASE SQL PLANTIO'!E:E,'BASE SQL PLANTIO'!B:B,VOOS!A572))</f>
        <v/>
      </c>
      <c r="J572" s="26"/>
      <c r="K572" s="34" t="str">
        <f t="shared" si="25"/>
        <v/>
      </c>
      <c r="L572" s="35" t="str">
        <f t="shared" si="26"/>
        <v/>
      </c>
      <c r="M572" s="14"/>
      <c r="N572" s="16"/>
    </row>
    <row r="573" spans="1:14" ht="15.6" x14ac:dyDescent="0.3">
      <c r="A573" s="13" t="str">
        <f t="shared" si="24"/>
        <v>-</v>
      </c>
      <c r="B573" s="27"/>
      <c r="C573" s="26"/>
      <c r="D573" s="26"/>
      <c r="E573" s="26"/>
      <c r="F573" s="26"/>
      <c r="G573" s="34">
        <f>SUMIFS('BASE EXEC. Q.L'!N:N,'BASE EXEC. Q.L'!B:B,VOOS!A573)</f>
        <v>0</v>
      </c>
      <c r="H573" s="15" t="str">
        <f>IFERROR(_xlfn.XLOOKUP(A573,'BASE SQL PLANTIO'!B:B,'BASE SQL PLANTIO'!T:T,"verificar",0),"")</f>
        <v/>
      </c>
      <c r="I573" s="77" t="str">
        <f>IF(_xlfn.MINIFS('BASE SQL PLANTIO'!E:E,'BASE SQL PLANTIO'!B:B,VOOS!A573)=0/1/1900,"",_xlfn.MINIFS('BASE SQL PLANTIO'!E:E,'BASE SQL PLANTIO'!B:B,VOOS!A573))</f>
        <v/>
      </c>
      <c r="J573" s="26"/>
      <c r="K573" s="34" t="str">
        <f t="shared" si="25"/>
        <v/>
      </c>
      <c r="L573" s="35" t="str">
        <f t="shared" si="26"/>
        <v/>
      </c>
      <c r="M573" s="14"/>
      <c r="N573" s="16"/>
    </row>
    <row r="574" spans="1:14" ht="15.6" x14ac:dyDescent="0.3">
      <c r="A574" s="13" t="str">
        <f t="shared" si="24"/>
        <v>-</v>
      </c>
      <c r="B574" s="27"/>
      <c r="C574" s="26"/>
      <c r="D574" s="26"/>
      <c r="E574" s="26"/>
      <c r="F574" s="26"/>
      <c r="G574" s="34">
        <f>SUMIFS('BASE EXEC. Q.L'!N:N,'BASE EXEC. Q.L'!B:B,VOOS!A574)</f>
        <v>0</v>
      </c>
      <c r="H574" s="15" t="str">
        <f>IFERROR(_xlfn.XLOOKUP(A574,'BASE SQL PLANTIO'!B:B,'BASE SQL PLANTIO'!T:T,"verificar",0),"")</f>
        <v/>
      </c>
      <c r="I574" s="77" t="str">
        <f>IF(_xlfn.MINIFS('BASE SQL PLANTIO'!E:E,'BASE SQL PLANTIO'!B:B,VOOS!A574)=0/1/1900,"",_xlfn.MINIFS('BASE SQL PLANTIO'!E:E,'BASE SQL PLANTIO'!B:B,VOOS!A574))</f>
        <v/>
      </c>
      <c r="J574" s="26"/>
      <c r="K574" s="34" t="str">
        <f t="shared" si="25"/>
        <v/>
      </c>
      <c r="L574" s="35" t="str">
        <f t="shared" si="26"/>
        <v/>
      </c>
      <c r="M574" s="14"/>
      <c r="N574" s="16"/>
    </row>
    <row r="575" spans="1:14" ht="15.6" x14ac:dyDescent="0.3">
      <c r="A575" s="13" t="str">
        <f t="shared" si="24"/>
        <v>-</v>
      </c>
      <c r="B575" s="27"/>
      <c r="C575" s="26"/>
      <c r="D575" s="26"/>
      <c r="E575" s="26"/>
      <c r="F575" s="26"/>
      <c r="G575" s="34">
        <f>SUMIFS('BASE EXEC. Q.L'!N:N,'BASE EXEC. Q.L'!B:B,VOOS!A575)</f>
        <v>0</v>
      </c>
      <c r="H575" s="15" t="str">
        <f>IFERROR(_xlfn.XLOOKUP(A575,'BASE SQL PLANTIO'!B:B,'BASE SQL PLANTIO'!T:T,"verificar",0),"")</f>
        <v/>
      </c>
      <c r="I575" s="77" t="str">
        <f>IF(_xlfn.MINIFS('BASE SQL PLANTIO'!E:E,'BASE SQL PLANTIO'!B:B,VOOS!A575)=0/1/1900,"",_xlfn.MINIFS('BASE SQL PLANTIO'!E:E,'BASE SQL PLANTIO'!B:B,VOOS!A575))</f>
        <v/>
      </c>
      <c r="J575" s="26"/>
      <c r="K575" s="34" t="str">
        <f t="shared" si="25"/>
        <v/>
      </c>
      <c r="L575" s="35" t="str">
        <f t="shared" si="26"/>
        <v/>
      </c>
      <c r="M575" s="14"/>
      <c r="N575" s="15"/>
    </row>
    <row r="576" spans="1:14" ht="15.6" x14ac:dyDescent="0.3">
      <c r="A576" s="13" t="str">
        <f t="shared" si="24"/>
        <v>-</v>
      </c>
      <c r="B576" s="25"/>
      <c r="C576" s="25"/>
      <c r="D576" s="25"/>
      <c r="E576" s="25"/>
      <c r="F576" s="31"/>
      <c r="G576" s="34">
        <f>SUMIFS('BASE EXEC. Q.L'!N:N,'BASE EXEC. Q.L'!B:B,VOOS!A576)</f>
        <v>0</v>
      </c>
      <c r="H576" s="15" t="str">
        <f>IFERROR(_xlfn.XLOOKUP(A576,'BASE SQL PLANTIO'!B:B,'BASE SQL PLANTIO'!T:T,"verificar",0),"")</f>
        <v/>
      </c>
      <c r="I576" s="77" t="str">
        <f>IF(_xlfn.MINIFS('BASE SQL PLANTIO'!E:E,'BASE SQL PLANTIO'!B:B,VOOS!A576)=0/1/1900,"",_xlfn.MINIFS('BASE SQL PLANTIO'!E:E,'BASE SQL PLANTIO'!B:B,VOOS!A576))</f>
        <v/>
      </c>
      <c r="J576" s="26"/>
      <c r="K576" s="34" t="str">
        <f t="shared" si="25"/>
        <v/>
      </c>
      <c r="L576" s="35" t="str">
        <f t="shared" si="26"/>
        <v/>
      </c>
      <c r="M576" s="14"/>
      <c r="N576" s="16"/>
    </row>
    <row r="577" spans="1:14" ht="15.6" x14ac:dyDescent="0.3">
      <c r="A577" s="13" t="str">
        <f t="shared" si="24"/>
        <v>-</v>
      </c>
      <c r="B577" s="25"/>
      <c r="C577" s="25"/>
      <c r="D577" s="25"/>
      <c r="E577" s="25"/>
      <c r="F577" s="31"/>
      <c r="G577" s="34">
        <f>SUMIFS('BASE EXEC. Q.L'!N:N,'BASE EXEC. Q.L'!B:B,VOOS!A577)</f>
        <v>0</v>
      </c>
      <c r="H577" s="15" t="str">
        <f>IFERROR(_xlfn.XLOOKUP(A577,'BASE SQL PLANTIO'!B:B,'BASE SQL PLANTIO'!T:T,"verificar",0),"")</f>
        <v/>
      </c>
      <c r="I577" s="77" t="str">
        <f>IF(_xlfn.MINIFS('BASE SQL PLANTIO'!E:E,'BASE SQL PLANTIO'!B:B,VOOS!A577)=0/1/1900,"",_xlfn.MINIFS('BASE SQL PLANTIO'!E:E,'BASE SQL PLANTIO'!B:B,VOOS!A577))</f>
        <v/>
      </c>
      <c r="J577" s="26"/>
      <c r="K577" s="34" t="str">
        <f t="shared" si="25"/>
        <v/>
      </c>
      <c r="L577" s="35" t="str">
        <f t="shared" si="26"/>
        <v/>
      </c>
      <c r="M577" s="14"/>
      <c r="N577" s="16"/>
    </row>
    <row r="578" spans="1:14" ht="15.6" x14ac:dyDescent="0.3">
      <c r="A578" s="13" t="str">
        <f t="shared" si="24"/>
        <v>-</v>
      </c>
      <c r="B578" s="25"/>
      <c r="C578" s="25"/>
      <c r="D578" s="25"/>
      <c r="E578" s="25"/>
      <c r="F578" s="31"/>
      <c r="G578" s="34">
        <f>SUMIFS('BASE EXEC. Q.L'!N:N,'BASE EXEC. Q.L'!B:B,VOOS!A578)</f>
        <v>0</v>
      </c>
      <c r="H578" s="15" t="str">
        <f>IFERROR(_xlfn.XLOOKUP(A578,'BASE SQL PLANTIO'!B:B,'BASE SQL PLANTIO'!T:T,"verificar",0),"")</f>
        <v/>
      </c>
      <c r="I578" s="77" t="str">
        <f>IF(_xlfn.MINIFS('BASE SQL PLANTIO'!E:E,'BASE SQL PLANTIO'!B:B,VOOS!A578)=0/1/1900,"",_xlfn.MINIFS('BASE SQL PLANTIO'!E:E,'BASE SQL PLANTIO'!B:B,VOOS!A578))</f>
        <v/>
      </c>
      <c r="J578" s="26"/>
      <c r="K578" s="34" t="str">
        <f t="shared" si="25"/>
        <v/>
      </c>
      <c r="L578" s="35" t="str">
        <f t="shared" si="26"/>
        <v/>
      </c>
      <c r="M578" s="14"/>
      <c r="N578" s="16"/>
    </row>
    <row r="579" spans="1:14" ht="15.6" x14ac:dyDescent="0.3">
      <c r="A579" s="13" t="str">
        <f t="shared" si="24"/>
        <v>-</v>
      </c>
      <c r="B579" s="27"/>
      <c r="C579" s="26"/>
      <c r="D579" s="26"/>
      <c r="E579" s="26"/>
      <c r="F579" s="26"/>
      <c r="G579" s="34">
        <f>SUMIFS('BASE EXEC. Q.L'!N:N,'BASE EXEC. Q.L'!B:B,VOOS!A579)</f>
        <v>0</v>
      </c>
      <c r="H579" s="15" t="str">
        <f>IFERROR(_xlfn.XLOOKUP(A579,'BASE SQL PLANTIO'!B:B,'BASE SQL PLANTIO'!T:T,"verificar",0),"")</f>
        <v/>
      </c>
      <c r="I579" s="77" t="str">
        <f>IF(_xlfn.MINIFS('BASE SQL PLANTIO'!E:E,'BASE SQL PLANTIO'!B:B,VOOS!A579)=0/1/1900,"",_xlfn.MINIFS('BASE SQL PLANTIO'!E:E,'BASE SQL PLANTIO'!B:B,VOOS!A579))</f>
        <v/>
      </c>
      <c r="J579" s="26"/>
      <c r="K579" s="34" t="str">
        <f t="shared" si="25"/>
        <v/>
      </c>
      <c r="L579" s="35" t="str">
        <f t="shared" si="26"/>
        <v/>
      </c>
      <c r="M579" s="14"/>
      <c r="N579" s="16"/>
    </row>
    <row r="580" spans="1:14" ht="15.6" x14ac:dyDescent="0.3">
      <c r="A580" s="13" t="str">
        <f t="shared" si="24"/>
        <v>-</v>
      </c>
      <c r="B580" s="25"/>
      <c r="C580" s="25"/>
      <c r="D580" s="25"/>
      <c r="E580" s="25"/>
      <c r="F580" s="31"/>
      <c r="G580" s="34">
        <f>SUMIFS('BASE EXEC. Q.L'!N:N,'BASE EXEC. Q.L'!B:B,VOOS!A580)</f>
        <v>0</v>
      </c>
      <c r="H580" s="15" t="str">
        <f>IFERROR(_xlfn.XLOOKUP(A580,'BASE SQL PLANTIO'!B:B,'BASE SQL PLANTIO'!T:T,"verificar",0),"")</f>
        <v/>
      </c>
      <c r="I580" s="77" t="str">
        <f>IF(_xlfn.MINIFS('BASE SQL PLANTIO'!E:E,'BASE SQL PLANTIO'!B:B,VOOS!A580)=0/1/1900,"",_xlfn.MINIFS('BASE SQL PLANTIO'!E:E,'BASE SQL PLANTIO'!B:B,VOOS!A580))</f>
        <v/>
      </c>
      <c r="J580" s="26"/>
      <c r="K580" s="34" t="str">
        <f t="shared" si="25"/>
        <v/>
      </c>
      <c r="L580" s="35" t="str">
        <f t="shared" si="26"/>
        <v/>
      </c>
      <c r="M580" s="14"/>
      <c r="N580" s="16"/>
    </row>
    <row r="581" spans="1:14" ht="15.6" x14ac:dyDescent="0.3">
      <c r="A581" s="13" t="str">
        <f t="shared" ref="A581:A644" si="27">CONCATENATE(B581,"-",E581)</f>
        <v>-</v>
      </c>
      <c r="B581" s="27"/>
      <c r="C581" s="26"/>
      <c r="D581" s="26"/>
      <c r="E581" s="26"/>
      <c r="F581" s="26"/>
      <c r="G581" s="34">
        <f>SUMIFS('BASE EXEC. Q.L'!N:N,'BASE EXEC. Q.L'!B:B,VOOS!A581)</f>
        <v>0</v>
      </c>
      <c r="H581" s="15" t="str">
        <f>IFERROR(_xlfn.XLOOKUP(A581,'BASE SQL PLANTIO'!B:B,'BASE SQL PLANTIO'!T:T,"verificar",0),"")</f>
        <v/>
      </c>
      <c r="I581" s="77" t="str">
        <f>IF(_xlfn.MINIFS('BASE SQL PLANTIO'!E:E,'BASE SQL PLANTIO'!B:B,VOOS!A581)=0/1/1900,"",_xlfn.MINIFS('BASE SQL PLANTIO'!E:E,'BASE SQL PLANTIO'!B:B,VOOS!A581))</f>
        <v/>
      </c>
      <c r="J581" s="26"/>
      <c r="K581" s="34" t="str">
        <f t="shared" ref="K581:K644" si="28">IF(I581="","",$K$3-I581)</f>
        <v/>
      </c>
      <c r="L581" s="35" t="str">
        <f t="shared" ref="L581:L644" si="29">K581</f>
        <v/>
      </c>
      <c r="M581" s="14"/>
      <c r="N581" s="16"/>
    </row>
    <row r="582" spans="1:14" ht="15.6" x14ac:dyDescent="0.3">
      <c r="A582" s="13" t="str">
        <f t="shared" si="27"/>
        <v>-</v>
      </c>
      <c r="B582" s="27"/>
      <c r="C582" s="26"/>
      <c r="D582" s="26"/>
      <c r="E582" s="26"/>
      <c r="F582" s="26"/>
      <c r="G582" s="34">
        <f>SUMIFS('BASE EXEC. Q.L'!N:N,'BASE EXEC. Q.L'!B:B,VOOS!A582)</f>
        <v>0</v>
      </c>
      <c r="H582" s="15" t="str">
        <f>IFERROR(_xlfn.XLOOKUP(A582,'BASE SQL PLANTIO'!B:B,'BASE SQL PLANTIO'!T:T,"verificar",0),"")</f>
        <v/>
      </c>
      <c r="I582" s="77" t="str">
        <f>IF(_xlfn.MINIFS('BASE SQL PLANTIO'!E:E,'BASE SQL PLANTIO'!B:B,VOOS!A582)=0/1/1900,"",_xlfn.MINIFS('BASE SQL PLANTIO'!E:E,'BASE SQL PLANTIO'!B:B,VOOS!A582))</f>
        <v/>
      </c>
      <c r="J582" s="26"/>
      <c r="K582" s="34" t="str">
        <f t="shared" si="28"/>
        <v/>
      </c>
      <c r="L582" s="35" t="str">
        <f t="shared" si="29"/>
        <v/>
      </c>
      <c r="M582" s="14"/>
      <c r="N582" s="16"/>
    </row>
    <row r="583" spans="1:14" ht="15.6" x14ac:dyDescent="0.3">
      <c r="A583" s="13" t="str">
        <f t="shared" si="27"/>
        <v>-</v>
      </c>
      <c r="B583" s="27"/>
      <c r="C583" s="26"/>
      <c r="D583" s="26"/>
      <c r="E583" s="26"/>
      <c r="F583" s="26"/>
      <c r="G583" s="34">
        <f>SUMIFS('BASE EXEC. Q.L'!N:N,'BASE EXEC. Q.L'!B:B,VOOS!A583)</f>
        <v>0</v>
      </c>
      <c r="H583" s="15" t="str">
        <f>IFERROR(_xlfn.XLOOKUP(A583,'BASE SQL PLANTIO'!B:B,'BASE SQL PLANTIO'!T:T,"verificar",0),"")</f>
        <v/>
      </c>
      <c r="I583" s="77" t="str">
        <f>IF(_xlfn.MINIFS('BASE SQL PLANTIO'!E:E,'BASE SQL PLANTIO'!B:B,VOOS!A583)=0/1/1900,"",_xlfn.MINIFS('BASE SQL PLANTIO'!E:E,'BASE SQL PLANTIO'!B:B,VOOS!A583))</f>
        <v/>
      </c>
      <c r="J583" s="26"/>
      <c r="K583" s="34" t="str">
        <f t="shared" si="28"/>
        <v/>
      </c>
      <c r="L583" s="35" t="str">
        <f t="shared" si="29"/>
        <v/>
      </c>
      <c r="M583" s="14"/>
      <c r="N583" s="16"/>
    </row>
    <row r="584" spans="1:14" ht="15.6" x14ac:dyDescent="0.3">
      <c r="A584" s="13" t="str">
        <f t="shared" si="27"/>
        <v>-</v>
      </c>
      <c r="B584" s="25"/>
      <c r="C584" s="25"/>
      <c r="D584" s="25"/>
      <c r="E584" s="25"/>
      <c r="F584" s="31"/>
      <c r="G584" s="34">
        <f>SUMIFS('BASE EXEC. Q.L'!N:N,'BASE EXEC. Q.L'!B:B,VOOS!A584)</f>
        <v>0</v>
      </c>
      <c r="H584" s="15" t="str">
        <f>IFERROR(_xlfn.XLOOKUP(A584,'BASE SQL PLANTIO'!B:B,'BASE SQL PLANTIO'!T:T,"verificar",0),"")</f>
        <v/>
      </c>
      <c r="I584" s="77" t="str">
        <f>IF(_xlfn.MINIFS('BASE SQL PLANTIO'!E:E,'BASE SQL PLANTIO'!B:B,VOOS!A584)=0/1/1900,"",_xlfn.MINIFS('BASE SQL PLANTIO'!E:E,'BASE SQL PLANTIO'!B:B,VOOS!A584))</f>
        <v/>
      </c>
      <c r="J584" s="26"/>
      <c r="K584" s="34" t="str">
        <f t="shared" si="28"/>
        <v/>
      </c>
      <c r="L584" s="35" t="str">
        <f t="shared" si="29"/>
        <v/>
      </c>
      <c r="M584" s="14"/>
      <c r="N584" s="16"/>
    </row>
    <row r="585" spans="1:14" ht="15.6" x14ac:dyDescent="0.3">
      <c r="A585" s="13" t="str">
        <f t="shared" si="27"/>
        <v>-</v>
      </c>
      <c r="B585" s="25"/>
      <c r="C585" s="25"/>
      <c r="D585" s="25"/>
      <c r="E585" s="25"/>
      <c r="F585" s="31"/>
      <c r="G585" s="34">
        <f>SUMIFS('BASE EXEC. Q.L'!N:N,'BASE EXEC. Q.L'!B:B,VOOS!A585)</f>
        <v>0</v>
      </c>
      <c r="H585" s="15" t="str">
        <f>IFERROR(_xlfn.XLOOKUP(A585,'BASE SQL PLANTIO'!B:B,'BASE SQL PLANTIO'!T:T,"verificar",0),"")</f>
        <v/>
      </c>
      <c r="I585" s="77" t="str">
        <f>IF(_xlfn.MINIFS('BASE SQL PLANTIO'!E:E,'BASE SQL PLANTIO'!B:B,VOOS!A585)=0/1/1900,"",_xlfn.MINIFS('BASE SQL PLANTIO'!E:E,'BASE SQL PLANTIO'!B:B,VOOS!A585))</f>
        <v/>
      </c>
      <c r="J585" s="26"/>
      <c r="K585" s="34" t="str">
        <f t="shared" si="28"/>
        <v/>
      </c>
      <c r="L585" s="35" t="str">
        <f t="shared" si="29"/>
        <v/>
      </c>
      <c r="M585" s="14"/>
      <c r="N585" s="16"/>
    </row>
    <row r="586" spans="1:14" ht="15.6" x14ac:dyDescent="0.3">
      <c r="A586" s="13" t="str">
        <f t="shared" si="27"/>
        <v>-</v>
      </c>
      <c r="B586" s="25"/>
      <c r="C586" s="25"/>
      <c r="D586" s="25"/>
      <c r="E586" s="25"/>
      <c r="F586" s="31"/>
      <c r="G586" s="34">
        <f>SUMIFS('BASE EXEC. Q.L'!N:N,'BASE EXEC. Q.L'!B:B,VOOS!A586)</f>
        <v>0</v>
      </c>
      <c r="H586" s="15" t="str">
        <f>IFERROR(_xlfn.XLOOKUP(A586,'BASE SQL PLANTIO'!B:B,'BASE SQL PLANTIO'!T:T,"verificar",0),"")</f>
        <v/>
      </c>
      <c r="I586" s="77" t="str">
        <f>IF(_xlfn.MINIFS('BASE SQL PLANTIO'!E:E,'BASE SQL PLANTIO'!B:B,VOOS!A586)=0/1/1900,"",_xlfn.MINIFS('BASE SQL PLANTIO'!E:E,'BASE SQL PLANTIO'!B:B,VOOS!A586))</f>
        <v/>
      </c>
      <c r="J586" s="26"/>
      <c r="K586" s="34" t="str">
        <f t="shared" si="28"/>
        <v/>
      </c>
      <c r="L586" s="35" t="str">
        <f t="shared" si="29"/>
        <v/>
      </c>
      <c r="M586" s="14"/>
      <c r="N586" s="16"/>
    </row>
    <row r="587" spans="1:14" ht="15.6" x14ac:dyDescent="0.3">
      <c r="A587" s="13" t="str">
        <f t="shared" si="27"/>
        <v>-</v>
      </c>
      <c r="B587" s="27"/>
      <c r="C587" s="26"/>
      <c r="D587" s="26"/>
      <c r="E587" s="26"/>
      <c r="F587" s="26"/>
      <c r="G587" s="34">
        <f>SUMIFS('BASE EXEC. Q.L'!N:N,'BASE EXEC. Q.L'!B:B,VOOS!A587)</f>
        <v>0</v>
      </c>
      <c r="H587" s="15" t="str">
        <f>IFERROR(_xlfn.XLOOKUP(A587,'BASE SQL PLANTIO'!B:B,'BASE SQL PLANTIO'!T:T,"verificar",0),"")</f>
        <v/>
      </c>
      <c r="I587" s="77" t="str">
        <f>IF(_xlfn.MINIFS('BASE SQL PLANTIO'!E:E,'BASE SQL PLANTIO'!B:B,VOOS!A587)=0/1/1900,"",_xlfn.MINIFS('BASE SQL PLANTIO'!E:E,'BASE SQL PLANTIO'!B:B,VOOS!A587))</f>
        <v/>
      </c>
      <c r="J587" s="26"/>
      <c r="K587" s="34" t="str">
        <f t="shared" si="28"/>
        <v/>
      </c>
      <c r="L587" s="35" t="str">
        <f t="shared" si="29"/>
        <v/>
      </c>
      <c r="M587" s="14"/>
      <c r="N587" s="15"/>
    </row>
    <row r="588" spans="1:14" ht="15.6" x14ac:dyDescent="0.3">
      <c r="A588" s="13" t="str">
        <f t="shared" si="27"/>
        <v>-</v>
      </c>
      <c r="B588" s="27"/>
      <c r="C588" s="26"/>
      <c r="D588" s="26"/>
      <c r="E588" s="26"/>
      <c r="F588" s="26"/>
      <c r="G588" s="34">
        <f>SUMIFS('BASE EXEC. Q.L'!N:N,'BASE EXEC. Q.L'!B:B,VOOS!A588)</f>
        <v>0</v>
      </c>
      <c r="H588" s="15" t="str">
        <f>IFERROR(_xlfn.XLOOKUP(A588,'BASE SQL PLANTIO'!B:B,'BASE SQL PLANTIO'!T:T,"verificar",0),"")</f>
        <v/>
      </c>
      <c r="I588" s="77" t="str">
        <f>IF(_xlfn.MINIFS('BASE SQL PLANTIO'!E:E,'BASE SQL PLANTIO'!B:B,VOOS!A588)=0/1/1900,"",_xlfn.MINIFS('BASE SQL PLANTIO'!E:E,'BASE SQL PLANTIO'!B:B,VOOS!A588))</f>
        <v/>
      </c>
      <c r="J588" s="26"/>
      <c r="K588" s="34" t="str">
        <f t="shared" si="28"/>
        <v/>
      </c>
      <c r="L588" s="35" t="str">
        <f t="shared" si="29"/>
        <v/>
      </c>
      <c r="M588" s="14"/>
      <c r="N588" s="16"/>
    </row>
    <row r="589" spans="1:14" ht="15.6" x14ac:dyDescent="0.3">
      <c r="A589" s="13" t="str">
        <f t="shared" si="27"/>
        <v>-</v>
      </c>
      <c r="B589" s="27"/>
      <c r="C589" s="22"/>
      <c r="D589" s="23"/>
      <c r="E589" s="23"/>
      <c r="F589" s="22"/>
      <c r="G589" s="34">
        <f>SUMIFS('BASE EXEC. Q.L'!N:N,'BASE EXEC. Q.L'!B:B,VOOS!A589)</f>
        <v>0</v>
      </c>
      <c r="H589" s="15" t="str">
        <f>IFERROR(_xlfn.XLOOKUP(A589,'BASE SQL PLANTIO'!B:B,'BASE SQL PLANTIO'!T:T,"verificar",0),"")</f>
        <v/>
      </c>
      <c r="I589" s="77" t="str">
        <f>IF(_xlfn.MINIFS('BASE SQL PLANTIO'!E:E,'BASE SQL PLANTIO'!B:B,VOOS!A589)=0/1/1900,"",_xlfn.MINIFS('BASE SQL PLANTIO'!E:E,'BASE SQL PLANTIO'!B:B,VOOS!A589))</f>
        <v/>
      </c>
      <c r="J589" s="22"/>
      <c r="K589" s="34" t="str">
        <f t="shared" si="28"/>
        <v/>
      </c>
      <c r="L589" s="35" t="str">
        <f t="shared" si="29"/>
        <v/>
      </c>
      <c r="M589" s="14"/>
      <c r="N589" s="16"/>
    </row>
    <row r="590" spans="1:14" ht="15.6" x14ac:dyDescent="0.3">
      <c r="A590" s="13" t="str">
        <f t="shared" si="27"/>
        <v>-</v>
      </c>
      <c r="B590" s="27"/>
      <c r="C590" s="26"/>
      <c r="D590" s="26"/>
      <c r="E590" s="26"/>
      <c r="F590" s="26"/>
      <c r="G590" s="34">
        <f>SUMIFS('BASE EXEC. Q.L'!N:N,'BASE EXEC. Q.L'!B:B,VOOS!A590)</f>
        <v>0</v>
      </c>
      <c r="H590" s="15" t="str">
        <f>IFERROR(_xlfn.XLOOKUP(A590,'BASE SQL PLANTIO'!B:B,'BASE SQL PLANTIO'!T:T,"verificar",0),"")</f>
        <v/>
      </c>
      <c r="I590" s="77" t="str">
        <f>IF(_xlfn.MINIFS('BASE SQL PLANTIO'!E:E,'BASE SQL PLANTIO'!B:B,VOOS!A590)=0/1/1900,"",_xlfn.MINIFS('BASE SQL PLANTIO'!E:E,'BASE SQL PLANTIO'!B:B,VOOS!A590))</f>
        <v/>
      </c>
      <c r="J590" s="26"/>
      <c r="K590" s="34" t="str">
        <f t="shared" si="28"/>
        <v/>
      </c>
      <c r="L590" s="35" t="str">
        <f t="shared" si="29"/>
        <v/>
      </c>
      <c r="M590" s="14"/>
      <c r="N590" s="16"/>
    </row>
    <row r="591" spans="1:14" ht="15.6" x14ac:dyDescent="0.3">
      <c r="A591" s="13" t="str">
        <f t="shared" si="27"/>
        <v>-</v>
      </c>
      <c r="B591" s="27"/>
      <c r="C591" s="26"/>
      <c r="D591" s="26"/>
      <c r="E591" s="26"/>
      <c r="F591" s="26"/>
      <c r="G591" s="34">
        <f>SUMIFS('BASE EXEC. Q.L'!N:N,'BASE EXEC. Q.L'!B:B,VOOS!A591)</f>
        <v>0</v>
      </c>
      <c r="H591" s="15" t="str">
        <f>IFERROR(_xlfn.XLOOKUP(A591,'BASE SQL PLANTIO'!B:B,'BASE SQL PLANTIO'!T:T,"verificar",0),"")</f>
        <v/>
      </c>
      <c r="I591" s="77" t="str">
        <f>IF(_xlfn.MINIFS('BASE SQL PLANTIO'!E:E,'BASE SQL PLANTIO'!B:B,VOOS!A591)=0/1/1900,"",_xlfn.MINIFS('BASE SQL PLANTIO'!E:E,'BASE SQL PLANTIO'!B:B,VOOS!A591))</f>
        <v/>
      </c>
      <c r="J591" s="26"/>
      <c r="K591" s="34" t="str">
        <f t="shared" si="28"/>
        <v/>
      </c>
      <c r="L591" s="35" t="str">
        <f t="shared" si="29"/>
        <v/>
      </c>
      <c r="M591" s="14"/>
      <c r="N591" s="16"/>
    </row>
    <row r="592" spans="1:14" ht="15.6" x14ac:dyDescent="0.3">
      <c r="A592" s="13" t="str">
        <f t="shared" si="27"/>
        <v>-</v>
      </c>
      <c r="B592" s="27"/>
      <c r="C592" s="26"/>
      <c r="D592" s="26"/>
      <c r="E592" s="26"/>
      <c r="F592" s="26"/>
      <c r="G592" s="34">
        <f>SUMIFS('BASE EXEC. Q.L'!N:N,'BASE EXEC. Q.L'!B:B,VOOS!A592)</f>
        <v>0</v>
      </c>
      <c r="H592" s="15" t="str">
        <f>IFERROR(_xlfn.XLOOKUP(A592,'BASE SQL PLANTIO'!B:B,'BASE SQL PLANTIO'!T:T,"verificar",0),"")</f>
        <v/>
      </c>
      <c r="I592" s="77" t="str">
        <f>IF(_xlfn.MINIFS('BASE SQL PLANTIO'!E:E,'BASE SQL PLANTIO'!B:B,VOOS!A592)=0/1/1900,"",_xlfn.MINIFS('BASE SQL PLANTIO'!E:E,'BASE SQL PLANTIO'!B:B,VOOS!A592))</f>
        <v/>
      </c>
      <c r="J592" s="26"/>
      <c r="K592" s="34" t="str">
        <f t="shared" si="28"/>
        <v/>
      </c>
      <c r="L592" s="35" t="str">
        <f t="shared" si="29"/>
        <v/>
      </c>
      <c r="M592" s="14"/>
      <c r="N592" s="16"/>
    </row>
    <row r="593" spans="1:14" ht="15.6" x14ac:dyDescent="0.3">
      <c r="A593" s="13" t="str">
        <f t="shared" si="27"/>
        <v>-</v>
      </c>
      <c r="B593" s="27"/>
      <c r="C593" s="26"/>
      <c r="D593" s="26"/>
      <c r="E593" s="26"/>
      <c r="F593" s="26"/>
      <c r="G593" s="34">
        <f>SUMIFS('BASE EXEC. Q.L'!N:N,'BASE EXEC. Q.L'!B:B,VOOS!A593)</f>
        <v>0</v>
      </c>
      <c r="H593" s="15" t="str">
        <f>IFERROR(_xlfn.XLOOKUP(A593,'BASE SQL PLANTIO'!B:B,'BASE SQL PLANTIO'!T:T,"verificar",0),"")</f>
        <v/>
      </c>
      <c r="I593" s="77" t="str">
        <f>IF(_xlfn.MINIFS('BASE SQL PLANTIO'!E:E,'BASE SQL PLANTIO'!B:B,VOOS!A593)=0/1/1900,"",_xlfn.MINIFS('BASE SQL PLANTIO'!E:E,'BASE SQL PLANTIO'!B:B,VOOS!A593))</f>
        <v/>
      </c>
      <c r="J593" s="26"/>
      <c r="K593" s="34" t="str">
        <f t="shared" si="28"/>
        <v/>
      </c>
      <c r="L593" s="35" t="str">
        <f t="shared" si="29"/>
        <v/>
      </c>
      <c r="M593" s="14"/>
      <c r="N593" s="16"/>
    </row>
    <row r="594" spans="1:14" ht="15.6" x14ac:dyDescent="0.3">
      <c r="A594" s="13" t="str">
        <f t="shared" si="27"/>
        <v>-</v>
      </c>
      <c r="B594" s="27"/>
      <c r="C594" s="26"/>
      <c r="D594" s="26"/>
      <c r="E594" s="26"/>
      <c r="F594" s="26"/>
      <c r="G594" s="34">
        <f>SUMIFS('BASE EXEC. Q.L'!N:N,'BASE EXEC. Q.L'!B:B,VOOS!A594)</f>
        <v>0</v>
      </c>
      <c r="H594" s="15" t="str">
        <f>IFERROR(_xlfn.XLOOKUP(A594,'BASE SQL PLANTIO'!B:B,'BASE SQL PLANTIO'!T:T,"verificar",0),"")</f>
        <v/>
      </c>
      <c r="I594" s="77" t="str">
        <f>IF(_xlfn.MINIFS('BASE SQL PLANTIO'!E:E,'BASE SQL PLANTIO'!B:B,VOOS!A594)=0/1/1900,"",_xlfn.MINIFS('BASE SQL PLANTIO'!E:E,'BASE SQL PLANTIO'!B:B,VOOS!A594))</f>
        <v/>
      </c>
      <c r="J594" s="26"/>
      <c r="K594" s="34" t="str">
        <f t="shared" si="28"/>
        <v/>
      </c>
      <c r="L594" s="35" t="str">
        <f t="shared" si="29"/>
        <v/>
      </c>
      <c r="M594" s="14"/>
      <c r="N594" s="16"/>
    </row>
    <row r="595" spans="1:14" ht="15.6" x14ac:dyDescent="0.3">
      <c r="A595" s="13" t="str">
        <f t="shared" si="27"/>
        <v>-</v>
      </c>
      <c r="B595" s="25"/>
      <c r="C595" s="25"/>
      <c r="D595" s="25"/>
      <c r="E595" s="25"/>
      <c r="F595" s="31"/>
      <c r="G595" s="34">
        <f>SUMIFS('BASE EXEC. Q.L'!N:N,'BASE EXEC. Q.L'!B:B,VOOS!A595)</f>
        <v>0</v>
      </c>
      <c r="H595" s="15" t="str">
        <f>IFERROR(_xlfn.XLOOKUP(A595,'BASE SQL PLANTIO'!B:B,'BASE SQL PLANTIO'!T:T,"verificar",0),"")</f>
        <v/>
      </c>
      <c r="I595" s="77" t="str">
        <f>IF(_xlfn.MINIFS('BASE SQL PLANTIO'!E:E,'BASE SQL PLANTIO'!B:B,VOOS!A595)=0/1/1900,"",_xlfn.MINIFS('BASE SQL PLANTIO'!E:E,'BASE SQL PLANTIO'!B:B,VOOS!A595))</f>
        <v/>
      </c>
      <c r="J595" s="26"/>
      <c r="K595" s="34" t="str">
        <f t="shared" si="28"/>
        <v/>
      </c>
      <c r="L595" s="35" t="str">
        <f t="shared" si="29"/>
        <v/>
      </c>
      <c r="M595" s="14"/>
      <c r="N595" s="16"/>
    </row>
    <row r="596" spans="1:14" ht="15.6" x14ac:dyDescent="0.3">
      <c r="A596" s="13" t="str">
        <f t="shared" si="27"/>
        <v>-</v>
      </c>
      <c r="B596" s="27"/>
      <c r="C596" s="26"/>
      <c r="D596" s="26"/>
      <c r="E596" s="26"/>
      <c r="F596" s="26"/>
      <c r="G596" s="34">
        <f>SUMIFS('BASE EXEC. Q.L'!N:N,'BASE EXEC. Q.L'!B:B,VOOS!A596)</f>
        <v>0</v>
      </c>
      <c r="H596" s="15" t="str">
        <f>IFERROR(_xlfn.XLOOKUP(A596,'BASE SQL PLANTIO'!B:B,'BASE SQL PLANTIO'!T:T,"verificar",0),"")</f>
        <v/>
      </c>
      <c r="I596" s="77" t="str">
        <f>IF(_xlfn.MINIFS('BASE SQL PLANTIO'!E:E,'BASE SQL PLANTIO'!B:B,VOOS!A596)=0/1/1900,"",_xlfn.MINIFS('BASE SQL PLANTIO'!E:E,'BASE SQL PLANTIO'!B:B,VOOS!A596))</f>
        <v/>
      </c>
      <c r="J596" s="26"/>
      <c r="K596" s="34" t="str">
        <f t="shared" si="28"/>
        <v/>
      </c>
      <c r="L596" s="35" t="str">
        <f t="shared" si="29"/>
        <v/>
      </c>
      <c r="M596" s="14"/>
      <c r="N596" s="16"/>
    </row>
    <row r="597" spans="1:14" ht="15.6" x14ac:dyDescent="0.3">
      <c r="A597" s="13" t="str">
        <f t="shared" si="27"/>
        <v>-</v>
      </c>
      <c r="B597" s="27"/>
      <c r="C597" s="26"/>
      <c r="D597" s="26"/>
      <c r="E597" s="26"/>
      <c r="F597" s="26"/>
      <c r="G597" s="34">
        <f>SUMIFS('BASE EXEC. Q.L'!N:N,'BASE EXEC. Q.L'!B:B,VOOS!A597)</f>
        <v>0</v>
      </c>
      <c r="H597" s="15" t="str">
        <f>IFERROR(_xlfn.XLOOKUP(A597,'BASE SQL PLANTIO'!B:B,'BASE SQL PLANTIO'!T:T,"verificar",0),"")</f>
        <v/>
      </c>
      <c r="I597" s="77" t="str">
        <f>IF(_xlfn.MINIFS('BASE SQL PLANTIO'!E:E,'BASE SQL PLANTIO'!B:B,VOOS!A597)=0/1/1900,"",_xlfn.MINIFS('BASE SQL PLANTIO'!E:E,'BASE SQL PLANTIO'!B:B,VOOS!A597))</f>
        <v/>
      </c>
      <c r="J597" s="26"/>
      <c r="K597" s="34" t="str">
        <f t="shared" si="28"/>
        <v/>
      </c>
      <c r="L597" s="35" t="str">
        <f t="shared" si="29"/>
        <v/>
      </c>
      <c r="M597" s="14"/>
      <c r="N597" s="16"/>
    </row>
    <row r="598" spans="1:14" ht="15.6" x14ac:dyDescent="0.3">
      <c r="A598" s="13" t="str">
        <f t="shared" si="27"/>
        <v>-</v>
      </c>
      <c r="B598" s="27"/>
      <c r="C598" s="26"/>
      <c r="D598" s="26"/>
      <c r="E598" s="26"/>
      <c r="F598" s="26"/>
      <c r="G598" s="34">
        <f>SUMIFS('BASE EXEC. Q.L'!N:N,'BASE EXEC. Q.L'!B:B,VOOS!A598)</f>
        <v>0</v>
      </c>
      <c r="H598" s="15" t="str">
        <f>IFERROR(_xlfn.XLOOKUP(A598,'BASE SQL PLANTIO'!B:B,'BASE SQL PLANTIO'!T:T,"verificar",0),"")</f>
        <v/>
      </c>
      <c r="I598" s="77" t="str">
        <f>IF(_xlfn.MINIFS('BASE SQL PLANTIO'!E:E,'BASE SQL PLANTIO'!B:B,VOOS!A598)=0/1/1900,"",_xlfn.MINIFS('BASE SQL PLANTIO'!E:E,'BASE SQL PLANTIO'!B:B,VOOS!A598))</f>
        <v/>
      </c>
      <c r="J598" s="26"/>
      <c r="K598" s="34" t="str">
        <f t="shared" si="28"/>
        <v/>
      </c>
      <c r="L598" s="35" t="str">
        <f t="shared" si="29"/>
        <v/>
      </c>
      <c r="M598" s="14"/>
      <c r="N598" s="16"/>
    </row>
    <row r="599" spans="1:14" ht="15.6" x14ac:dyDescent="0.3">
      <c r="A599" s="13" t="str">
        <f t="shared" si="27"/>
        <v>-</v>
      </c>
      <c r="B599" s="27"/>
      <c r="C599" s="26"/>
      <c r="D599" s="26"/>
      <c r="E599" s="26"/>
      <c r="F599" s="26"/>
      <c r="G599" s="34">
        <f>SUMIFS('BASE EXEC. Q.L'!N:N,'BASE EXEC. Q.L'!B:B,VOOS!A599)</f>
        <v>0</v>
      </c>
      <c r="H599" s="15" t="str">
        <f>IFERROR(_xlfn.XLOOKUP(A599,'BASE SQL PLANTIO'!B:B,'BASE SQL PLANTIO'!T:T,"verificar",0),"")</f>
        <v/>
      </c>
      <c r="I599" s="77" t="str">
        <f>IF(_xlfn.MINIFS('BASE SQL PLANTIO'!E:E,'BASE SQL PLANTIO'!B:B,VOOS!A599)=0/1/1900,"",_xlfn.MINIFS('BASE SQL PLANTIO'!E:E,'BASE SQL PLANTIO'!B:B,VOOS!A599))</f>
        <v/>
      </c>
      <c r="J599" s="26"/>
      <c r="K599" s="34" t="str">
        <f t="shared" si="28"/>
        <v/>
      </c>
      <c r="L599" s="35" t="str">
        <f t="shared" si="29"/>
        <v/>
      </c>
      <c r="M599" s="14"/>
      <c r="N599" s="16"/>
    </row>
    <row r="600" spans="1:14" ht="15.6" x14ac:dyDescent="0.3">
      <c r="A600" s="13" t="str">
        <f t="shared" si="27"/>
        <v>-</v>
      </c>
      <c r="B600" s="27"/>
      <c r="C600" s="26"/>
      <c r="D600" s="26"/>
      <c r="E600" s="26"/>
      <c r="F600" s="26"/>
      <c r="G600" s="34">
        <f>SUMIFS('BASE EXEC. Q.L'!N:N,'BASE EXEC. Q.L'!B:B,VOOS!A600)</f>
        <v>0</v>
      </c>
      <c r="H600" s="15" t="str">
        <f>IFERROR(_xlfn.XLOOKUP(A600,'BASE SQL PLANTIO'!B:B,'BASE SQL PLANTIO'!T:T,"verificar",0),"")</f>
        <v/>
      </c>
      <c r="I600" s="77" t="str">
        <f>IF(_xlfn.MINIFS('BASE SQL PLANTIO'!E:E,'BASE SQL PLANTIO'!B:B,VOOS!A600)=0/1/1900,"",_xlfn.MINIFS('BASE SQL PLANTIO'!E:E,'BASE SQL PLANTIO'!B:B,VOOS!A600))</f>
        <v/>
      </c>
      <c r="J600" s="26"/>
      <c r="K600" s="34" t="str">
        <f t="shared" si="28"/>
        <v/>
      </c>
      <c r="L600" s="35" t="str">
        <f t="shared" si="29"/>
        <v/>
      </c>
      <c r="M600" s="14"/>
      <c r="N600" s="16"/>
    </row>
    <row r="601" spans="1:14" ht="15.6" x14ac:dyDescent="0.3">
      <c r="A601" s="13" t="str">
        <f t="shared" si="27"/>
        <v>-</v>
      </c>
      <c r="B601" s="25"/>
      <c r="C601" s="25"/>
      <c r="D601" s="25"/>
      <c r="E601" s="25"/>
      <c r="F601" s="31"/>
      <c r="G601" s="34">
        <f>SUMIFS('BASE EXEC. Q.L'!N:N,'BASE EXEC. Q.L'!B:B,VOOS!A601)</f>
        <v>0</v>
      </c>
      <c r="H601" s="15" t="str">
        <f>IFERROR(_xlfn.XLOOKUP(A601,'BASE SQL PLANTIO'!B:B,'BASE SQL PLANTIO'!T:T,"verificar",0),"")</f>
        <v/>
      </c>
      <c r="I601" s="77" t="str">
        <f>IF(_xlfn.MINIFS('BASE SQL PLANTIO'!E:E,'BASE SQL PLANTIO'!B:B,VOOS!A601)=0/1/1900,"",_xlfn.MINIFS('BASE SQL PLANTIO'!E:E,'BASE SQL PLANTIO'!B:B,VOOS!A601))</f>
        <v/>
      </c>
      <c r="J601" s="26"/>
      <c r="K601" s="34" t="str">
        <f t="shared" si="28"/>
        <v/>
      </c>
      <c r="L601" s="35" t="str">
        <f t="shared" si="29"/>
        <v/>
      </c>
      <c r="M601" s="14"/>
      <c r="N601" s="16"/>
    </row>
    <row r="602" spans="1:14" ht="15.6" x14ac:dyDescent="0.3">
      <c r="A602" s="13" t="str">
        <f t="shared" si="27"/>
        <v>-</v>
      </c>
      <c r="B602" s="25"/>
      <c r="C602" s="25"/>
      <c r="D602" s="25"/>
      <c r="E602" s="25"/>
      <c r="F602" s="31"/>
      <c r="G602" s="34">
        <f>SUMIFS('BASE EXEC. Q.L'!N:N,'BASE EXEC. Q.L'!B:B,VOOS!A602)</f>
        <v>0</v>
      </c>
      <c r="H602" s="15" t="str">
        <f>IFERROR(_xlfn.XLOOKUP(A602,'BASE SQL PLANTIO'!B:B,'BASE SQL PLANTIO'!T:T,"verificar",0),"")</f>
        <v/>
      </c>
      <c r="I602" s="77" t="str">
        <f>IF(_xlfn.MINIFS('BASE SQL PLANTIO'!E:E,'BASE SQL PLANTIO'!B:B,VOOS!A602)=0/1/1900,"",_xlfn.MINIFS('BASE SQL PLANTIO'!E:E,'BASE SQL PLANTIO'!B:B,VOOS!A602))</f>
        <v/>
      </c>
      <c r="J602" s="26"/>
      <c r="K602" s="34" t="str">
        <f t="shared" si="28"/>
        <v/>
      </c>
      <c r="L602" s="35" t="str">
        <f t="shared" si="29"/>
        <v/>
      </c>
      <c r="M602" s="14"/>
      <c r="N602" s="16"/>
    </row>
    <row r="603" spans="1:14" ht="15.6" x14ac:dyDescent="0.3">
      <c r="A603" s="13" t="str">
        <f t="shared" si="27"/>
        <v>-</v>
      </c>
      <c r="B603" s="27"/>
      <c r="C603" s="26"/>
      <c r="D603" s="26"/>
      <c r="E603" s="26"/>
      <c r="F603" s="26"/>
      <c r="G603" s="34">
        <f>SUMIFS('BASE EXEC. Q.L'!N:N,'BASE EXEC. Q.L'!B:B,VOOS!A603)</f>
        <v>0</v>
      </c>
      <c r="H603" s="15" t="str">
        <f>IFERROR(_xlfn.XLOOKUP(A603,'BASE SQL PLANTIO'!B:B,'BASE SQL PLANTIO'!T:T,"verificar",0),"")</f>
        <v/>
      </c>
      <c r="I603" s="77" t="str">
        <f>IF(_xlfn.MINIFS('BASE SQL PLANTIO'!E:E,'BASE SQL PLANTIO'!B:B,VOOS!A603)=0/1/1900,"",_xlfn.MINIFS('BASE SQL PLANTIO'!E:E,'BASE SQL PLANTIO'!B:B,VOOS!A603))</f>
        <v/>
      </c>
      <c r="J603" s="26"/>
      <c r="K603" s="34" t="str">
        <f t="shared" si="28"/>
        <v/>
      </c>
      <c r="L603" s="35" t="str">
        <f t="shared" si="29"/>
        <v/>
      </c>
      <c r="M603" s="14"/>
      <c r="N603" s="16"/>
    </row>
    <row r="604" spans="1:14" ht="15.6" x14ac:dyDescent="0.3">
      <c r="A604" s="13" t="str">
        <f t="shared" si="27"/>
        <v>-</v>
      </c>
      <c r="B604" s="27"/>
      <c r="C604" s="26"/>
      <c r="D604" s="26"/>
      <c r="E604" s="26"/>
      <c r="F604" s="26"/>
      <c r="G604" s="34">
        <f>SUMIFS('BASE EXEC. Q.L'!N:N,'BASE EXEC. Q.L'!B:B,VOOS!A604)</f>
        <v>0</v>
      </c>
      <c r="H604" s="15" t="str">
        <f>IFERROR(_xlfn.XLOOKUP(A604,'BASE SQL PLANTIO'!B:B,'BASE SQL PLANTIO'!T:T,"verificar",0),"")</f>
        <v/>
      </c>
      <c r="I604" s="77" t="str">
        <f>IF(_xlfn.MINIFS('BASE SQL PLANTIO'!E:E,'BASE SQL PLANTIO'!B:B,VOOS!A604)=0/1/1900,"",_xlfn.MINIFS('BASE SQL PLANTIO'!E:E,'BASE SQL PLANTIO'!B:B,VOOS!A604))</f>
        <v/>
      </c>
      <c r="J604" s="26"/>
      <c r="K604" s="34" t="str">
        <f t="shared" si="28"/>
        <v/>
      </c>
      <c r="L604" s="35" t="str">
        <f t="shared" si="29"/>
        <v/>
      </c>
      <c r="M604" s="14"/>
      <c r="N604" s="16"/>
    </row>
    <row r="605" spans="1:14" ht="15.6" x14ac:dyDescent="0.3">
      <c r="A605" s="13" t="str">
        <f t="shared" si="27"/>
        <v>-</v>
      </c>
      <c r="B605" s="27"/>
      <c r="C605" s="26"/>
      <c r="D605" s="26"/>
      <c r="E605" s="26"/>
      <c r="F605" s="26"/>
      <c r="G605" s="34">
        <f>SUMIFS('BASE EXEC. Q.L'!N:N,'BASE EXEC. Q.L'!B:B,VOOS!A605)</f>
        <v>0</v>
      </c>
      <c r="H605" s="15" t="str">
        <f>IFERROR(_xlfn.XLOOKUP(A605,'BASE SQL PLANTIO'!B:B,'BASE SQL PLANTIO'!T:T,"verificar",0),"")</f>
        <v/>
      </c>
      <c r="I605" s="77" t="str">
        <f>IF(_xlfn.MINIFS('BASE SQL PLANTIO'!E:E,'BASE SQL PLANTIO'!B:B,VOOS!A605)=0/1/1900,"",_xlfn.MINIFS('BASE SQL PLANTIO'!E:E,'BASE SQL PLANTIO'!B:B,VOOS!A605))</f>
        <v/>
      </c>
      <c r="J605" s="26"/>
      <c r="K605" s="34" t="str">
        <f t="shared" si="28"/>
        <v/>
      </c>
      <c r="L605" s="35" t="str">
        <f t="shared" si="29"/>
        <v/>
      </c>
      <c r="M605" s="14"/>
      <c r="N605" s="16"/>
    </row>
    <row r="606" spans="1:14" ht="15.6" x14ac:dyDescent="0.3">
      <c r="A606" s="13" t="str">
        <f t="shared" si="27"/>
        <v>-</v>
      </c>
      <c r="B606" s="27"/>
      <c r="C606" s="26"/>
      <c r="D606" s="26"/>
      <c r="E606" s="26"/>
      <c r="F606" s="26"/>
      <c r="G606" s="34">
        <f>SUMIFS('BASE EXEC. Q.L'!N:N,'BASE EXEC. Q.L'!B:B,VOOS!A606)</f>
        <v>0</v>
      </c>
      <c r="H606" s="15" t="str">
        <f>IFERROR(_xlfn.XLOOKUP(A606,'BASE SQL PLANTIO'!B:B,'BASE SQL PLANTIO'!T:T,"verificar",0),"")</f>
        <v/>
      </c>
      <c r="I606" s="77" t="str">
        <f>IF(_xlfn.MINIFS('BASE SQL PLANTIO'!E:E,'BASE SQL PLANTIO'!B:B,VOOS!A606)=0/1/1900,"",_xlfn.MINIFS('BASE SQL PLANTIO'!E:E,'BASE SQL PLANTIO'!B:B,VOOS!A606))</f>
        <v/>
      </c>
      <c r="J606" s="26"/>
      <c r="K606" s="34" t="str">
        <f t="shared" si="28"/>
        <v/>
      </c>
      <c r="L606" s="35" t="str">
        <f t="shared" si="29"/>
        <v/>
      </c>
      <c r="M606" s="14"/>
      <c r="N606" s="16"/>
    </row>
    <row r="607" spans="1:14" ht="15.6" x14ac:dyDescent="0.3">
      <c r="A607" s="13" t="str">
        <f t="shared" si="27"/>
        <v>-</v>
      </c>
      <c r="B607" s="25"/>
      <c r="C607" s="25"/>
      <c r="D607" s="25"/>
      <c r="E607" s="25"/>
      <c r="F607" s="31"/>
      <c r="G607" s="34">
        <f>SUMIFS('BASE EXEC. Q.L'!N:N,'BASE EXEC. Q.L'!B:B,VOOS!A607)</f>
        <v>0</v>
      </c>
      <c r="H607" s="15" t="str">
        <f>IFERROR(_xlfn.XLOOKUP(A607,'BASE SQL PLANTIO'!B:B,'BASE SQL PLANTIO'!T:T,"verificar",0),"")</f>
        <v/>
      </c>
      <c r="I607" s="77" t="str">
        <f>IF(_xlfn.MINIFS('BASE SQL PLANTIO'!E:E,'BASE SQL PLANTIO'!B:B,VOOS!A607)=0/1/1900,"",_xlfn.MINIFS('BASE SQL PLANTIO'!E:E,'BASE SQL PLANTIO'!B:B,VOOS!A607))</f>
        <v/>
      </c>
      <c r="J607" s="26"/>
      <c r="K607" s="34" t="str">
        <f t="shared" si="28"/>
        <v/>
      </c>
      <c r="L607" s="35" t="str">
        <f t="shared" si="29"/>
        <v/>
      </c>
      <c r="M607" s="14"/>
      <c r="N607" s="16"/>
    </row>
    <row r="608" spans="1:14" ht="15.6" x14ac:dyDescent="0.3">
      <c r="A608" s="13" t="str">
        <f t="shared" si="27"/>
        <v>-</v>
      </c>
      <c r="B608" s="25"/>
      <c r="C608" s="25"/>
      <c r="D608" s="25"/>
      <c r="E608" s="25"/>
      <c r="F608" s="31"/>
      <c r="G608" s="34">
        <f>SUMIFS('BASE EXEC. Q.L'!N:N,'BASE EXEC. Q.L'!B:B,VOOS!A608)</f>
        <v>0</v>
      </c>
      <c r="H608" s="15" t="str">
        <f>IFERROR(_xlfn.XLOOKUP(A608,'BASE SQL PLANTIO'!B:B,'BASE SQL PLANTIO'!T:T,"verificar",0),"")</f>
        <v/>
      </c>
      <c r="I608" s="77" t="str">
        <f>IF(_xlfn.MINIFS('BASE SQL PLANTIO'!E:E,'BASE SQL PLANTIO'!B:B,VOOS!A608)=0/1/1900,"",_xlfn.MINIFS('BASE SQL PLANTIO'!E:E,'BASE SQL PLANTIO'!B:B,VOOS!A608))</f>
        <v/>
      </c>
      <c r="J608" s="26"/>
      <c r="K608" s="34" t="str">
        <f t="shared" si="28"/>
        <v/>
      </c>
      <c r="L608" s="35" t="str">
        <f t="shared" si="29"/>
        <v/>
      </c>
      <c r="M608" s="14"/>
      <c r="N608" s="16"/>
    </row>
    <row r="609" spans="1:14" ht="15.6" x14ac:dyDescent="0.3">
      <c r="A609" s="13" t="str">
        <f t="shared" si="27"/>
        <v>-</v>
      </c>
      <c r="B609" s="27"/>
      <c r="C609" s="26"/>
      <c r="D609" s="26"/>
      <c r="E609" s="26"/>
      <c r="F609" s="26"/>
      <c r="G609" s="34">
        <f>SUMIFS('BASE EXEC. Q.L'!N:N,'BASE EXEC. Q.L'!B:B,VOOS!A609)</f>
        <v>0</v>
      </c>
      <c r="H609" s="15" t="str">
        <f>IFERROR(_xlfn.XLOOKUP(A609,'BASE SQL PLANTIO'!B:B,'BASE SQL PLANTIO'!T:T,"verificar",0),"")</f>
        <v/>
      </c>
      <c r="I609" s="77" t="str">
        <f>IF(_xlfn.MINIFS('BASE SQL PLANTIO'!E:E,'BASE SQL PLANTIO'!B:B,VOOS!A609)=0/1/1900,"",_xlfn.MINIFS('BASE SQL PLANTIO'!E:E,'BASE SQL PLANTIO'!B:B,VOOS!A609))</f>
        <v/>
      </c>
      <c r="J609" s="26"/>
      <c r="K609" s="34" t="str">
        <f t="shared" si="28"/>
        <v/>
      </c>
      <c r="L609" s="35" t="str">
        <f t="shared" si="29"/>
        <v/>
      </c>
      <c r="M609" s="14"/>
      <c r="N609" s="16"/>
    </row>
    <row r="610" spans="1:14" ht="15.6" x14ac:dyDescent="0.3">
      <c r="A610" s="13" t="str">
        <f t="shared" si="27"/>
        <v>-</v>
      </c>
      <c r="B610" s="27"/>
      <c r="C610" s="26"/>
      <c r="D610" s="26"/>
      <c r="E610" s="26"/>
      <c r="F610" s="26"/>
      <c r="G610" s="34">
        <f>SUMIFS('BASE EXEC. Q.L'!N:N,'BASE EXEC. Q.L'!B:B,VOOS!A610)</f>
        <v>0</v>
      </c>
      <c r="H610" s="15" t="str">
        <f>IFERROR(_xlfn.XLOOKUP(A610,'BASE SQL PLANTIO'!B:B,'BASE SQL PLANTIO'!T:T,"verificar",0),"")</f>
        <v/>
      </c>
      <c r="I610" s="77" t="str">
        <f>IF(_xlfn.MINIFS('BASE SQL PLANTIO'!E:E,'BASE SQL PLANTIO'!B:B,VOOS!A610)=0/1/1900,"",_xlfn.MINIFS('BASE SQL PLANTIO'!E:E,'BASE SQL PLANTIO'!B:B,VOOS!A610))</f>
        <v/>
      </c>
      <c r="J610" s="26"/>
      <c r="K610" s="34" t="str">
        <f t="shared" si="28"/>
        <v/>
      </c>
      <c r="L610" s="35" t="str">
        <f t="shared" si="29"/>
        <v/>
      </c>
      <c r="M610" s="14"/>
      <c r="N610" s="16"/>
    </row>
    <row r="611" spans="1:14" ht="15.6" x14ac:dyDescent="0.3">
      <c r="A611" s="13" t="str">
        <f t="shared" si="27"/>
        <v>-</v>
      </c>
      <c r="B611" s="27"/>
      <c r="C611" s="26"/>
      <c r="D611" s="26"/>
      <c r="E611" s="26"/>
      <c r="F611" s="26"/>
      <c r="G611" s="34">
        <f>SUMIFS('BASE EXEC. Q.L'!N:N,'BASE EXEC. Q.L'!B:B,VOOS!A611)</f>
        <v>0</v>
      </c>
      <c r="H611" s="15" t="str">
        <f>IFERROR(_xlfn.XLOOKUP(A611,'BASE SQL PLANTIO'!B:B,'BASE SQL PLANTIO'!T:T,"verificar",0),"")</f>
        <v/>
      </c>
      <c r="I611" s="77" t="str">
        <f>IF(_xlfn.MINIFS('BASE SQL PLANTIO'!E:E,'BASE SQL PLANTIO'!B:B,VOOS!A611)=0/1/1900,"",_xlfn.MINIFS('BASE SQL PLANTIO'!E:E,'BASE SQL PLANTIO'!B:B,VOOS!A611))</f>
        <v/>
      </c>
      <c r="J611" s="26"/>
      <c r="K611" s="34" t="str">
        <f t="shared" si="28"/>
        <v/>
      </c>
      <c r="L611" s="35" t="str">
        <f t="shared" si="29"/>
        <v/>
      </c>
      <c r="M611" s="14"/>
      <c r="N611" s="16"/>
    </row>
    <row r="612" spans="1:14" ht="15.6" x14ac:dyDescent="0.3">
      <c r="A612" s="13" t="str">
        <f t="shared" si="27"/>
        <v>-</v>
      </c>
      <c r="B612" s="25"/>
      <c r="C612" s="25"/>
      <c r="D612" s="25"/>
      <c r="E612" s="25"/>
      <c r="F612" s="31"/>
      <c r="G612" s="34">
        <f>SUMIFS('BASE EXEC. Q.L'!N:N,'BASE EXEC. Q.L'!B:B,VOOS!A612)</f>
        <v>0</v>
      </c>
      <c r="H612" s="15" t="str">
        <f>IFERROR(_xlfn.XLOOKUP(A612,'BASE SQL PLANTIO'!B:B,'BASE SQL PLANTIO'!T:T,"verificar",0),"")</f>
        <v/>
      </c>
      <c r="I612" s="77" t="str">
        <f>IF(_xlfn.MINIFS('BASE SQL PLANTIO'!E:E,'BASE SQL PLANTIO'!B:B,VOOS!A612)=0/1/1900,"",_xlfn.MINIFS('BASE SQL PLANTIO'!E:E,'BASE SQL PLANTIO'!B:B,VOOS!A612))</f>
        <v/>
      </c>
      <c r="J612" s="26"/>
      <c r="K612" s="34" t="str">
        <f t="shared" si="28"/>
        <v/>
      </c>
      <c r="L612" s="35" t="str">
        <f t="shared" si="29"/>
        <v/>
      </c>
      <c r="M612" s="14"/>
      <c r="N612" s="16"/>
    </row>
    <row r="613" spans="1:14" ht="15.6" x14ac:dyDescent="0.3">
      <c r="A613" s="13" t="str">
        <f t="shared" si="27"/>
        <v>-</v>
      </c>
      <c r="B613" s="25"/>
      <c r="C613" s="25"/>
      <c r="D613" s="25"/>
      <c r="E613" s="25"/>
      <c r="F613" s="31"/>
      <c r="G613" s="34">
        <f>SUMIFS('BASE EXEC. Q.L'!N:N,'BASE EXEC. Q.L'!B:B,VOOS!A613)</f>
        <v>0</v>
      </c>
      <c r="H613" s="15" t="str">
        <f>IFERROR(_xlfn.XLOOKUP(A613,'BASE SQL PLANTIO'!B:B,'BASE SQL PLANTIO'!T:T,"verificar",0),"")</f>
        <v/>
      </c>
      <c r="I613" s="77" t="str">
        <f>IF(_xlfn.MINIFS('BASE SQL PLANTIO'!E:E,'BASE SQL PLANTIO'!B:B,VOOS!A613)=0/1/1900,"",_xlfn.MINIFS('BASE SQL PLANTIO'!E:E,'BASE SQL PLANTIO'!B:B,VOOS!A613))</f>
        <v/>
      </c>
      <c r="J613" s="26"/>
      <c r="K613" s="34" t="str">
        <f t="shared" si="28"/>
        <v/>
      </c>
      <c r="L613" s="35" t="str">
        <f t="shared" si="29"/>
        <v/>
      </c>
      <c r="M613" s="14"/>
      <c r="N613" s="15"/>
    </row>
    <row r="614" spans="1:14" ht="15.6" x14ac:dyDescent="0.3">
      <c r="A614" s="13" t="str">
        <f t="shared" si="27"/>
        <v>-</v>
      </c>
      <c r="B614" s="27"/>
      <c r="C614" s="26"/>
      <c r="D614" s="26"/>
      <c r="E614" s="26"/>
      <c r="F614" s="26"/>
      <c r="G614" s="34">
        <f>SUMIFS('BASE EXEC. Q.L'!N:N,'BASE EXEC. Q.L'!B:B,VOOS!A614)</f>
        <v>0</v>
      </c>
      <c r="H614" s="15" t="str">
        <f>IFERROR(_xlfn.XLOOKUP(A614,'BASE SQL PLANTIO'!B:B,'BASE SQL PLANTIO'!T:T,"verificar",0),"")</f>
        <v/>
      </c>
      <c r="I614" s="77" t="str">
        <f>IF(_xlfn.MINIFS('BASE SQL PLANTIO'!E:E,'BASE SQL PLANTIO'!B:B,VOOS!A614)=0/1/1900,"",_xlfn.MINIFS('BASE SQL PLANTIO'!E:E,'BASE SQL PLANTIO'!B:B,VOOS!A614))</f>
        <v/>
      </c>
      <c r="J614" s="26"/>
      <c r="K614" s="34" t="str">
        <f t="shared" si="28"/>
        <v/>
      </c>
      <c r="L614" s="35" t="str">
        <f t="shared" si="29"/>
        <v/>
      </c>
      <c r="M614" s="14"/>
      <c r="N614" s="16"/>
    </row>
    <row r="615" spans="1:14" ht="15.6" x14ac:dyDescent="0.3">
      <c r="A615" s="13" t="str">
        <f t="shared" si="27"/>
        <v>-</v>
      </c>
      <c r="B615" s="25"/>
      <c r="C615" s="25"/>
      <c r="D615" s="25"/>
      <c r="E615" s="25"/>
      <c r="F615" s="31"/>
      <c r="G615" s="34">
        <f>SUMIFS('BASE EXEC. Q.L'!N:N,'BASE EXEC. Q.L'!B:B,VOOS!A615)</f>
        <v>0</v>
      </c>
      <c r="H615" s="15" t="str">
        <f>IFERROR(_xlfn.XLOOKUP(A615,'BASE SQL PLANTIO'!B:B,'BASE SQL PLANTIO'!T:T,"verificar",0),"")</f>
        <v/>
      </c>
      <c r="I615" s="77" t="str">
        <f>IF(_xlfn.MINIFS('BASE SQL PLANTIO'!E:E,'BASE SQL PLANTIO'!B:B,VOOS!A615)=0/1/1900,"",_xlfn.MINIFS('BASE SQL PLANTIO'!E:E,'BASE SQL PLANTIO'!B:B,VOOS!A615))</f>
        <v/>
      </c>
      <c r="J615" s="26"/>
      <c r="K615" s="34" t="str">
        <f t="shared" si="28"/>
        <v/>
      </c>
      <c r="L615" s="35" t="str">
        <f t="shared" si="29"/>
        <v/>
      </c>
      <c r="M615" s="14"/>
      <c r="N615" s="16"/>
    </row>
    <row r="616" spans="1:14" ht="15.6" x14ac:dyDescent="0.3">
      <c r="A616" s="13" t="str">
        <f t="shared" si="27"/>
        <v>-</v>
      </c>
      <c r="B616" s="25"/>
      <c r="C616" s="25"/>
      <c r="D616" s="25"/>
      <c r="E616" s="25"/>
      <c r="F616" s="31"/>
      <c r="G616" s="34">
        <f>SUMIFS('BASE EXEC. Q.L'!N:N,'BASE EXEC. Q.L'!B:B,VOOS!A616)</f>
        <v>0</v>
      </c>
      <c r="H616" s="15" t="str">
        <f>IFERROR(_xlfn.XLOOKUP(A616,'BASE SQL PLANTIO'!B:B,'BASE SQL PLANTIO'!T:T,"verificar",0),"")</f>
        <v/>
      </c>
      <c r="I616" s="77" t="str">
        <f>IF(_xlfn.MINIFS('BASE SQL PLANTIO'!E:E,'BASE SQL PLANTIO'!B:B,VOOS!A616)=0/1/1900,"",_xlfn.MINIFS('BASE SQL PLANTIO'!E:E,'BASE SQL PLANTIO'!B:B,VOOS!A616))</f>
        <v/>
      </c>
      <c r="J616" s="26"/>
      <c r="K616" s="34" t="str">
        <f t="shared" si="28"/>
        <v/>
      </c>
      <c r="L616" s="35" t="str">
        <f t="shared" si="29"/>
        <v/>
      </c>
      <c r="M616" s="14"/>
      <c r="N616" s="16"/>
    </row>
    <row r="617" spans="1:14" ht="15.6" x14ac:dyDescent="0.3">
      <c r="A617" s="13" t="str">
        <f t="shared" si="27"/>
        <v>-</v>
      </c>
      <c r="B617" s="27"/>
      <c r="C617" s="22"/>
      <c r="D617" s="23"/>
      <c r="E617" s="23"/>
      <c r="F617" s="22"/>
      <c r="G617" s="34">
        <f>SUMIFS('BASE EXEC. Q.L'!N:N,'BASE EXEC. Q.L'!B:B,VOOS!A617)</f>
        <v>0</v>
      </c>
      <c r="H617" s="15" t="str">
        <f>IFERROR(_xlfn.XLOOKUP(A617,'BASE SQL PLANTIO'!B:B,'BASE SQL PLANTIO'!T:T,"verificar",0),"")</f>
        <v/>
      </c>
      <c r="I617" s="77" t="str">
        <f>IF(_xlfn.MINIFS('BASE SQL PLANTIO'!E:E,'BASE SQL PLANTIO'!B:B,VOOS!A617)=0/1/1900,"",_xlfn.MINIFS('BASE SQL PLANTIO'!E:E,'BASE SQL PLANTIO'!B:B,VOOS!A617))</f>
        <v/>
      </c>
      <c r="J617" s="22"/>
      <c r="K617" s="34" t="str">
        <f t="shared" si="28"/>
        <v/>
      </c>
      <c r="L617" s="35" t="str">
        <f t="shared" si="29"/>
        <v/>
      </c>
      <c r="M617" s="14"/>
      <c r="N617" s="16"/>
    </row>
    <row r="618" spans="1:14" ht="15.6" x14ac:dyDescent="0.3">
      <c r="A618" s="13" t="str">
        <f t="shared" si="27"/>
        <v>-</v>
      </c>
      <c r="B618" s="25"/>
      <c r="C618" s="25"/>
      <c r="D618" s="25"/>
      <c r="E618" s="25"/>
      <c r="F618" s="31"/>
      <c r="G618" s="34">
        <f>SUMIFS('BASE EXEC. Q.L'!N:N,'BASE EXEC. Q.L'!B:B,VOOS!A618)</f>
        <v>0</v>
      </c>
      <c r="H618" s="15" t="str">
        <f>IFERROR(_xlfn.XLOOKUP(A618,'BASE SQL PLANTIO'!B:B,'BASE SQL PLANTIO'!T:T,"verificar",0),"")</f>
        <v/>
      </c>
      <c r="I618" s="77" t="str">
        <f>IF(_xlfn.MINIFS('BASE SQL PLANTIO'!E:E,'BASE SQL PLANTIO'!B:B,VOOS!A618)=0/1/1900,"",_xlfn.MINIFS('BASE SQL PLANTIO'!E:E,'BASE SQL PLANTIO'!B:B,VOOS!A618))</f>
        <v/>
      </c>
      <c r="J618" s="26"/>
      <c r="K618" s="34" t="str">
        <f t="shared" si="28"/>
        <v/>
      </c>
      <c r="L618" s="35" t="str">
        <f t="shared" si="29"/>
        <v/>
      </c>
      <c r="M618" s="14"/>
      <c r="N618" s="16"/>
    </row>
    <row r="619" spans="1:14" ht="15.6" x14ac:dyDescent="0.3">
      <c r="A619" s="13" t="str">
        <f t="shared" si="27"/>
        <v>-</v>
      </c>
      <c r="B619" s="25"/>
      <c r="C619" s="25"/>
      <c r="D619" s="25"/>
      <c r="E619" s="25"/>
      <c r="F619" s="31"/>
      <c r="G619" s="34">
        <f>SUMIFS('BASE EXEC. Q.L'!N:N,'BASE EXEC. Q.L'!B:B,VOOS!A619)</f>
        <v>0</v>
      </c>
      <c r="H619" s="15" t="str">
        <f>IFERROR(_xlfn.XLOOKUP(A619,'BASE SQL PLANTIO'!B:B,'BASE SQL PLANTIO'!T:T,"verificar",0),"")</f>
        <v/>
      </c>
      <c r="I619" s="77" t="str">
        <f>IF(_xlfn.MINIFS('BASE SQL PLANTIO'!E:E,'BASE SQL PLANTIO'!B:B,VOOS!A619)=0/1/1900,"",_xlfn.MINIFS('BASE SQL PLANTIO'!E:E,'BASE SQL PLANTIO'!B:B,VOOS!A619))</f>
        <v/>
      </c>
      <c r="J619" s="26"/>
      <c r="K619" s="34" t="str">
        <f t="shared" si="28"/>
        <v/>
      </c>
      <c r="L619" s="35" t="str">
        <f t="shared" si="29"/>
        <v/>
      </c>
      <c r="M619" s="14"/>
      <c r="N619" s="16"/>
    </row>
    <row r="620" spans="1:14" ht="15.6" x14ac:dyDescent="0.3">
      <c r="A620" s="13" t="str">
        <f t="shared" si="27"/>
        <v>-</v>
      </c>
      <c r="B620" s="27"/>
      <c r="C620" s="26"/>
      <c r="D620" s="26"/>
      <c r="E620" s="26"/>
      <c r="F620" s="26"/>
      <c r="G620" s="34">
        <f>SUMIFS('BASE EXEC. Q.L'!N:N,'BASE EXEC. Q.L'!B:B,VOOS!A620)</f>
        <v>0</v>
      </c>
      <c r="H620" s="15" t="str">
        <f>IFERROR(_xlfn.XLOOKUP(A620,'BASE SQL PLANTIO'!B:B,'BASE SQL PLANTIO'!T:T,"verificar",0),"")</f>
        <v/>
      </c>
      <c r="I620" s="77" t="str">
        <f>IF(_xlfn.MINIFS('BASE SQL PLANTIO'!E:E,'BASE SQL PLANTIO'!B:B,VOOS!A620)=0/1/1900,"",_xlfn.MINIFS('BASE SQL PLANTIO'!E:E,'BASE SQL PLANTIO'!B:B,VOOS!A620))</f>
        <v/>
      </c>
      <c r="J620" s="26"/>
      <c r="K620" s="34" t="str">
        <f t="shared" si="28"/>
        <v/>
      </c>
      <c r="L620" s="35" t="str">
        <f t="shared" si="29"/>
        <v/>
      </c>
      <c r="M620" s="14"/>
      <c r="N620" s="16"/>
    </row>
    <row r="621" spans="1:14" ht="15.6" x14ac:dyDescent="0.3">
      <c r="A621" s="13" t="str">
        <f t="shared" si="27"/>
        <v>-</v>
      </c>
      <c r="B621" s="27"/>
      <c r="C621" s="26"/>
      <c r="D621" s="26"/>
      <c r="E621" s="26"/>
      <c r="F621" s="26"/>
      <c r="G621" s="34">
        <f>SUMIFS('BASE EXEC. Q.L'!N:N,'BASE EXEC. Q.L'!B:B,VOOS!A621)</f>
        <v>0</v>
      </c>
      <c r="H621" s="15" t="str">
        <f>IFERROR(_xlfn.XLOOKUP(A621,'BASE SQL PLANTIO'!B:B,'BASE SQL PLANTIO'!T:T,"verificar",0),"")</f>
        <v/>
      </c>
      <c r="I621" s="77" t="str">
        <f>IF(_xlfn.MINIFS('BASE SQL PLANTIO'!E:E,'BASE SQL PLANTIO'!B:B,VOOS!A621)=0/1/1900,"",_xlfn.MINIFS('BASE SQL PLANTIO'!E:E,'BASE SQL PLANTIO'!B:B,VOOS!A621))</f>
        <v/>
      </c>
      <c r="J621" s="26"/>
      <c r="K621" s="34" t="str">
        <f t="shared" si="28"/>
        <v/>
      </c>
      <c r="L621" s="35" t="str">
        <f t="shared" si="29"/>
        <v/>
      </c>
      <c r="M621" s="14"/>
      <c r="N621" s="16"/>
    </row>
    <row r="622" spans="1:14" ht="15.6" x14ac:dyDescent="0.3">
      <c r="A622" s="13" t="str">
        <f t="shared" si="27"/>
        <v>-</v>
      </c>
      <c r="B622" s="27"/>
      <c r="C622" s="26"/>
      <c r="D622" s="26"/>
      <c r="E622" s="26"/>
      <c r="F622" s="26"/>
      <c r="G622" s="34">
        <f>SUMIFS('BASE EXEC. Q.L'!N:N,'BASE EXEC. Q.L'!B:B,VOOS!A622)</f>
        <v>0</v>
      </c>
      <c r="H622" s="15" t="str">
        <f>IFERROR(_xlfn.XLOOKUP(A622,'BASE SQL PLANTIO'!B:B,'BASE SQL PLANTIO'!T:T,"verificar",0),"")</f>
        <v/>
      </c>
      <c r="I622" s="77" t="str">
        <f>IF(_xlfn.MINIFS('BASE SQL PLANTIO'!E:E,'BASE SQL PLANTIO'!B:B,VOOS!A622)=0/1/1900,"",_xlfn.MINIFS('BASE SQL PLANTIO'!E:E,'BASE SQL PLANTIO'!B:B,VOOS!A622))</f>
        <v/>
      </c>
      <c r="J622" s="26"/>
      <c r="K622" s="34" t="str">
        <f t="shared" si="28"/>
        <v/>
      </c>
      <c r="L622" s="35" t="str">
        <f t="shared" si="29"/>
        <v/>
      </c>
      <c r="M622" s="14"/>
      <c r="N622" s="16"/>
    </row>
    <row r="623" spans="1:14" ht="15.6" x14ac:dyDescent="0.3">
      <c r="A623" s="13" t="str">
        <f t="shared" si="27"/>
        <v>-</v>
      </c>
      <c r="B623" s="27"/>
      <c r="C623" s="26"/>
      <c r="D623" s="26"/>
      <c r="E623" s="26"/>
      <c r="F623" s="26"/>
      <c r="G623" s="34">
        <f>SUMIFS('BASE EXEC. Q.L'!N:N,'BASE EXEC. Q.L'!B:B,VOOS!A623)</f>
        <v>0</v>
      </c>
      <c r="H623" s="15" t="str">
        <f>IFERROR(_xlfn.XLOOKUP(A623,'BASE SQL PLANTIO'!B:B,'BASE SQL PLANTIO'!T:T,"verificar",0),"")</f>
        <v/>
      </c>
      <c r="I623" s="77" t="str">
        <f>IF(_xlfn.MINIFS('BASE SQL PLANTIO'!E:E,'BASE SQL PLANTIO'!B:B,VOOS!A623)=0/1/1900,"",_xlfn.MINIFS('BASE SQL PLANTIO'!E:E,'BASE SQL PLANTIO'!B:B,VOOS!A623))</f>
        <v/>
      </c>
      <c r="J623" s="26"/>
      <c r="K623" s="34" t="str">
        <f t="shared" si="28"/>
        <v/>
      </c>
      <c r="L623" s="35" t="str">
        <f t="shared" si="29"/>
        <v/>
      </c>
      <c r="M623" s="14"/>
      <c r="N623" s="16"/>
    </row>
    <row r="624" spans="1:14" ht="15.6" x14ac:dyDescent="0.3">
      <c r="A624" s="13" t="str">
        <f t="shared" si="27"/>
        <v>-</v>
      </c>
      <c r="B624" s="27"/>
      <c r="C624" s="26"/>
      <c r="D624" s="26"/>
      <c r="E624" s="26"/>
      <c r="F624" s="26"/>
      <c r="G624" s="34">
        <f>SUMIFS('BASE EXEC. Q.L'!N:N,'BASE EXEC. Q.L'!B:B,VOOS!A624)</f>
        <v>0</v>
      </c>
      <c r="H624" s="15" t="str">
        <f>IFERROR(_xlfn.XLOOKUP(A624,'BASE SQL PLANTIO'!B:B,'BASE SQL PLANTIO'!T:T,"verificar",0),"")</f>
        <v/>
      </c>
      <c r="I624" s="77" t="str">
        <f>IF(_xlfn.MINIFS('BASE SQL PLANTIO'!E:E,'BASE SQL PLANTIO'!B:B,VOOS!A624)=0/1/1900,"",_xlfn.MINIFS('BASE SQL PLANTIO'!E:E,'BASE SQL PLANTIO'!B:B,VOOS!A624))</f>
        <v/>
      </c>
      <c r="J624" s="26"/>
      <c r="K624" s="34" t="str">
        <f t="shared" si="28"/>
        <v/>
      </c>
      <c r="L624" s="35" t="str">
        <f t="shared" si="29"/>
        <v/>
      </c>
      <c r="M624" s="14"/>
      <c r="N624" s="16"/>
    </row>
    <row r="625" spans="1:14" ht="15.6" x14ac:dyDescent="0.3">
      <c r="A625" s="13" t="str">
        <f t="shared" si="27"/>
        <v>-</v>
      </c>
      <c r="B625" s="27"/>
      <c r="C625" s="26"/>
      <c r="D625" s="26"/>
      <c r="E625" s="26"/>
      <c r="F625" s="26"/>
      <c r="G625" s="34">
        <f>SUMIFS('BASE EXEC. Q.L'!N:N,'BASE EXEC. Q.L'!B:B,VOOS!A625)</f>
        <v>0</v>
      </c>
      <c r="H625" s="15" t="str">
        <f>IFERROR(_xlfn.XLOOKUP(A625,'BASE SQL PLANTIO'!B:B,'BASE SQL PLANTIO'!T:T,"verificar",0),"")</f>
        <v/>
      </c>
      <c r="I625" s="77" t="str">
        <f>IF(_xlfn.MINIFS('BASE SQL PLANTIO'!E:E,'BASE SQL PLANTIO'!B:B,VOOS!A625)=0/1/1900,"",_xlfn.MINIFS('BASE SQL PLANTIO'!E:E,'BASE SQL PLANTIO'!B:B,VOOS!A625))</f>
        <v/>
      </c>
      <c r="J625" s="26"/>
      <c r="K625" s="34" t="str">
        <f t="shared" si="28"/>
        <v/>
      </c>
      <c r="L625" s="35" t="str">
        <f t="shared" si="29"/>
        <v/>
      </c>
      <c r="M625" s="14"/>
      <c r="N625" s="15"/>
    </row>
    <row r="626" spans="1:14" ht="15.6" x14ac:dyDescent="0.3">
      <c r="A626" s="13" t="str">
        <f t="shared" si="27"/>
        <v>-</v>
      </c>
      <c r="B626" s="27"/>
      <c r="C626" s="26"/>
      <c r="D626" s="26"/>
      <c r="E626" s="26"/>
      <c r="F626" s="26"/>
      <c r="G626" s="34">
        <f>SUMIFS('BASE EXEC. Q.L'!N:N,'BASE EXEC. Q.L'!B:B,VOOS!A626)</f>
        <v>0</v>
      </c>
      <c r="H626" s="15" t="str">
        <f>IFERROR(_xlfn.XLOOKUP(A626,'BASE SQL PLANTIO'!B:B,'BASE SQL PLANTIO'!T:T,"verificar",0),"")</f>
        <v/>
      </c>
      <c r="I626" s="77" t="str">
        <f>IF(_xlfn.MINIFS('BASE SQL PLANTIO'!E:E,'BASE SQL PLANTIO'!B:B,VOOS!A626)=0/1/1900,"",_xlfn.MINIFS('BASE SQL PLANTIO'!E:E,'BASE SQL PLANTIO'!B:B,VOOS!A626))</f>
        <v/>
      </c>
      <c r="J626" s="26"/>
      <c r="K626" s="34" t="str">
        <f t="shared" si="28"/>
        <v/>
      </c>
      <c r="L626" s="35" t="str">
        <f t="shared" si="29"/>
        <v/>
      </c>
      <c r="M626" s="14"/>
      <c r="N626" s="16"/>
    </row>
    <row r="627" spans="1:14" ht="15.6" x14ac:dyDescent="0.3">
      <c r="A627" s="13" t="str">
        <f t="shared" si="27"/>
        <v>-</v>
      </c>
      <c r="B627" s="27"/>
      <c r="C627" s="26"/>
      <c r="D627" s="26"/>
      <c r="E627" s="26"/>
      <c r="F627" s="26"/>
      <c r="G627" s="34">
        <f>SUMIFS('BASE EXEC. Q.L'!N:N,'BASE EXEC. Q.L'!B:B,VOOS!A627)</f>
        <v>0</v>
      </c>
      <c r="H627" s="15" t="str">
        <f>IFERROR(_xlfn.XLOOKUP(A627,'BASE SQL PLANTIO'!B:B,'BASE SQL PLANTIO'!T:T,"verificar",0),"")</f>
        <v/>
      </c>
      <c r="I627" s="77" t="str">
        <f>IF(_xlfn.MINIFS('BASE SQL PLANTIO'!E:E,'BASE SQL PLANTIO'!B:B,VOOS!A627)=0/1/1900,"",_xlfn.MINIFS('BASE SQL PLANTIO'!E:E,'BASE SQL PLANTIO'!B:B,VOOS!A627))</f>
        <v/>
      </c>
      <c r="J627" s="26"/>
      <c r="K627" s="34" t="str">
        <f t="shared" si="28"/>
        <v/>
      </c>
      <c r="L627" s="35" t="str">
        <f t="shared" si="29"/>
        <v/>
      </c>
      <c r="M627" s="14"/>
      <c r="N627" s="16"/>
    </row>
    <row r="628" spans="1:14" ht="15.6" x14ac:dyDescent="0.3">
      <c r="A628" s="13" t="str">
        <f t="shared" si="27"/>
        <v>-</v>
      </c>
      <c r="B628" s="27"/>
      <c r="C628" s="26"/>
      <c r="D628" s="26"/>
      <c r="E628" s="26"/>
      <c r="F628" s="26"/>
      <c r="G628" s="34">
        <f>SUMIFS('BASE EXEC. Q.L'!N:N,'BASE EXEC. Q.L'!B:B,VOOS!A628)</f>
        <v>0</v>
      </c>
      <c r="H628" s="15" t="str">
        <f>IFERROR(_xlfn.XLOOKUP(A628,'BASE SQL PLANTIO'!B:B,'BASE SQL PLANTIO'!T:T,"verificar",0),"")</f>
        <v/>
      </c>
      <c r="I628" s="77" t="str">
        <f>IF(_xlfn.MINIFS('BASE SQL PLANTIO'!E:E,'BASE SQL PLANTIO'!B:B,VOOS!A628)=0/1/1900,"",_xlfn.MINIFS('BASE SQL PLANTIO'!E:E,'BASE SQL PLANTIO'!B:B,VOOS!A628))</f>
        <v/>
      </c>
      <c r="J628" s="26"/>
      <c r="K628" s="34" t="str">
        <f t="shared" si="28"/>
        <v/>
      </c>
      <c r="L628" s="35" t="str">
        <f t="shared" si="29"/>
        <v/>
      </c>
      <c r="M628" s="14"/>
      <c r="N628" s="16"/>
    </row>
    <row r="629" spans="1:14" ht="15.6" x14ac:dyDescent="0.3">
      <c r="A629" s="13" t="str">
        <f t="shared" si="27"/>
        <v>-</v>
      </c>
      <c r="B629" s="27"/>
      <c r="C629" s="26"/>
      <c r="D629" s="26"/>
      <c r="E629" s="26"/>
      <c r="F629" s="26"/>
      <c r="G629" s="34">
        <f>SUMIFS('BASE EXEC. Q.L'!N:N,'BASE EXEC. Q.L'!B:B,VOOS!A629)</f>
        <v>0</v>
      </c>
      <c r="H629" s="15" t="str">
        <f>IFERROR(_xlfn.XLOOKUP(A629,'BASE SQL PLANTIO'!B:B,'BASE SQL PLANTIO'!T:T,"verificar",0),"")</f>
        <v/>
      </c>
      <c r="I629" s="77" t="str">
        <f>IF(_xlfn.MINIFS('BASE SQL PLANTIO'!E:E,'BASE SQL PLANTIO'!B:B,VOOS!A629)=0/1/1900,"",_xlfn.MINIFS('BASE SQL PLANTIO'!E:E,'BASE SQL PLANTIO'!B:B,VOOS!A629))</f>
        <v/>
      </c>
      <c r="J629" s="26"/>
      <c r="K629" s="34" t="str">
        <f t="shared" si="28"/>
        <v/>
      </c>
      <c r="L629" s="35" t="str">
        <f t="shared" si="29"/>
        <v/>
      </c>
      <c r="M629" s="14"/>
      <c r="N629" s="16"/>
    </row>
    <row r="630" spans="1:14" ht="15.6" x14ac:dyDescent="0.3">
      <c r="A630" s="13" t="str">
        <f t="shared" si="27"/>
        <v>-</v>
      </c>
      <c r="B630" s="25"/>
      <c r="C630" s="25"/>
      <c r="D630" s="25"/>
      <c r="E630" s="25"/>
      <c r="F630" s="31"/>
      <c r="G630" s="34">
        <f>SUMIFS('BASE EXEC. Q.L'!N:N,'BASE EXEC. Q.L'!B:B,VOOS!A630)</f>
        <v>0</v>
      </c>
      <c r="H630" s="15" t="str">
        <f>IFERROR(_xlfn.XLOOKUP(A630,'BASE SQL PLANTIO'!B:B,'BASE SQL PLANTIO'!T:T,"verificar",0),"")</f>
        <v/>
      </c>
      <c r="I630" s="77" t="str">
        <f>IF(_xlfn.MINIFS('BASE SQL PLANTIO'!E:E,'BASE SQL PLANTIO'!B:B,VOOS!A630)=0/1/1900,"",_xlfn.MINIFS('BASE SQL PLANTIO'!E:E,'BASE SQL PLANTIO'!B:B,VOOS!A630))</f>
        <v/>
      </c>
      <c r="J630" s="26"/>
      <c r="K630" s="34" t="str">
        <f t="shared" si="28"/>
        <v/>
      </c>
      <c r="L630" s="35" t="str">
        <f t="shared" si="29"/>
        <v/>
      </c>
      <c r="M630" s="14"/>
      <c r="N630" s="16"/>
    </row>
    <row r="631" spans="1:14" ht="15.6" x14ac:dyDescent="0.3">
      <c r="A631" s="13" t="str">
        <f t="shared" si="27"/>
        <v>-</v>
      </c>
      <c r="B631" s="25"/>
      <c r="C631" s="25"/>
      <c r="D631" s="25"/>
      <c r="E631" s="25"/>
      <c r="F631" s="31"/>
      <c r="G631" s="34">
        <f>SUMIFS('BASE EXEC. Q.L'!N:N,'BASE EXEC. Q.L'!B:B,VOOS!A631)</f>
        <v>0</v>
      </c>
      <c r="H631" s="15" t="str">
        <f>IFERROR(_xlfn.XLOOKUP(A631,'BASE SQL PLANTIO'!B:B,'BASE SQL PLANTIO'!T:T,"verificar",0),"")</f>
        <v/>
      </c>
      <c r="I631" s="77" t="str">
        <f>IF(_xlfn.MINIFS('BASE SQL PLANTIO'!E:E,'BASE SQL PLANTIO'!B:B,VOOS!A631)=0/1/1900,"",_xlfn.MINIFS('BASE SQL PLANTIO'!E:E,'BASE SQL PLANTIO'!B:B,VOOS!A631))</f>
        <v/>
      </c>
      <c r="J631" s="26"/>
      <c r="K631" s="34" t="str">
        <f t="shared" si="28"/>
        <v/>
      </c>
      <c r="L631" s="35" t="str">
        <f t="shared" si="29"/>
        <v/>
      </c>
      <c r="M631" s="14"/>
      <c r="N631" s="16"/>
    </row>
    <row r="632" spans="1:14" ht="15.6" x14ac:dyDescent="0.3">
      <c r="A632" s="13" t="str">
        <f t="shared" si="27"/>
        <v>-</v>
      </c>
      <c r="B632" s="27"/>
      <c r="C632" s="26"/>
      <c r="D632" s="26"/>
      <c r="E632" s="26"/>
      <c r="F632" s="26"/>
      <c r="G632" s="34">
        <f>SUMIFS('BASE EXEC. Q.L'!N:N,'BASE EXEC. Q.L'!B:B,VOOS!A632)</f>
        <v>0</v>
      </c>
      <c r="H632" s="15" t="str">
        <f>IFERROR(_xlfn.XLOOKUP(A632,'BASE SQL PLANTIO'!B:B,'BASE SQL PLANTIO'!T:T,"verificar",0),"")</f>
        <v/>
      </c>
      <c r="I632" s="77" t="str">
        <f>IF(_xlfn.MINIFS('BASE SQL PLANTIO'!E:E,'BASE SQL PLANTIO'!B:B,VOOS!A632)=0/1/1900,"",_xlfn.MINIFS('BASE SQL PLANTIO'!E:E,'BASE SQL PLANTIO'!B:B,VOOS!A632))</f>
        <v/>
      </c>
      <c r="J632" s="26"/>
      <c r="K632" s="34" t="str">
        <f t="shared" si="28"/>
        <v/>
      </c>
      <c r="L632" s="35" t="str">
        <f t="shared" si="29"/>
        <v/>
      </c>
      <c r="M632" s="14"/>
      <c r="N632" s="16"/>
    </row>
    <row r="633" spans="1:14" ht="15.6" x14ac:dyDescent="0.3">
      <c r="A633" s="13" t="str">
        <f t="shared" si="27"/>
        <v>-</v>
      </c>
      <c r="B633" s="27"/>
      <c r="C633" s="26"/>
      <c r="D633" s="26"/>
      <c r="E633" s="26"/>
      <c r="F633" s="26"/>
      <c r="G633" s="34">
        <f>SUMIFS('BASE EXEC. Q.L'!N:N,'BASE EXEC. Q.L'!B:B,VOOS!A633)</f>
        <v>0</v>
      </c>
      <c r="H633" s="15" t="str">
        <f>IFERROR(_xlfn.XLOOKUP(A633,'BASE SQL PLANTIO'!B:B,'BASE SQL PLANTIO'!T:T,"verificar",0),"")</f>
        <v/>
      </c>
      <c r="I633" s="77" t="str">
        <f>IF(_xlfn.MINIFS('BASE SQL PLANTIO'!E:E,'BASE SQL PLANTIO'!B:B,VOOS!A633)=0/1/1900,"",_xlfn.MINIFS('BASE SQL PLANTIO'!E:E,'BASE SQL PLANTIO'!B:B,VOOS!A633))</f>
        <v/>
      </c>
      <c r="J633" s="26"/>
      <c r="K633" s="34" t="str">
        <f t="shared" si="28"/>
        <v/>
      </c>
      <c r="L633" s="35" t="str">
        <f t="shared" si="29"/>
        <v/>
      </c>
      <c r="M633" s="14"/>
      <c r="N633" s="16"/>
    </row>
    <row r="634" spans="1:14" ht="15.6" x14ac:dyDescent="0.3">
      <c r="A634" s="13" t="str">
        <f t="shared" si="27"/>
        <v>-</v>
      </c>
      <c r="B634" s="27"/>
      <c r="C634" s="26"/>
      <c r="D634" s="26"/>
      <c r="E634" s="26"/>
      <c r="F634" s="26"/>
      <c r="G634" s="34">
        <f>SUMIFS('BASE EXEC. Q.L'!N:N,'BASE EXEC. Q.L'!B:B,VOOS!A634)</f>
        <v>0</v>
      </c>
      <c r="H634" s="15" t="str">
        <f>IFERROR(_xlfn.XLOOKUP(A634,'BASE SQL PLANTIO'!B:B,'BASE SQL PLANTIO'!T:T,"verificar",0),"")</f>
        <v/>
      </c>
      <c r="I634" s="77" t="str">
        <f>IF(_xlfn.MINIFS('BASE SQL PLANTIO'!E:E,'BASE SQL PLANTIO'!B:B,VOOS!A634)=0/1/1900,"",_xlfn.MINIFS('BASE SQL PLANTIO'!E:E,'BASE SQL PLANTIO'!B:B,VOOS!A634))</f>
        <v/>
      </c>
      <c r="J634" s="26"/>
      <c r="K634" s="34" t="str">
        <f t="shared" si="28"/>
        <v/>
      </c>
      <c r="L634" s="35" t="str">
        <f t="shared" si="29"/>
        <v/>
      </c>
      <c r="M634" s="14"/>
      <c r="N634" s="16"/>
    </row>
    <row r="635" spans="1:14" ht="15.6" x14ac:dyDescent="0.3">
      <c r="A635" s="13" t="str">
        <f t="shared" si="27"/>
        <v>-</v>
      </c>
      <c r="B635" s="27"/>
      <c r="C635" s="26"/>
      <c r="D635" s="26"/>
      <c r="E635" s="26"/>
      <c r="F635" s="26"/>
      <c r="G635" s="34">
        <f>SUMIFS('BASE EXEC. Q.L'!N:N,'BASE EXEC. Q.L'!B:B,VOOS!A635)</f>
        <v>0</v>
      </c>
      <c r="H635" s="15" t="str">
        <f>IFERROR(_xlfn.XLOOKUP(A635,'BASE SQL PLANTIO'!B:B,'BASE SQL PLANTIO'!T:T,"verificar",0),"")</f>
        <v/>
      </c>
      <c r="I635" s="77" t="str">
        <f>IF(_xlfn.MINIFS('BASE SQL PLANTIO'!E:E,'BASE SQL PLANTIO'!B:B,VOOS!A635)=0/1/1900,"",_xlfn.MINIFS('BASE SQL PLANTIO'!E:E,'BASE SQL PLANTIO'!B:B,VOOS!A635))</f>
        <v/>
      </c>
      <c r="J635" s="26"/>
      <c r="K635" s="34" t="str">
        <f t="shared" si="28"/>
        <v/>
      </c>
      <c r="L635" s="35" t="str">
        <f t="shared" si="29"/>
        <v/>
      </c>
      <c r="M635" s="14"/>
      <c r="N635" s="16"/>
    </row>
    <row r="636" spans="1:14" ht="15.6" x14ac:dyDescent="0.3">
      <c r="A636" s="13" t="str">
        <f t="shared" si="27"/>
        <v>-</v>
      </c>
      <c r="B636" s="25"/>
      <c r="C636" s="25"/>
      <c r="D636" s="25"/>
      <c r="E636" s="25"/>
      <c r="F636" s="31"/>
      <c r="G636" s="34">
        <f>SUMIFS('BASE EXEC. Q.L'!N:N,'BASE EXEC. Q.L'!B:B,VOOS!A636)</f>
        <v>0</v>
      </c>
      <c r="H636" s="15" t="str">
        <f>IFERROR(_xlfn.XLOOKUP(A636,'BASE SQL PLANTIO'!B:B,'BASE SQL PLANTIO'!T:T,"verificar",0),"")</f>
        <v/>
      </c>
      <c r="I636" s="77" t="str">
        <f>IF(_xlfn.MINIFS('BASE SQL PLANTIO'!E:E,'BASE SQL PLANTIO'!B:B,VOOS!A636)=0/1/1900,"",_xlfn.MINIFS('BASE SQL PLANTIO'!E:E,'BASE SQL PLANTIO'!B:B,VOOS!A636))</f>
        <v/>
      </c>
      <c r="J636" s="26"/>
      <c r="K636" s="34" t="str">
        <f t="shared" si="28"/>
        <v/>
      </c>
      <c r="L636" s="35" t="str">
        <f t="shared" si="29"/>
        <v/>
      </c>
      <c r="M636" s="14"/>
      <c r="N636" s="16"/>
    </row>
    <row r="637" spans="1:14" ht="15.6" x14ac:dyDescent="0.3">
      <c r="A637" s="13" t="str">
        <f t="shared" si="27"/>
        <v>-</v>
      </c>
      <c r="B637" s="25"/>
      <c r="C637" s="25"/>
      <c r="D637" s="25"/>
      <c r="E637" s="25"/>
      <c r="F637" s="31"/>
      <c r="G637" s="34">
        <f>SUMIFS('BASE EXEC. Q.L'!N:N,'BASE EXEC. Q.L'!B:B,VOOS!A637)</f>
        <v>0</v>
      </c>
      <c r="H637" s="15" t="str">
        <f>IFERROR(_xlfn.XLOOKUP(A637,'BASE SQL PLANTIO'!B:B,'BASE SQL PLANTIO'!T:T,"verificar",0),"")</f>
        <v/>
      </c>
      <c r="I637" s="77" t="str">
        <f>IF(_xlfn.MINIFS('BASE SQL PLANTIO'!E:E,'BASE SQL PLANTIO'!B:B,VOOS!A637)=0/1/1900,"",_xlfn.MINIFS('BASE SQL PLANTIO'!E:E,'BASE SQL PLANTIO'!B:B,VOOS!A637))</f>
        <v/>
      </c>
      <c r="J637" s="26"/>
      <c r="K637" s="34" t="str">
        <f t="shared" si="28"/>
        <v/>
      </c>
      <c r="L637" s="35" t="str">
        <f t="shared" si="29"/>
        <v/>
      </c>
      <c r="M637" s="14"/>
      <c r="N637" s="16"/>
    </row>
    <row r="638" spans="1:14" ht="15.6" x14ac:dyDescent="0.3">
      <c r="A638" s="13" t="str">
        <f t="shared" si="27"/>
        <v>-</v>
      </c>
      <c r="B638" s="25"/>
      <c r="C638" s="25"/>
      <c r="D638" s="25"/>
      <c r="E638" s="25"/>
      <c r="F638" s="31"/>
      <c r="G638" s="34">
        <f>SUMIFS('BASE EXEC. Q.L'!N:N,'BASE EXEC. Q.L'!B:B,VOOS!A638)</f>
        <v>0</v>
      </c>
      <c r="H638" s="15" t="str">
        <f>IFERROR(_xlfn.XLOOKUP(A638,'BASE SQL PLANTIO'!B:B,'BASE SQL PLANTIO'!T:T,"verificar",0),"")</f>
        <v/>
      </c>
      <c r="I638" s="77" t="str">
        <f>IF(_xlfn.MINIFS('BASE SQL PLANTIO'!E:E,'BASE SQL PLANTIO'!B:B,VOOS!A638)=0/1/1900,"",_xlfn.MINIFS('BASE SQL PLANTIO'!E:E,'BASE SQL PLANTIO'!B:B,VOOS!A638))</f>
        <v/>
      </c>
      <c r="J638" s="26"/>
      <c r="K638" s="34" t="str">
        <f t="shared" si="28"/>
        <v/>
      </c>
      <c r="L638" s="35" t="str">
        <f t="shared" si="29"/>
        <v/>
      </c>
      <c r="M638" s="14"/>
      <c r="N638" s="16"/>
    </row>
    <row r="639" spans="1:14" ht="15.6" x14ac:dyDescent="0.3">
      <c r="A639" s="13" t="str">
        <f t="shared" si="27"/>
        <v>-</v>
      </c>
      <c r="B639" s="27"/>
      <c r="C639" s="26"/>
      <c r="D639" s="26"/>
      <c r="E639" s="26"/>
      <c r="F639" s="26"/>
      <c r="G639" s="34">
        <f>SUMIFS('BASE EXEC. Q.L'!N:N,'BASE EXEC. Q.L'!B:B,VOOS!A639)</f>
        <v>0</v>
      </c>
      <c r="H639" s="15" t="str">
        <f>IFERROR(_xlfn.XLOOKUP(A639,'BASE SQL PLANTIO'!B:B,'BASE SQL PLANTIO'!T:T,"verificar",0),"")</f>
        <v/>
      </c>
      <c r="I639" s="77" t="str">
        <f>IF(_xlfn.MINIFS('BASE SQL PLANTIO'!E:E,'BASE SQL PLANTIO'!B:B,VOOS!A639)=0/1/1900,"",_xlfn.MINIFS('BASE SQL PLANTIO'!E:E,'BASE SQL PLANTIO'!B:B,VOOS!A639))</f>
        <v/>
      </c>
      <c r="J639" s="26"/>
      <c r="K639" s="34" t="str">
        <f t="shared" si="28"/>
        <v/>
      </c>
      <c r="L639" s="35" t="str">
        <f t="shared" si="29"/>
        <v/>
      </c>
      <c r="M639" s="14"/>
      <c r="N639" s="16"/>
    </row>
    <row r="640" spans="1:14" ht="15.6" x14ac:dyDescent="0.3">
      <c r="A640" s="13" t="str">
        <f t="shared" si="27"/>
        <v>-</v>
      </c>
      <c r="B640" s="27"/>
      <c r="C640" s="26"/>
      <c r="D640" s="26"/>
      <c r="E640" s="26"/>
      <c r="F640" s="26"/>
      <c r="G640" s="34">
        <f>SUMIFS('BASE EXEC. Q.L'!N:N,'BASE EXEC. Q.L'!B:B,VOOS!A640)</f>
        <v>0</v>
      </c>
      <c r="H640" s="15" t="str">
        <f>IFERROR(_xlfn.XLOOKUP(A640,'BASE SQL PLANTIO'!B:B,'BASE SQL PLANTIO'!T:T,"verificar",0),"")</f>
        <v/>
      </c>
      <c r="I640" s="77" t="str">
        <f>IF(_xlfn.MINIFS('BASE SQL PLANTIO'!E:E,'BASE SQL PLANTIO'!B:B,VOOS!A640)=0/1/1900,"",_xlfn.MINIFS('BASE SQL PLANTIO'!E:E,'BASE SQL PLANTIO'!B:B,VOOS!A640))</f>
        <v/>
      </c>
      <c r="J640" s="26"/>
      <c r="K640" s="34" t="str">
        <f t="shared" si="28"/>
        <v/>
      </c>
      <c r="L640" s="35" t="str">
        <f t="shared" si="29"/>
        <v/>
      </c>
      <c r="M640" s="14"/>
      <c r="N640" s="16"/>
    </row>
    <row r="641" spans="1:14" ht="15.6" x14ac:dyDescent="0.3">
      <c r="A641" s="13" t="str">
        <f t="shared" si="27"/>
        <v>-</v>
      </c>
      <c r="B641" s="25"/>
      <c r="C641" s="25"/>
      <c r="D641" s="25"/>
      <c r="E641" s="25"/>
      <c r="F641" s="31"/>
      <c r="G641" s="34">
        <f>SUMIFS('BASE EXEC. Q.L'!N:N,'BASE EXEC. Q.L'!B:B,VOOS!A641)</f>
        <v>0</v>
      </c>
      <c r="H641" s="15" t="str">
        <f>IFERROR(_xlfn.XLOOKUP(A641,'BASE SQL PLANTIO'!B:B,'BASE SQL PLANTIO'!T:T,"verificar",0),"")</f>
        <v/>
      </c>
      <c r="I641" s="77" t="str">
        <f>IF(_xlfn.MINIFS('BASE SQL PLANTIO'!E:E,'BASE SQL PLANTIO'!B:B,VOOS!A641)=0/1/1900,"",_xlfn.MINIFS('BASE SQL PLANTIO'!E:E,'BASE SQL PLANTIO'!B:B,VOOS!A641))</f>
        <v/>
      </c>
      <c r="J641" s="26"/>
      <c r="K641" s="34" t="str">
        <f t="shared" si="28"/>
        <v/>
      </c>
      <c r="L641" s="35" t="str">
        <f t="shared" si="29"/>
        <v/>
      </c>
      <c r="M641" s="14"/>
      <c r="N641" s="16"/>
    </row>
    <row r="642" spans="1:14" ht="15.6" x14ac:dyDescent="0.3">
      <c r="A642" s="13" t="str">
        <f t="shared" si="27"/>
        <v>-</v>
      </c>
      <c r="B642" s="27"/>
      <c r="C642" s="26"/>
      <c r="D642" s="26"/>
      <c r="E642" s="26"/>
      <c r="F642" s="26"/>
      <c r="G642" s="34">
        <f>SUMIFS('BASE EXEC. Q.L'!N:N,'BASE EXEC. Q.L'!B:B,VOOS!A642)</f>
        <v>0</v>
      </c>
      <c r="H642" s="15" t="str">
        <f>IFERROR(_xlfn.XLOOKUP(A642,'BASE SQL PLANTIO'!B:B,'BASE SQL PLANTIO'!T:T,"verificar",0),"")</f>
        <v/>
      </c>
      <c r="I642" s="77" t="str">
        <f>IF(_xlfn.MINIFS('BASE SQL PLANTIO'!E:E,'BASE SQL PLANTIO'!B:B,VOOS!A642)=0/1/1900,"",_xlfn.MINIFS('BASE SQL PLANTIO'!E:E,'BASE SQL PLANTIO'!B:B,VOOS!A642))</f>
        <v/>
      </c>
      <c r="J642" s="26"/>
      <c r="K642" s="34" t="str">
        <f t="shared" si="28"/>
        <v/>
      </c>
      <c r="L642" s="35" t="str">
        <f t="shared" si="29"/>
        <v/>
      </c>
      <c r="M642" s="14"/>
      <c r="N642" s="15"/>
    </row>
    <row r="643" spans="1:14" ht="15.6" x14ac:dyDescent="0.3">
      <c r="A643" s="13" t="str">
        <f t="shared" si="27"/>
        <v>-</v>
      </c>
      <c r="B643" s="27"/>
      <c r="C643" s="26"/>
      <c r="D643" s="26"/>
      <c r="E643" s="26"/>
      <c r="F643" s="26"/>
      <c r="G643" s="34">
        <f>SUMIFS('BASE EXEC. Q.L'!N:N,'BASE EXEC. Q.L'!B:B,VOOS!A643)</f>
        <v>0</v>
      </c>
      <c r="H643" s="15" t="str">
        <f>IFERROR(_xlfn.XLOOKUP(A643,'BASE SQL PLANTIO'!B:B,'BASE SQL PLANTIO'!T:T,"verificar",0),"")</f>
        <v/>
      </c>
      <c r="I643" s="77" t="str">
        <f>IF(_xlfn.MINIFS('BASE SQL PLANTIO'!E:E,'BASE SQL PLANTIO'!B:B,VOOS!A643)=0/1/1900,"",_xlfn.MINIFS('BASE SQL PLANTIO'!E:E,'BASE SQL PLANTIO'!B:B,VOOS!A643))</f>
        <v/>
      </c>
      <c r="J643" s="26"/>
      <c r="K643" s="34" t="str">
        <f t="shared" si="28"/>
        <v/>
      </c>
      <c r="L643" s="35" t="str">
        <f t="shared" si="29"/>
        <v/>
      </c>
      <c r="M643" s="14"/>
      <c r="N643" s="16"/>
    </row>
    <row r="644" spans="1:14" ht="15.6" x14ac:dyDescent="0.3">
      <c r="A644" s="13" t="str">
        <f t="shared" si="27"/>
        <v>-</v>
      </c>
      <c r="B644" s="25"/>
      <c r="C644" s="25"/>
      <c r="D644" s="25"/>
      <c r="E644" s="25"/>
      <c r="F644" s="31"/>
      <c r="G644" s="34">
        <f>SUMIFS('BASE EXEC. Q.L'!N:N,'BASE EXEC. Q.L'!B:B,VOOS!A644)</f>
        <v>0</v>
      </c>
      <c r="H644" s="15" t="str">
        <f>IFERROR(_xlfn.XLOOKUP(A644,'BASE SQL PLANTIO'!B:B,'BASE SQL PLANTIO'!T:T,"verificar",0),"")</f>
        <v/>
      </c>
      <c r="I644" s="77" t="str">
        <f>IF(_xlfn.MINIFS('BASE SQL PLANTIO'!E:E,'BASE SQL PLANTIO'!B:B,VOOS!A644)=0/1/1900,"",_xlfn.MINIFS('BASE SQL PLANTIO'!E:E,'BASE SQL PLANTIO'!B:B,VOOS!A644))</f>
        <v/>
      </c>
      <c r="J644" s="26"/>
      <c r="K644" s="34" t="str">
        <f t="shared" si="28"/>
        <v/>
      </c>
      <c r="L644" s="35" t="str">
        <f t="shared" si="29"/>
        <v/>
      </c>
      <c r="M644" s="14"/>
      <c r="N644" s="16"/>
    </row>
    <row r="645" spans="1:14" ht="15.6" x14ac:dyDescent="0.3">
      <c r="A645" s="13" t="str">
        <f t="shared" ref="A645:A708" si="30">CONCATENATE(B645,"-",E645)</f>
        <v>-</v>
      </c>
      <c r="B645" s="25"/>
      <c r="C645" s="25"/>
      <c r="D645" s="25"/>
      <c r="E645" s="25"/>
      <c r="F645" s="31"/>
      <c r="G645" s="34">
        <f>SUMIFS('BASE EXEC. Q.L'!N:N,'BASE EXEC. Q.L'!B:B,VOOS!A645)</f>
        <v>0</v>
      </c>
      <c r="H645" s="15" t="str">
        <f>IFERROR(_xlfn.XLOOKUP(A645,'BASE SQL PLANTIO'!B:B,'BASE SQL PLANTIO'!T:T,"verificar",0),"")</f>
        <v/>
      </c>
      <c r="I645" s="77" t="str">
        <f>IF(_xlfn.MINIFS('BASE SQL PLANTIO'!E:E,'BASE SQL PLANTIO'!B:B,VOOS!A645)=0/1/1900,"",_xlfn.MINIFS('BASE SQL PLANTIO'!E:E,'BASE SQL PLANTIO'!B:B,VOOS!A645))</f>
        <v/>
      </c>
      <c r="J645" s="26"/>
      <c r="K645" s="34" t="str">
        <f t="shared" ref="K645:K708" si="31">IF(I645="","",$K$3-I645)</f>
        <v/>
      </c>
      <c r="L645" s="35" t="str">
        <f t="shared" ref="L645:L708" si="32">K645</f>
        <v/>
      </c>
      <c r="M645" s="14"/>
      <c r="N645" s="16"/>
    </row>
    <row r="646" spans="1:14" ht="15.6" x14ac:dyDescent="0.3">
      <c r="A646" s="13" t="str">
        <f t="shared" si="30"/>
        <v>-</v>
      </c>
      <c r="B646" s="27"/>
      <c r="C646" s="22"/>
      <c r="D646" s="23"/>
      <c r="E646" s="23"/>
      <c r="F646" s="22"/>
      <c r="G646" s="34">
        <f>SUMIFS('BASE EXEC. Q.L'!N:N,'BASE EXEC. Q.L'!B:B,VOOS!A646)</f>
        <v>0</v>
      </c>
      <c r="H646" s="15" t="str">
        <f>IFERROR(_xlfn.XLOOKUP(A646,'BASE SQL PLANTIO'!B:B,'BASE SQL PLANTIO'!T:T,"verificar",0),"")</f>
        <v/>
      </c>
      <c r="I646" s="77" t="str">
        <f>IF(_xlfn.MINIFS('BASE SQL PLANTIO'!E:E,'BASE SQL PLANTIO'!B:B,VOOS!A646)=0/1/1900,"",_xlfn.MINIFS('BASE SQL PLANTIO'!E:E,'BASE SQL PLANTIO'!B:B,VOOS!A646))</f>
        <v/>
      </c>
      <c r="J646" s="22"/>
      <c r="K646" s="34" t="str">
        <f t="shared" si="31"/>
        <v/>
      </c>
      <c r="L646" s="35" t="str">
        <f t="shared" si="32"/>
        <v/>
      </c>
      <c r="M646" s="14"/>
      <c r="N646" s="16"/>
    </row>
    <row r="647" spans="1:14" ht="15.6" x14ac:dyDescent="0.3">
      <c r="A647" s="13" t="str">
        <f t="shared" si="30"/>
        <v>-</v>
      </c>
      <c r="B647" s="27"/>
      <c r="C647" s="26"/>
      <c r="D647" s="26"/>
      <c r="E647" s="26"/>
      <c r="F647" s="26"/>
      <c r="G647" s="34">
        <f>SUMIFS('BASE EXEC. Q.L'!N:N,'BASE EXEC. Q.L'!B:B,VOOS!A647)</f>
        <v>0</v>
      </c>
      <c r="H647" s="15" t="str">
        <f>IFERROR(_xlfn.XLOOKUP(A647,'BASE SQL PLANTIO'!B:B,'BASE SQL PLANTIO'!T:T,"verificar",0),"")</f>
        <v/>
      </c>
      <c r="I647" s="77" t="str">
        <f>IF(_xlfn.MINIFS('BASE SQL PLANTIO'!E:E,'BASE SQL PLANTIO'!B:B,VOOS!A647)=0/1/1900,"",_xlfn.MINIFS('BASE SQL PLANTIO'!E:E,'BASE SQL PLANTIO'!B:B,VOOS!A647))</f>
        <v/>
      </c>
      <c r="J647" s="26"/>
      <c r="K647" s="34" t="str">
        <f t="shared" si="31"/>
        <v/>
      </c>
      <c r="L647" s="35" t="str">
        <f t="shared" si="32"/>
        <v/>
      </c>
      <c r="M647" s="14"/>
      <c r="N647" s="16"/>
    </row>
    <row r="648" spans="1:14" ht="15.6" x14ac:dyDescent="0.3">
      <c r="A648" s="13" t="str">
        <f t="shared" si="30"/>
        <v>-</v>
      </c>
      <c r="B648" s="27"/>
      <c r="C648" s="26"/>
      <c r="D648" s="26"/>
      <c r="E648" s="26"/>
      <c r="F648" s="26"/>
      <c r="G648" s="34">
        <f>SUMIFS('BASE EXEC. Q.L'!N:N,'BASE EXEC. Q.L'!B:B,VOOS!A648)</f>
        <v>0</v>
      </c>
      <c r="H648" s="15" t="str">
        <f>IFERROR(_xlfn.XLOOKUP(A648,'BASE SQL PLANTIO'!B:B,'BASE SQL PLANTIO'!T:T,"verificar",0),"")</f>
        <v/>
      </c>
      <c r="I648" s="77" t="str">
        <f>IF(_xlfn.MINIFS('BASE SQL PLANTIO'!E:E,'BASE SQL PLANTIO'!B:B,VOOS!A648)=0/1/1900,"",_xlfn.MINIFS('BASE SQL PLANTIO'!E:E,'BASE SQL PLANTIO'!B:B,VOOS!A648))</f>
        <v/>
      </c>
      <c r="J648" s="26"/>
      <c r="K648" s="34" t="str">
        <f t="shared" si="31"/>
        <v/>
      </c>
      <c r="L648" s="35" t="str">
        <f t="shared" si="32"/>
        <v/>
      </c>
      <c r="M648" s="14"/>
      <c r="N648" s="16"/>
    </row>
    <row r="649" spans="1:14" ht="15.6" x14ac:dyDescent="0.3">
      <c r="A649" s="13" t="str">
        <f t="shared" si="30"/>
        <v>-</v>
      </c>
      <c r="B649" s="27"/>
      <c r="C649" s="26"/>
      <c r="D649" s="26"/>
      <c r="E649" s="26"/>
      <c r="F649" s="26"/>
      <c r="G649" s="34">
        <f>SUMIFS('BASE EXEC. Q.L'!N:N,'BASE EXEC. Q.L'!B:B,VOOS!A649)</f>
        <v>0</v>
      </c>
      <c r="H649" s="15" t="str">
        <f>IFERROR(_xlfn.XLOOKUP(A649,'BASE SQL PLANTIO'!B:B,'BASE SQL PLANTIO'!T:T,"verificar",0),"")</f>
        <v/>
      </c>
      <c r="I649" s="77" t="str">
        <f>IF(_xlfn.MINIFS('BASE SQL PLANTIO'!E:E,'BASE SQL PLANTIO'!B:B,VOOS!A649)=0/1/1900,"",_xlfn.MINIFS('BASE SQL PLANTIO'!E:E,'BASE SQL PLANTIO'!B:B,VOOS!A649))</f>
        <v/>
      </c>
      <c r="J649" s="26"/>
      <c r="K649" s="34" t="str">
        <f t="shared" si="31"/>
        <v/>
      </c>
      <c r="L649" s="35" t="str">
        <f t="shared" si="32"/>
        <v/>
      </c>
      <c r="M649" s="14"/>
      <c r="N649" s="16"/>
    </row>
    <row r="650" spans="1:14" ht="15.6" x14ac:dyDescent="0.3">
      <c r="A650" s="13" t="str">
        <f t="shared" si="30"/>
        <v>-</v>
      </c>
      <c r="B650" s="27"/>
      <c r="C650" s="26"/>
      <c r="D650" s="26"/>
      <c r="E650" s="26"/>
      <c r="F650" s="26"/>
      <c r="G650" s="34">
        <f>SUMIFS('BASE EXEC. Q.L'!N:N,'BASE EXEC. Q.L'!B:B,VOOS!A650)</f>
        <v>0</v>
      </c>
      <c r="H650" s="15" t="str">
        <f>IFERROR(_xlfn.XLOOKUP(A650,'BASE SQL PLANTIO'!B:B,'BASE SQL PLANTIO'!T:T,"verificar",0),"")</f>
        <v/>
      </c>
      <c r="I650" s="77" t="str">
        <f>IF(_xlfn.MINIFS('BASE SQL PLANTIO'!E:E,'BASE SQL PLANTIO'!B:B,VOOS!A650)=0/1/1900,"",_xlfn.MINIFS('BASE SQL PLANTIO'!E:E,'BASE SQL PLANTIO'!B:B,VOOS!A650))</f>
        <v/>
      </c>
      <c r="J650" s="26"/>
      <c r="K650" s="34" t="str">
        <f t="shared" si="31"/>
        <v/>
      </c>
      <c r="L650" s="35" t="str">
        <f t="shared" si="32"/>
        <v/>
      </c>
      <c r="M650" s="14"/>
      <c r="N650" s="16"/>
    </row>
    <row r="651" spans="1:14" ht="15.6" x14ac:dyDescent="0.3">
      <c r="A651" s="13" t="str">
        <f t="shared" si="30"/>
        <v>-</v>
      </c>
      <c r="B651" s="27"/>
      <c r="C651" s="26"/>
      <c r="D651" s="26"/>
      <c r="E651" s="26"/>
      <c r="F651" s="26"/>
      <c r="G651" s="34">
        <f>SUMIFS('BASE EXEC. Q.L'!N:N,'BASE EXEC. Q.L'!B:B,VOOS!A651)</f>
        <v>0</v>
      </c>
      <c r="H651" s="15" t="str">
        <f>IFERROR(_xlfn.XLOOKUP(A651,'BASE SQL PLANTIO'!B:B,'BASE SQL PLANTIO'!T:T,"verificar",0),"")</f>
        <v/>
      </c>
      <c r="I651" s="77" t="str">
        <f>IF(_xlfn.MINIFS('BASE SQL PLANTIO'!E:E,'BASE SQL PLANTIO'!B:B,VOOS!A651)=0/1/1900,"",_xlfn.MINIFS('BASE SQL PLANTIO'!E:E,'BASE SQL PLANTIO'!B:B,VOOS!A651))</f>
        <v/>
      </c>
      <c r="J651" s="26"/>
      <c r="K651" s="34" t="str">
        <f t="shared" si="31"/>
        <v/>
      </c>
      <c r="L651" s="35" t="str">
        <f t="shared" si="32"/>
        <v/>
      </c>
      <c r="M651" s="14"/>
      <c r="N651" s="16"/>
    </row>
    <row r="652" spans="1:14" ht="15.6" x14ac:dyDescent="0.3">
      <c r="A652" s="13" t="str">
        <f t="shared" si="30"/>
        <v>-</v>
      </c>
      <c r="B652" s="27"/>
      <c r="C652" s="26"/>
      <c r="D652" s="26"/>
      <c r="E652" s="26"/>
      <c r="F652" s="26"/>
      <c r="G652" s="34">
        <f>SUMIFS('BASE EXEC. Q.L'!N:N,'BASE EXEC. Q.L'!B:B,VOOS!A652)</f>
        <v>0</v>
      </c>
      <c r="H652" s="15" t="str">
        <f>IFERROR(_xlfn.XLOOKUP(A652,'BASE SQL PLANTIO'!B:B,'BASE SQL PLANTIO'!T:T,"verificar",0),"")</f>
        <v/>
      </c>
      <c r="I652" s="77" t="str">
        <f>IF(_xlfn.MINIFS('BASE SQL PLANTIO'!E:E,'BASE SQL PLANTIO'!B:B,VOOS!A652)=0/1/1900,"",_xlfn.MINIFS('BASE SQL PLANTIO'!E:E,'BASE SQL PLANTIO'!B:B,VOOS!A652))</f>
        <v/>
      </c>
      <c r="J652" s="26"/>
      <c r="K652" s="34" t="str">
        <f t="shared" si="31"/>
        <v/>
      </c>
      <c r="L652" s="35" t="str">
        <f t="shared" si="32"/>
        <v/>
      </c>
      <c r="M652" s="14"/>
      <c r="N652" s="15"/>
    </row>
    <row r="653" spans="1:14" ht="15.6" x14ac:dyDescent="0.3">
      <c r="A653" s="13" t="str">
        <f t="shared" si="30"/>
        <v>-</v>
      </c>
      <c r="B653" s="27"/>
      <c r="C653" s="26"/>
      <c r="D653" s="26"/>
      <c r="E653" s="26"/>
      <c r="F653" s="26"/>
      <c r="G653" s="34">
        <f>SUMIFS('BASE EXEC. Q.L'!N:N,'BASE EXEC. Q.L'!B:B,VOOS!A653)</f>
        <v>0</v>
      </c>
      <c r="H653" s="15" t="str">
        <f>IFERROR(_xlfn.XLOOKUP(A653,'BASE SQL PLANTIO'!B:B,'BASE SQL PLANTIO'!T:T,"verificar",0),"")</f>
        <v/>
      </c>
      <c r="I653" s="77" t="str">
        <f>IF(_xlfn.MINIFS('BASE SQL PLANTIO'!E:E,'BASE SQL PLANTIO'!B:B,VOOS!A653)=0/1/1900,"",_xlfn.MINIFS('BASE SQL PLANTIO'!E:E,'BASE SQL PLANTIO'!B:B,VOOS!A653))</f>
        <v/>
      </c>
      <c r="J653" s="26"/>
      <c r="K653" s="34" t="str">
        <f t="shared" si="31"/>
        <v/>
      </c>
      <c r="L653" s="35" t="str">
        <f t="shared" si="32"/>
        <v/>
      </c>
      <c r="M653" s="14"/>
      <c r="N653" s="16"/>
    </row>
    <row r="654" spans="1:14" ht="15.6" x14ac:dyDescent="0.3">
      <c r="A654" s="13" t="str">
        <f t="shared" si="30"/>
        <v>-</v>
      </c>
      <c r="B654" s="27"/>
      <c r="C654" s="26"/>
      <c r="D654" s="26"/>
      <c r="E654" s="26"/>
      <c r="F654" s="26"/>
      <c r="G654" s="34">
        <f>SUMIFS('BASE EXEC. Q.L'!N:N,'BASE EXEC. Q.L'!B:B,VOOS!A654)</f>
        <v>0</v>
      </c>
      <c r="H654" s="15" t="str">
        <f>IFERROR(_xlfn.XLOOKUP(A654,'BASE SQL PLANTIO'!B:B,'BASE SQL PLANTIO'!T:T,"verificar",0),"")</f>
        <v/>
      </c>
      <c r="I654" s="77" t="str">
        <f>IF(_xlfn.MINIFS('BASE SQL PLANTIO'!E:E,'BASE SQL PLANTIO'!B:B,VOOS!A654)=0/1/1900,"",_xlfn.MINIFS('BASE SQL PLANTIO'!E:E,'BASE SQL PLANTIO'!B:B,VOOS!A654))</f>
        <v/>
      </c>
      <c r="J654" s="26"/>
      <c r="K654" s="34" t="str">
        <f t="shared" si="31"/>
        <v/>
      </c>
      <c r="L654" s="35" t="str">
        <f t="shared" si="32"/>
        <v/>
      </c>
      <c r="M654" s="14"/>
      <c r="N654" s="16"/>
    </row>
    <row r="655" spans="1:14" ht="15.6" x14ac:dyDescent="0.3">
      <c r="A655" s="13" t="str">
        <f t="shared" si="30"/>
        <v>-</v>
      </c>
      <c r="B655" s="27"/>
      <c r="C655" s="26"/>
      <c r="D655" s="26"/>
      <c r="E655" s="26"/>
      <c r="F655" s="26"/>
      <c r="G655" s="34">
        <f>SUMIFS('BASE EXEC. Q.L'!N:N,'BASE EXEC. Q.L'!B:B,VOOS!A655)</f>
        <v>0</v>
      </c>
      <c r="H655" s="15" t="str">
        <f>IFERROR(_xlfn.XLOOKUP(A655,'BASE SQL PLANTIO'!B:B,'BASE SQL PLANTIO'!T:T,"verificar",0),"")</f>
        <v/>
      </c>
      <c r="I655" s="77" t="str">
        <f>IF(_xlfn.MINIFS('BASE SQL PLANTIO'!E:E,'BASE SQL PLANTIO'!B:B,VOOS!A655)=0/1/1900,"",_xlfn.MINIFS('BASE SQL PLANTIO'!E:E,'BASE SQL PLANTIO'!B:B,VOOS!A655))</f>
        <v/>
      </c>
      <c r="J655" s="26"/>
      <c r="K655" s="34" t="str">
        <f t="shared" si="31"/>
        <v/>
      </c>
      <c r="L655" s="35" t="str">
        <f t="shared" si="32"/>
        <v/>
      </c>
      <c r="M655" s="14"/>
      <c r="N655" s="16"/>
    </row>
    <row r="656" spans="1:14" ht="15.6" x14ac:dyDescent="0.3">
      <c r="A656" s="13" t="str">
        <f t="shared" si="30"/>
        <v>-</v>
      </c>
      <c r="B656" s="27"/>
      <c r="C656" s="26"/>
      <c r="D656" s="26"/>
      <c r="E656" s="26"/>
      <c r="F656" s="26"/>
      <c r="G656" s="34">
        <f>SUMIFS('BASE EXEC. Q.L'!N:N,'BASE EXEC. Q.L'!B:B,VOOS!A656)</f>
        <v>0</v>
      </c>
      <c r="H656" s="15" t="str">
        <f>IFERROR(_xlfn.XLOOKUP(A656,'BASE SQL PLANTIO'!B:B,'BASE SQL PLANTIO'!T:T,"verificar",0),"")</f>
        <v/>
      </c>
      <c r="I656" s="77" t="str">
        <f>IF(_xlfn.MINIFS('BASE SQL PLANTIO'!E:E,'BASE SQL PLANTIO'!B:B,VOOS!A656)=0/1/1900,"",_xlfn.MINIFS('BASE SQL PLANTIO'!E:E,'BASE SQL PLANTIO'!B:B,VOOS!A656))</f>
        <v/>
      </c>
      <c r="J656" s="26"/>
      <c r="K656" s="34" t="str">
        <f t="shared" si="31"/>
        <v/>
      </c>
      <c r="L656" s="35" t="str">
        <f t="shared" si="32"/>
        <v/>
      </c>
      <c r="M656" s="14"/>
      <c r="N656" s="16"/>
    </row>
    <row r="657" spans="1:14" ht="15.6" x14ac:dyDescent="0.3">
      <c r="A657" s="13" t="str">
        <f t="shared" si="30"/>
        <v>-</v>
      </c>
      <c r="B657" s="27"/>
      <c r="C657" s="26"/>
      <c r="D657" s="26"/>
      <c r="E657" s="26"/>
      <c r="F657" s="26"/>
      <c r="G657" s="34">
        <f>SUMIFS('BASE EXEC. Q.L'!N:N,'BASE EXEC. Q.L'!B:B,VOOS!A657)</f>
        <v>0</v>
      </c>
      <c r="H657" s="15" t="str">
        <f>IFERROR(_xlfn.XLOOKUP(A657,'BASE SQL PLANTIO'!B:B,'BASE SQL PLANTIO'!T:T,"verificar",0),"")</f>
        <v/>
      </c>
      <c r="I657" s="77" t="str">
        <f>IF(_xlfn.MINIFS('BASE SQL PLANTIO'!E:E,'BASE SQL PLANTIO'!B:B,VOOS!A657)=0/1/1900,"",_xlfn.MINIFS('BASE SQL PLANTIO'!E:E,'BASE SQL PLANTIO'!B:B,VOOS!A657))</f>
        <v/>
      </c>
      <c r="J657" s="26"/>
      <c r="K657" s="34" t="str">
        <f t="shared" si="31"/>
        <v/>
      </c>
      <c r="L657" s="35" t="str">
        <f t="shared" si="32"/>
        <v/>
      </c>
      <c r="M657" s="14"/>
      <c r="N657" s="16"/>
    </row>
    <row r="658" spans="1:14" ht="15.6" x14ac:dyDescent="0.3">
      <c r="A658" s="13" t="str">
        <f t="shared" si="30"/>
        <v>-</v>
      </c>
      <c r="B658" s="25"/>
      <c r="C658" s="25"/>
      <c r="D658" s="25"/>
      <c r="E658" s="25"/>
      <c r="F658" s="31"/>
      <c r="G658" s="34">
        <f>SUMIFS('BASE EXEC. Q.L'!N:N,'BASE EXEC. Q.L'!B:B,VOOS!A658)</f>
        <v>0</v>
      </c>
      <c r="H658" s="15" t="str">
        <f>IFERROR(_xlfn.XLOOKUP(A658,'BASE SQL PLANTIO'!B:B,'BASE SQL PLANTIO'!T:T,"verificar",0),"")</f>
        <v/>
      </c>
      <c r="I658" s="77" t="str">
        <f>IF(_xlfn.MINIFS('BASE SQL PLANTIO'!E:E,'BASE SQL PLANTIO'!B:B,VOOS!A658)=0/1/1900,"",_xlfn.MINIFS('BASE SQL PLANTIO'!E:E,'BASE SQL PLANTIO'!B:B,VOOS!A658))</f>
        <v/>
      </c>
      <c r="J658" s="26"/>
      <c r="K658" s="34" t="str">
        <f t="shared" si="31"/>
        <v/>
      </c>
      <c r="L658" s="35" t="str">
        <f t="shared" si="32"/>
        <v/>
      </c>
      <c r="M658" s="14"/>
      <c r="N658" s="16"/>
    </row>
    <row r="659" spans="1:14" ht="15.6" x14ac:dyDescent="0.3">
      <c r="A659" s="13" t="str">
        <f t="shared" si="30"/>
        <v>-</v>
      </c>
      <c r="B659" s="25"/>
      <c r="C659" s="25"/>
      <c r="D659" s="25"/>
      <c r="E659" s="25"/>
      <c r="F659" s="31"/>
      <c r="G659" s="34">
        <f>SUMIFS('BASE EXEC. Q.L'!N:N,'BASE EXEC. Q.L'!B:B,VOOS!A659)</f>
        <v>0</v>
      </c>
      <c r="H659" s="15" t="str">
        <f>IFERROR(_xlfn.XLOOKUP(A659,'BASE SQL PLANTIO'!B:B,'BASE SQL PLANTIO'!T:T,"verificar",0),"")</f>
        <v/>
      </c>
      <c r="I659" s="77" t="str">
        <f>IF(_xlfn.MINIFS('BASE SQL PLANTIO'!E:E,'BASE SQL PLANTIO'!B:B,VOOS!A659)=0/1/1900,"",_xlfn.MINIFS('BASE SQL PLANTIO'!E:E,'BASE SQL PLANTIO'!B:B,VOOS!A659))</f>
        <v/>
      </c>
      <c r="J659" s="26"/>
      <c r="K659" s="34" t="str">
        <f t="shared" si="31"/>
        <v/>
      </c>
      <c r="L659" s="35" t="str">
        <f t="shared" si="32"/>
        <v/>
      </c>
      <c r="M659" s="14"/>
      <c r="N659" s="16"/>
    </row>
    <row r="660" spans="1:14" ht="15.6" x14ac:dyDescent="0.3">
      <c r="A660" s="13" t="str">
        <f t="shared" si="30"/>
        <v>-</v>
      </c>
      <c r="B660" s="27"/>
      <c r="C660" s="26"/>
      <c r="D660" s="26"/>
      <c r="E660" s="26"/>
      <c r="F660" s="26"/>
      <c r="G660" s="34">
        <f>SUMIFS('BASE EXEC. Q.L'!N:N,'BASE EXEC. Q.L'!B:B,VOOS!A660)</f>
        <v>0</v>
      </c>
      <c r="H660" s="15" t="str">
        <f>IFERROR(_xlfn.XLOOKUP(A660,'BASE SQL PLANTIO'!B:B,'BASE SQL PLANTIO'!T:T,"verificar",0),"")</f>
        <v/>
      </c>
      <c r="I660" s="77" t="str">
        <f>IF(_xlfn.MINIFS('BASE SQL PLANTIO'!E:E,'BASE SQL PLANTIO'!B:B,VOOS!A660)=0/1/1900,"",_xlfn.MINIFS('BASE SQL PLANTIO'!E:E,'BASE SQL PLANTIO'!B:B,VOOS!A660))</f>
        <v/>
      </c>
      <c r="J660" s="26"/>
      <c r="K660" s="34" t="str">
        <f t="shared" si="31"/>
        <v/>
      </c>
      <c r="L660" s="35" t="str">
        <f t="shared" si="32"/>
        <v/>
      </c>
      <c r="M660" s="14"/>
      <c r="N660" s="16"/>
    </row>
    <row r="661" spans="1:14" ht="15.6" x14ac:dyDescent="0.3">
      <c r="A661" s="13" t="str">
        <f t="shared" si="30"/>
        <v>-</v>
      </c>
      <c r="B661" s="27"/>
      <c r="C661" s="26"/>
      <c r="D661" s="26"/>
      <c r="E661" s="26"/>
      <c r="F661" s="26"/>
      <c r="G661" s="34">
        <f>SUMIFS('BASE EXEC. Q.L'!N:N,'BASE EXEC. Q.L'!B:B,VOOS!A661)</f>
        <v>0</v>
      </c>
      <c r="H661" s="15" t="str">
        <f>IFERROR(_xlfn.XLOOKUP(A661,'BASE SQL PLANTIO'!B:B,'BASE SQL PLANTIO'!T:T,"verificar",0),"")</f>
        <v/>
      </c>
      <c r="I661" s="77" t="str">
        <f>IF(_xlfn.MINIFS('BASE SQL PLANTIO'!E:E,'BASE SQL PLANTIO'!B:B,VOOS!A661)=0/1/1900,"",_xlfn.MINIFS('BASE SQL PLANTIO'!E:E,'BASE SQL PLANTIO'!B:B,VOOS!A661))</f>
        <v/>
      </c>
      <c r="J661" s="26"/>
      <c r="K661" s="34" t="str">
        <f t="shared" si="31"/>
        <v/>
      </c>
      <c r="L661" s="35" t="str">
        <f t="shared" si="32"/>
        <v/>
      </c>
      <c r="M661" s="14"/>
      <c r="N661" s="16"/>
    </row>
    <row r="662" spans="1:14" ht="15.6" x14ac:dyDescent="0.3">
      <c r="A662" s="13" t="str">
        <f t="shared" si="30"/>
        <v>-</v>
      </c>
      <c r="B662" s="27"/>
      <c r="C662" s="26"/>
      <c r="D662" s="26"/>
      <c r="E662" s="26"/>
      <c r="F662" s="26"/>
      <c r="G662" s="34">
        <f>SUMIFS('BASE EXEC. Q.L'!N:N,'BASE EXEC. Q.L'!B:B,VOOS!A662)</f>
        <v>0</v>
      </c>
      <c r="H662" s="15" t="str">
        <f>IFERROR(_xlfn.XLOOKUP(A662,'BASE SQL PLANTIO'!B:B,'BASE SQL PLANTIO'!T:T,"verificar",0),"")</f>
        <v/>
      </c>
      <c r="I662" s="77" t="str">
        <f>IF(_xlfn.MINIFS('BASE SQL PLANTIO'!E:E,'BASE SQL PLANTIO'!B:B,VOOS!A662)=0/1/1900,"",_xlfn.MINIFS('BASE SQL PLANTIO'!E:E,'BASE SQL PLANTIO'!B:B,VOOS!A662))</f>
        <v/>
      </c>
      <c r="J662" s="26"/>
      <c r="K662" s="34" t="str">
        <f t="shared" si="31"/>
        <v/>
      </c>
      <c r="L662" s="35" t="str">
        <f t="shared" si="32"/>
        <v/>
      </c>
      <c r="M662" s="14"/>
      <c r="N662" s="16"/>
    </row>
    <row r="663" spans="1:14" ht="15.6" x14ac:dyDescent="0.3">
      <c r="A663" s="13" t="str">
        <f t="shared" si="30"/>
        <v>-</v>
      </c>
      <c r="B663" s="27"/>
      <c r="C663" s="26"/>
      <c r="D663" s="26"/>
      <c r="E663" s="26"/>
      <c r="F663" s="26"/>
      <c r="G663" s="34">
        <f>SUMIFS('BASE EXEC. Q.L'!N:N,'BASE EXEC. Q.L'!B:B,VOOS!A663)</f>
        <v>0</v>
      </c>
      <c r="H663" s="15" t="str">
        <f>IFERROR(_xlfn.XLOOKUP(A663,'BASE SQL PLANTIO'!B:B,'BASE SQL PLANTIO'!T:T,"verificar",0),"")</f>
        <v/>
      </c>
      <c r="I663" s="77" t="str">
        <f>IF(_xlfn.MINIFS('BASE SQL PLANTIO'!E:E,'BASE SQL PLANTIO'!B:B,VOOS!A663)=0/1/1900,"",_xlfn.MINIFS('BASE SQL PLANTIO'!E:E,'BASE SQL PLANTIO'!B:B,VOOS!A663))</f>
        <v/>
      </c>
      <c r="J663" s="26"/>
      <c r="K663" s="34" t="str">
        <f t="shared" si="31"/>
        <v/>
      </c>
      <c r="L663" s="35" t="str">
        <f t="shared" si="32"/>
        <v/>
      </c>
      <c r="M663" s="14"/>
      <c r="N663" s="16"/>
    </row>
    <row r="664" spans="1:14" ht="15.6" x14ac:dyDescent="0.3">
      <c r="A664" s="13" t="str">
        <f t="shared" si="30"/>
        <v>-</v>
      </c>
      <c r="B664" s="25"/>
      <c r="C664" s="25"/>
      <c r="D664" s="25"/>
      <c r="E664" s="25"/>
      <c r="F664" s="31"/>
      <c r="G664" s="34">
        <f>SUMIFS('BASE EXEC. Q.L'!N:N,'BASE EXEC. Q.L'!B:B,VOOS!A664)</f>
        <v>0</v>
      </c>
      <c r="H664" s="15" t="str">
        <f>IFERROR(_xlfn.XLOOKUP(A664,'BASE SQL PLANTIO'!B:B,'BASE SQL PLANTIO'!T:T,"verificar",0),"")</f>
        <v/>
      </c>
      <c r="I664" s="77" t="str">
        <f>IF(_xlfn.MINIFS('BASE SQL PLANTIO'!E:E,'BASE SQL PLANTIO'!B:B,VOOS!A664)=0/1/1900,"",_xlfn.MINIFS('BASE SQL PLANTIO'!E:E,'BASE SQL PLANTIO'!B:B,VOOS!A664))</f>
        <v/>
      </c>
      <c r="J664" s="26"/>
      <c r="K664" s="34" t="str">
        <f t="shared" si="31"/>
        <v/>
      </c>
      <c r="L664" s="35" t="str">
        <f t="shared" si="32"/>
        <v/>
      </c>
      <c r="M664" s="14"/>
      <c r="N664" s="15"/>
    </row>
    <row r="665" spans="1:14" ht="15.6" x14ac:dyDescent="0.3">
      <c r="A665" s="13" t="str">
        <f t="shared" si="30"/>
        <v>-</v>
      </c>
      <c r="B665" s="25"/>
      <c r="C665" s="25"/>
      <c r="D665" s="25"/>
      <c r="E665" s="25"/>
      <c r="F665" s="31"/>
      <c r="G665" s="34">
        <f>SUMIFS('BASE EXEC. Q.L'!N:N,'BASE EXEC. Q.L'!B:B,VOOS!A665)</f>
        <v>0</v>
      </c>
      <c r="H665" s="15" t="str">
        <f>IFERROR(_xlfn.XLOOKUP(A665,'BASE SQL PLANTIO'!B:B,'BASE SQL PLANTIO'!T:T,"verificar",0),"")</f>
        <v/>
      </c>
      <c r="I665" s="77" t="str">
        <f>IF(_xlfn.MINIFS('BASE SQL PLANTIO'!E:E,'BASE SQL PLANTIO'!B:B,VOOS!A665)=0/1/1900,"",_xlfn.MINIFS('BASE SQL PLANTIO'!E:E,'BASE SQL PLANTIO'!B:B,VOOS!A665))</f>
        <v/>
      </c>
      <c r="J665" s="26"/>
      <c r="K665" s="34" t="str">
        <f t="shared" si="31"/>
        <v/>
      </c>
      <c r="L665" s="35" t="str">
        <f t="shared" si="32"/>
        <v/>
      </c>
      <c r="M665" s="14"/>
      <c r="N665" s="16"/>
    </row>
    <row r="666" spans="1:14" ht="15.6" x14ac:dyDescent="0.3">
      <c r="A666" s="13" t="str">
        <f t="shared" si="30"/>
        <v>-</v>
      </c>
      <c r="B666" s="25"/>
      <c r="C666" s="25"/>
      <c r="D666" s="25"/>
      <c r="E666" s="25"/>
      <c r="F666" s="31"/>
      <c r="G666" s="34">
        <f>SUMIFS('BASE EXEC. Q.L'!N:N,'BASE EXEC. Q.L'!B:B,VOOS!A666)</f>
        <v>0</v>
      </c>
      <c r="H666" s="15" t="str">
        <f>IFERROR(_xlfn.XLOOKUP(A666,'BASE SQL PLANTIO'!B:B,'BASE SQL PLANTIO'!T:T,"verificar",0),"")</f>
        <v/>
      </c>
      <c r="I666" s="77" t="str">
        <f>IF(_xlfn.MINIFS('BASE SQL PLANTIO'!E:E,'BASE SQL PLANTIO'!B:B,VOOS!A666)=0/1/1900,"",_xlfn.MINIFS('BASE SQL PLANTIO'!E:E,'BASE SQL PLANTIO'!B:B,VOOS!A666))</f>
        <v/>
      </c>
      <c r="J666" s="26"/>
      <c r="K666" s="34" t="str">
        <f t="shared" si="31"/>
        <v/>
      </c>
      <c r="L666" s="35" t="str">
        <f t="shared" si="32"/>
        <v/>
      </c>
      <c r="M666" s="14"/>
      <c r="N666" s="16"/>
    </row>
    <row r="667" spans="1:14" ht="15.6" x14ac:dyDescent="0.3">
      <c r="A667" s="13" t="str">
        <f t="shared" si="30"/>
        <v>-</v>
      </c>
      <c r="B667" s="27"/>
      <c r="C667" s="26"/>
      <c r="D667" s="26"/>
      <c r="E667" s="26"/>
      <c r="F667" s="26"/>
      <c r="G667" s="34">
        <f>SUMIFS('BASE EXEC. Q.L'!N:N,'BASE EXEC. Q.L'!B:B,VOOS!A667)</f>
        <v>0</v>
      </c>
      <c r="H667" s="15" t="str">
        <f>IFERROR(_xlfn.XLOOKUP(A667,'BASE SQL PLANTIO'!B:B,'BASE SQL PLANTIO'!T:T,"verificar",0),"")</f>
        <v/>
      </c>
      <c r="I667" s="77" t="str">
        <f>IF(_xlfn.MINIFS('BASE SQL PLANTIO'!E:E,'BASE SQL PLANTIO'!B:B,VOOS!A667)=0/1/1900,"",_xlfn.MINIFS('BASE SQL PLANTIO'!E:E,'BASE SQL PLANTIO'!B:B,VOOS!A667))</f>
        <v/>
      </c>
      <c r="J667" s="26"/>
      <c r="K667" s="34" t="str">
        <f t="shared" si="31"/>
        <v/>
      </c>
      <c r="L667" s="35" t="str">
        <f t="shared" si="32"/>
        <v/>
      </c>
      <c r="M667" s="14"/>
      <c r="N667" s="16"/>
    </row>
    <row r="668" spans="1:14" ht="15.6" x14ac:dyDescent="0.3">
      <c r="A668" s="13" t="str">
        <f t="shared" si="30"/>
        <v>-</v>
      </c>
      <c r="B668" s="27"/>
      <c r="C668" s="26"/>
      <c r="D668" s="26"/>
      <c r="E668" s="26"/>
      <c r="F668" s="26"/>
      <c r="G668" s="34">
        <f>SUMIFS('BASE EXEC. Q.L'!N:N,'BASE EXEC. Q.L'!B:B,VOOS!A668)</f>
        <v>0</v>
      </c>
      <c r="H668" s="15" t="str">
        <f>IFERROR(_xlfn.XLOOKUP(A668,'BASE SQL PLANTIO'!B:B,'BASE SQL PLANTIO'!T:T,"verificar",0),"")</f>
        <v/>
      </c>
      <c r="I668" s="77" t="str">
        <f>IF(_xlfn.MINIFS('BASE SQL PLANTIO'!E:E,'BASE SQL PLANTIO'!B:B,VOOS!A668)=0/1/1900,"",_xlfn.MINIFS('BASE SQL PLANTIO'!E:E,'BASE SQL PLANTIO'!B:B,VOOS!A668))</f>
        <v/>
      </c>
      <c r="J668" s="26"/>
      <c r="K668" s="34" t="str">
        <f t="shared" si="31"/>
        <v/>
      </c>
      <c r="L668" s="35" t="str">
        <f t="shared" si="32"/>
        <v/>
      </c>
      <c r="M668" s="14"/>
      <c r="N668" s="16"/>
    </row>
    <row r="669" spans="1:14" ht="15.6" x14ac:dyDescent="0.3">
      <c r="A669" s="13" t="str">
        <f t="shared" si="30"/>
        <v>-</v>
      </c>
      <c r="B669" s="27"/>
      <c r="C669" s="26"/>
      <c r="D669" s="26"/>
      <c r="E669" s="26"/>
      <c r="F669" s="26"/>
      <c r="G669" s="34">
        <f>SUMIFS('BASE EXEC. Q.L'!N:N,'BASE EXEC. Q.L'!B:B,VOOS!A669)</f>
        <v>0</v>
      </c>
      <c r="H669" s="15" t="str">
        <f>IFERROR(_xlfn.XLOOKUP(A669,'BASE SQL PLANTIO'!B:B,'BASE SQL PLANTIO'!T:T,"verificar",0),"")</f>
        <v/>
      </c>
      <c r="I669" s="77" t="str">
        <f>IF(_xlfn.MINIFS('BASE SQL PLANTIO'!E:E,'BASE SQL PLANTIO'!B:B,VOOS!A669)=0/1/1900,"",_xlfn.MINIFS('BASE SQL PLANTIO'!E:E,'BASE SQL PLANTIO'!B:B,VOOS!A669))</f>
        <v/>
      </c>
      <c r="J669" s="26"/>
      <c r="K669" s="34" t="str">
        <f t="shared" si="31"/>
        <v/>
      </c>
      <c r="L669" s="35" t="str">
        <f t="shared" si="32"/>
        <v/>
      </c>
      <c r="M669" s="14"/>
      <c r="N669" s="16"/>
    </row>
    <row r="670" spans="1:14" ht="15.6" x14ac:dyDescent="0.3">
      <c r="A670" s="13" t="str">
        <f t="shared" si="30"/>
        <v>-</v>
      </c>
      <c r="B670" s="27"/>
      <c r="C670" s="26"/>
      <c r="D670" s="26"/>
      <c r="E670" s="26"/>
      <c r="F670" s="26"/>
      <c r="G670" s="34">
        <f>SUMIFS('BASE EXEC. Q.L'!N:N,'BASE EXEC. Q.L'!B:B,VOOS!A670)</f>
        <v>0</v>
      </c>
      <c r="H670" s="15" t="str">
        <f>IFERROR(_xlfn.XLOOKUP(A670,'BASE SQL PLANTIO'!B:B,'BASE SQL PLANTIO'!T:T,"verificar",0),"")</f>
        <v/>
      </c>
      <c r="I670" s="77" t="str">
        <f>IF(_xlfn.MINIFS('BASE SQL PLANTIO'!E:E,'BASE SQL PLANTIO'!B:B,VOOS!A670)=0/1/1900,"",_xlfn.MINIFS('BASE SQL PLANTIO'!E:E,'BASE SQL PLANTIO'!B:B,VOOS!A670))</f>
        <v/>
      </c>
      <c r="J670" s="26"/>
      <c r="K670" s="34" t="str">
        <f t="shared" si="31"/>
        <v/>
      </c>
      <c r="L670" s="35" t="str">
        <f t="shared" si="32"/>
        <v/>
      </c>
      <c r="M670" s="14"/>
      <c r="N670" s="16"/>
    </row>
    <row r="671" spans="1:14" ht="15.6" x14ac:dyDescent="0.3">
      <c r="A671" s="13" t="str">
        <f t="shared" si="30"/>
        <v>-</v>
      </c>
      <c r="B671" s="27"/>
      <c r="C671" s="22"/>
      <c r="D671" s="23"/>
      <c r="E671" s="23"/>
      <c r="F671" s="22"/>
      <c r="G671" s="34">
        <f>SUMIFS('BASE EXEC. Q.L'!N:N,'BASE EXEC. Q.L'!B:B,VOOS!A671)</f>
        <v>0</v>
      </c>
      <c r="H671" s="15" t="str">
        <f>IFERROR(_xlfn.XLOOKUP(A671,'BASE SQL PLANTIO'!B:B,'BASE SQL PLANTIO'!T:T,"verificar",0),"")</f>
        <v/>
      </c>
      <c r="I671" s="77" t="str">
        <f>IF(_xlfn.MINIFS('BASE SQL PLANTIO'!E:E,'BASE SQL PLANTIO'!B:B,VOOS!A671)=0/1/1900,"",_xlfn.MINIFS('BASE SQL PLANTIO'!E:E,'BASE SQL PLANTIO'!B:B,VOOS!A671))</f>
        <v/>
      </c>
      <c r="J671" s="22"/>
      <c r="K671" s="34" t="str">
        <f t="shared" si="31"/>
        <v/>
      </c>
      <c r="L671" s="35" t="str">
        <f t="shared" si="32"/>
        <v/>
      </c>
      <c r="M671" s="14"/>
      <c r="N671" s="16"/>
    </row>
    <row r="672" spans="1:14" ht="15.6" x14ac:dyDescent="0.3">
      <c r="A672" s="13" t="str">
        <f t="shared" si="30"/>
        <v>-</v>
      </c>
      <c r="B672" s="27"/>
      <c r="C672" s="26"/>
      <c r="D672" s="26"/>
      <c r="E672" s="26"/>
      <c r="F672" s="26"/>
      <c r="G672" s="34">
        <f>SUMIFS('BASE EXEC. Q.L'!N:N,'BASE EXEC. Q.L'!B:B,VOOS!A672)</f>
        <v>0</v>
      </c>
      <c r="H672" s="15" t="str">
        <f>IFERROR(_xlfn.XLOOKUP(A672,'BASE SQL PLANTIO'!B:B,'BASE SQL PLANTIO'!T:T,"verificar",0),"")</f>
        <v/>
      </c>
      <c r="I672" s="77" t="str">
        <f>IF(_xlfn.MINIFS('BASE SQL PLANTIO'!E:E,'BASE SQL PLANTIO'!B:B,VOOS!A672)=0/1/1900,"",_xlfn.MINIFS('BASE SQL PLANTIO'!E:E,'BASE SQL PLANTIO'!B:B,VOOS!A672))</f>
        <v/>
      </c>
      <c r="J672" s="26"/>
      <c r="K672" s="34" t="str">
        <f t="shared" si="31"/>
        <v/>
      </c>
      <c r="L672" s="35" t="str">
        <f t="shared" si="32"/>
        <v/>
      </c>
      <c r="M672" s="14"/>
      <c r="N672" s="16"/>
    </row>
    <row r="673" spans="1:14" ht="15.6" x14ac:dyDescent="0.3">
      <c r="A673" s="13" t="str">
        <f t="shared" si="30"/>
        <v>-</v>
      </c>
      <c r="B673" s="27"/>
      <c r="C673" s="26"/>
      <c r="D673" s="26"/>
      <c r="E673" s="26"/>
      <c r="F673" s="26"/>
      <c r="G673" s="34">
        <f>SUMIFS('BASE EXEC. Q.L'!N:N,'BASE EXEC. Q.L'!B:B,VOOS!A673)</f>
        <v>0</v>
      </c>
      <c r="H673" s="15" t="str">
        <f>IFERROR(_xlfn.XLOOKUP(A673,'BASE SQL PLANTIO'!B:B,'BASE SQL PLANTIO'!T:T,"verificar",0),"")</f>
        <v/>
      </c>
      <c r="I673" s="77" t="str">
        <f>IF(_xlfn.MINIFS('BASE SQL PLANTIO'!E:E,'BASE SQL PLANTIO'!B:B,VOOS!A673)=0/1/1900,"",_xlfn.MINIFS('BASE SQL PLANTIO'!E:E,'BASE SQL PLANTIO'!B:B,VOOS!A673))</f>
        <v/>
      </c>
      <c r="J673" s="26"/>
      <c r="K673" s="34" t="str">
        <f t="shared" si="31"/>
        <v/>
      </c>
      <c r="L673" s="35" t="str">
        <f t="shared" si="32"/>
        <v/>
      </c>
      <c r="M673" s="14"/>
      <c r="N673" s="16"/>
    </row>
    <row r="674" spans="1:14" ht="15.6" x14ac:dyDescent="0.3">
      <c r="A674" s="13" t="str">
        <f t="shared" si="30"/>
        <v>-</v>
      </c>
      <c r="B674" s="27"/>
      <c r="C674" s="26"/>
      <c r="D674" s="26"/>
      <c r="E674" s="26"/>
      <c r="F674" s="26"/>
      <c r="G674" s="34">
        <f>SUMIFS('BASE EXEC. Q.L'!N:N,'BASE EXEC. Q.L'!B:B,VOOS!A674)</f>
        <v>0</v>
      </c>
      <c r="H674" s="15" t="str">
        <f>IFERROR(_xlfn.XLOOKUP(A674,'BASE SQL PLANTIO'!B:B,'BASE SQL PLANTIO'!T:T,"verificar",0),"")</f>
        <v/>
      </c>
      <c r="I674" s="77" t="str">
        <f>IF(_xlfn.MINIFS('BASE SQL PLANTIO'!E:E,'BASE SQL PLANTIO'!B:B,VOOS!A674)=0/1/1900,"",_xlfn.MINIFS('BASE SQL PLANTIO'!E:E,'BASE SQL PLANTIO'!B:B,VOOS!A674))</f>
        <v/>
      </c>
      <c r="J674" s="26"/>
      <c r="K674" s="34" t="str">
        <f t="shared" si="31"/>
        <v/>
      </c>
      <c r="L674" s="35" t="str">
        <f t="shared" si="32"/>
        <v/>
      </c>
      <c r="M674" s="14"/>
      <c r="N674" s="16"/>
    </row>
    <row r="675" spans="1:14" ht="15.6" x14ac:dyDescent="0.3">
      <c r="A675" s="13" t="str">
        <f t="shared" si="30"/>
        <v>-</v>
      </c>
      <c r="B675" s="27"/>
      <c r="C675" s="26"/>
      <c r="D675" s="26"/>
      <c r="E675" s="26"/>
      <c r="F675" s="26"/>
      <c r="G675" s="34">
        <f>SUMIFS('BASE EXEC. Q.L'!N:N,'BASE EXEC. Q.L'!B:B,VOOS!A675)</f>
        <v>0</v>
      </c>
      <c r="H675" s="15" t="str">
        <f>IFERROR(_xlfn.XLOOKUP(A675,'BASE SQL PLANTIO'!B:B,'BASE SQL PLANTIO'!T:T,"verificar",0),"")</f>
        <v/>
      </c>
      <c r="I675" s="77" t="str">
        <f>IF(_xlfn.MINIFS('BASE SQL PLANTIO'!E:E,'BASE SQL PLANTIO'!B:B,VOOS!A675)=0/1/1900,"",_xlfn.MINIFS('BASE SQL PLANTIO'!E:E,'BASE SQL PLANTIO'!B:B,VOOS!A675))</f>
        <v/>
      </c>
      <c r="J675" s="26"/>
      <c r="K675" s="34" t="str">
        <f t="shared" si="31"/>
        <v/>
      </c>
      <c r="L675" s="35" t="str">
        <f t="shared" si="32"/>
        <v/>
      </c>
      <c r="M675" s="14"/>
      <c r="N675" s="16"/>
    </row>
    <row r="676" spans="1:14" ht="15.6" x14ac:dyDescent="0.3">
      <c r="A676" s="13" t="str">
        <f t="shared" si="30"/>
        <v>-</v>
      </c>
      <c r="B676" s="27"/>
      <c r="C676" s="26"/>
      <c r="D676" s="26"/>
      <c r="E676" s="26"/>
      <c r="F676" s="26"/>
      <c r="G676" s="34">
        <f>SUMIFS('BASE EXEC. Q.L'!N:N,'BASE EXEC. Q.L'!B:B,VOOS!A676)</f>
        <v>0</v>
      </c>
      <c r="H676" s="15" t="str">
        <f>IFERROR(_xlfn.XLOOKUP(A676,'BASE SQL PLANTIO'!B:B,'BASE SQL PLANTIO'!T:T,"verificar",0),"")</f>
        <v/>
      </c>
      <c r="I676" s="77" t="str">
        <f>IF(_xlfn.MINIFS('BASE SQL PLANTIO'!E:E,'BASE SQL PLANTIO'!B:B,VOOS!A676)=0/1/1900,"",_xlfn.MINIFS('BASE SQL PLANTIO'!E:E,'BASE SQL PLANTIO'!B:B,VOOS!A676))</f>
        <v/>
      </c>
      <c r="J676" s="26"/>
      <c r="K676" s="34" t="str">
        <f t="shared" si="31"/>
        <v/>
      </c>
      <c r="L676" s="35" t="str">
        <f t="shared" si="32"/>
        <v/>
      </c>
      <c r="M676" s="14"/>
      <c r="N676" s="15"/>
    </row>
    <row r="677" spans="1:14" ht="15.6" x14ac:dyDescent="0.3">
      <c r="A677" s="13" t="str">
        <f t="shared" si="30"/>
        <v>-</v>
      </c>
      <c r="B677" s="27"/>
      <c r="C677" s="26"/>
      <c r="D677" s="26"/>
      <c r="E677" s="26"/>
      <c r="F677" s="26"/>
      <c r="G677" s="34">
        <f>SUMIFS('BASE EXEC. Q.L'!N:N,'BASE EXEC. Q.L'!B:B,VOOS!A677)</f>
        <v>0</v>
      </c>
      <c r="H677" s="15" t="str">
        <f>IFERROR(_xlfn.XLOOKUP(A677,'BASE SQL PLANTIO'!B:B,'BASE SQL PLANTIO'!T:T,"verificar",0),"")</f>
        <v/>
      </c>
      <c r="I677" s="77" t="str">
        <f>IF(_xlfn.MINIFS('BASE SQL PLANTIO'!E:E,'BASE SQL PLANTIO'!B:B,VOOS!A677)=0/1/1900,"",_xlfn.MINIFS('BASE SQL PLANTIO'!E:E,'BASE SQL PLANTIO'!B:B,VOOS!A677))</f>
        <v/>
      </c>
      <c r="J677" s="26"/>
      <c r="K677" s="34" t="str">
        <f t="shared" si="31"/>
        <v/>
      </c>
      <c r="L677" s="35" t="str">
        <f t="shared" si="32"/>
        <v/>
      </c>
      <c r="M677" s="14"/>
      <c r="N677" s="16"/>
    </row>
    <row r="678" spans="1:14" ht="15.6" x14ac:dyDescent="0.3">
      <c r="A678" s="13" t="str">
        <f t="shared" si="30"/>
        <v>-</v>
      </c>
      <c r="B678" s="27"/>
      <c r="C678" s="26"/>
      <c r="D678" s="26"/>
      <c r="E678" s="26"/>
      <c r="F678" s="26"/>
      <c r="G678" s="34">
        <f>SUMIFS('BASE EXEC. Q.L'!N:N,'BASE EXEC. Q.L'!B:B,VOOS!A678)</f>
        <v>0</v>
      </c>
      <c r="H678" s="15" t="str">
        <f>IFERROR(_xlfn.XLOOKUP(A678,'BASE SQL PLANTIO'!B:B,'BASE SQL PLANTIO'!T:T,"verificar",0),"")</f>
        <v/>
      </c>
      <c r="I678" s="77" t="str">
        <f>IF(_xlfn.MINIFS('BASE SQL PLANTIO'!E:E,'BASE SQL PLANTIO'!B:B,VOOS!A678)=0/1/1900,"",_xlfn.MINIFS('BASE SQL PLANTIO'!E:E,'BASE SQL PLANTIO'!B:B,VOOS!A678))</f>
        <v/>
      </c>
      <c r="J678" s="26"/>
      <c r="K678" s="34" t="str">
        <f t="shared" si="31"/>
        <v/>
      </c>
      <c r="L678" s="35" t="str">
        <f t="shared" si="32"/>
        <v/>
      </c>
      <c r="M678" s="14"/>
      <c r="N678" s="16"/>
    </row>
    <row r="679" spans="1:14" ht="15.6" x14ac:dyDescent="0.3">
      <c r="A679" s="13" t="str">
        <f t="shared" si="30"/>
        <v>-</v>
      </c>
      <c r="B679" s="27"/>
      <c r="C679" s="26"/>
      <c r="D679" s="26"/>
      <c r="E679" s="26"/>
      <c r="F679" s="26"/>
      <c r="G679" s="34">
        <f>SUMIFS('BASE EXEC. Q.L'!N:N,'BASE EXEC. Q.L'!B:B,VOOS!A679)</f>
        <v>0</v>
      </c>
      <c r="H679" s="15" t="str">
        <f>IFERROR(_xlfn.XLOOKUP(A679,'BASE SQL PLANTIO'!B:B,'BASE SQL PLANTIO'!T:T,"verificar",0),"")</f>
        <v/>
      </c>
      <c r="I679" s="77" t="str">
        <f>IF(_xlfn.MINIFS('BASE SQL PLANTIO'!E:E,'BASE SQL PLANTIO'!B:B,VOOS!A679)=0/1/1900,"",_xlfn.MINIFS('BASE SQL PLANTIO'!E:E,'BASE SQL PLANTIO'!B:B,VOOS!A679))</f>
        <v/>
      </c>
      <c r="J679" s="26"/>
      <c r="K679" s="34" t="str">
        <f t="shared" si="31"/>
        <v/>
      </c>
      <c r="L679" s="35" t="str">
        <f t="shared" si="32"/>
        <v/>
      </c>
      <c r="M679" s="14"/>
      <c r="N679" s="16"/>
    </row>
    <row r="680" spans="1:14" ht="15.6" x14ac:dyDescent="0.3">
      <c r="A680" s="13" t="str">
        <f t="shared" si="30"/>
        <v>-</v>
      </c>
      <c r="B680" s="27"/>
      <c r="C680" s="26"/>
      <c r="D680" s="26"/>
      <c r="E680" s="26"/>
      <c r="F680" s="26"/>
      <c r="G680" s="34">
        <f>SUMIFS('BASE EXEC. Q.L'!N:N,'BASE EXEC. Q.L'!B:B,VOOS!A680)</f>
        <v>0</v>
      </c>
      <c r="H680" s="15" t="str">
        <f>IFERROR(_xlfn.XLOOKUP(A680,'BASE SQL PLANTIO'!B:B,'BASE SQL PLANTIO'!T:T,"verificar",0),"")</f>
        <v/>
      </c>
      <c r="I680" s="77" t="str">
        <f>IF(_xlfn.MINIFS('BASE SQL PLANTIO'!E:E,'BASE SQL PLANTIO'!B:B,VOOS!A680)=0/1/1900,"",_xlfn.MINIFS('BASE SQL PLANTIO'!E:E,'BASE SQL PLANTIO'!B:B,VOOS!A680))</f>
        <v/>
      </c>
      <c r="J680" s="26"/>
      <c r="K680" s="34" t="str">
        <f t="shared" si="31"/>
        <v/>
      </c>
      <c r="L680" s="35" t="str">
        <f t="shared" si="32"/>
        <v/>
      </c>
      <c r="M680" s="14"/>
      <c r="N680" s="16"/>
    </row>
    <row r="681" spans="1:14" ht="15.6" x14ac:dyDescent="0.3">
      <c r="A681" s="13" t="str">
        <f t="shared" si="30"/>
        <v>-</v>
      </c>
      <c r="B681" s="27"/>
      <c r="C681" s="26"/>
      <c r="D681" s="26"/>
      <c r="E681" s="26"/>
      <c r="F681" s="26"/>
      <c r="G681" s="34">
        <f>SUMIFS('BASE EXEC. Q.L'!N:N,'BASE EXEC. Q.L'!B:B,VOOS!A681)</f>
        <v>0</v>
      </c>
      <c r="H681" s="15" t="str">
        <f>IFERROR(_xlfn.XLOOKUP(A681,'BASE SQL PLANTIO'!B:B,'BASE SQL PLANTIO'!T:T,"verificar",0),"")</f>
        <v/>
      </c>
      <c r="I681" s="77" t="str">
        <f>IF(_xlfn.MINIFS('BASE SQL PLANTIO'!E:E,'BASE SQL PLANTIO'!B:B,VOOS!A681)=0/1/1900,"",_xlfn.MINIFS('BASE SQL PLANTIO'!E:E,'BASE SQL PLANTIO'!B:B,VOOS!A681))</f>
        <v/>
      </c>
      <c r="J681" s="26"/>
      <c r="K681" s="34" t="str">
        <f t="shared" si="31"/>
        <v/>
      </c>
      <c r="L681" s="35" t="str">
        <f t="shared" si="32"/>
        <v/>
      </c>
      <c r="M681" s="14"/>
      <c r="N681" s="16"/>
    </row>
    <row r="682" spans="1:14" ht="15.6" x14ac:dyDescent="0.3">
      <c r="A682" s="13" t="str">
        <f t="shared" si="30"/>
        <v>-</v>
      </c>
      <c r="B682" s="25"/>
      <c r="C682" s="25"/>
      <c r="D682" s="25"/>
      <c r="E682" s="25"/>
      <c r="F682" s="31"/>
      <c r="G682" s="34">
        <f>SUMIFS('BASE EXEC. Q.L'!N:N,'BASE EXEC. Q.L'!B:B,VOOS!A682)</f>
        <v>0</v>
      </c>
      <c r="H682" s="15" t="str">
        <f>IFERROR(_xlfn.XLOOKUP(A682,'BASE SQL PLANTIO'!B:B,'BASE SQL PLANTIO'!T:T,"verificar",0),"")</f>
        <v/>
      </c>
      <c r="I682" s="77" t="str">
        <f>IF(_xlfn.MINIFS('BASE SQL PLANTIO'!E:E,'BASE SQL PLANTIO'!B:B,VOOS!A682)=0/1/1900,"",_xlfn.MINIFS('BASE SQL PLANTIO'!E:E,'BASE SQL PLANTIO'!B:B,VOOS!A682))</f>
        <v/>
      </c>
      <c r="J682" s="26"/>
      <c r="K682" s="34" t="str">
        <f t="shared" si="31"/>
        <v/>
      </c>
      <c r="L682" s="35" t="str">
        <f t="shared" si="32"/>
        <v/>
      </c>
      <c r="M682" s="14"/>
      <c r="N682" s="16"/>
    </row>
    <row r="683" spans="1:14" ht="15.6" x14ac:dyDescent="0.3">
      <c r="A683" s="13" t="str">
        <f t="shared" si="30"/>
        <v>-</v>
      </c>
      <c r="B683" s="25"/>
      <c r="C683" s="25"/>
      <c r="D683" s="25"/>
      <c r="E683" s="25"/>
      <c r="F683" s="31"/>
      <c r="G683" s="34">
        <f>SUMIFS('BASE EXEC. Q.L'!N:N,'BASE EXEC. Q.L'!B:B,VOOS!A683)</f>
        <v>0</v>
      </c>
      <c r="H683" s="15" t="str">
        <f>IFERROR(_xlfn.XLOOKUP(A683,'BASE SQL PLANTIO'!B:B,'BASE SQL PLANTIO'!T:T,"verificar",0),"")</f>
        <v/>
      </c>
      <c r="I683" s="77" t="str">
        <f>IF(_xlfn.MINIFS('BASE SQL PLANTIO'!E:E,'BASE SQL PLANTIO'!B:B,VOOS!A683)=0/1/1900,"",_xlfn.MINIFS('BASE SQL PLANTIO'!E:E,'BASE SQL PLANTIO'!B:B,VOOS!A683))</f>
        <v/>
      </c>
      <c r="J683" s="26"/>
      <c r="K683" s="34" t="str">
        <f t="shared" si="31"/>
        <v/>
      </c>
      <c r="L683" s="35" t="str">
        <f t="shared" si="32"/>
        <v/>
      </c>
      <c r="M683" s="14"/>
      <c r="N683" s="16"/>
    </row>
    <row r="684" spans="1:14" ht="15.6" x14ac:dyDescent="0.3">
      <c r="A684" s="13" t="str">
        <f t="shared" si="30"/>
        <v>-</v>
      </c>
      <c r="B684" s="27"/>
      <c r="C684" s="26"/>
      <c r="D684" s="26"/>
      <c r="E684" s="26"/>
      <c r="F684" s="26"/>
      <c r="G684" s="34">
        <f>SUMIFS('BASE EXEC. Q.L'!N:N,'BASE EXEC. Q.L'!B:B,VOOS!A684)</f>
        <v>0</v>
      </c>
      <c r="H684" s="15" t="str">
        <f>IFERROR(_xlfn.XLOOKUP(A684,'BASE SQL PLANTIO'!B:B,'BASE SQL PLANTIO'!T:T,"verificar",0),"")</f>
        <v/>
      </c>
      <c r="I684" s="77" t="str">
        <f>IF(_xlfn.MINIFS('BASE SQL PLANTIO'!E:E,'BASE SQL PLANTIO'!B:B,VOOS!A684)=0/1/1900,"",_xlfn.MINIFS('BASE SQL PLANTIO'!E:E,'BASE SQL PLANTIO'!B:B,VOOS!A684))</f>
        <v/>
      </c>
      <c r="J684" s="26"/>
      <c r="K684" s="34" t="str">
        <f t="shared" si="31"/>
        <v/>
      </c>
      <c r="L684" s="35" t="str">
        <f t="shared" si="32"/>
        <v/>
      </c>
      <c r="M684" s="14"/>
      <c r="N684" s="16"/>
    </row>
    <row r="685" spans="1:14" ht="15.6" x14ac:dyDescent="0.3">
      <c r="A685" s="13" t="str">
        <f t="shared" si="30"/>
        <v>-</v>
      </c>
      <c r="B685" s="27"/>
      <c r="C685" s="26"/>
      <c r="D685" s="26"/>
      <c r="E685" s="26"/>
      <c r="F685" s="26"/>
      <c r="G685" s="34">
        <f>SUMIFS('BASE EXEC. Q.L'!N:N,'BASE EXEC. Q.L'!B:B,VOOS!A685)</f>
        <v>0</v>
      </c>
      <c r="H685" s="15" t="str">
        <f>IFERROR(_xlfn.XLOOKUP(A685,'BASE SQL PLANTIO'!B:B,'BASE SQL PLANTIO'!T:T,"verificar",0),"")</f>
        <v/>
      </c>
      <c r="I685" s="77" t="str">
        <f>IF(_xlfn.MINIFS('BASE SQL PLANTIO'!E:E,'BASE SQL PLANTIO'!B:B,VOOS!A685)=0/1/1900,"",_xlfn.MINIFS('BASE SQL PLANTIO'!E:E,'BASE SQL PLANTIO'!B:B,VOOS!A685))</f>
        <v/>
      </c>
      <c r="J685" s="26"/>
      <c r="K685" s="34" t="str">
        <f t="shared" si="31"/>
        <v/>
      </c>
      <c r="L685" s="35" t="str">
        <f t="shared" si="32"/>
        <v/>
      </c>
      <c r="M685" s="14"/>
      <c r="N685" s="16"/>
    </row>
    <row r="686" spans="1:14" ht="15.6" x14ac:dyDescent="0.3">
      <c r="A686" s="13" t="str">
        <f t="shared" si="30"/>
        <v>-</v>
      </c>
      <c r="B686" s="27"/>
      <c r="C686" s="26"/>
      <c r="D686" s="26"/>
      <c r="E686" s="26"/>
      <c r="F686" s="26"/>
      <c r="G686" s="34">
        <f>SUMIFS('BASE EXEC. Q.L'!N:N,'BASE EXEC. Q.L'!B:B,VOOS!A686)</f>
        <v>0</v>
      </c>
      <c r="H686" s="15" t="str">
        <f>IFERROR(_xlfn.XLOOKUP(A686,'BASE SQL PLANTIO'!B:B,'BASE SQL PLANTIO'!T:T,"verificar",0),"")</f>
        <v/>
      </c>
      <c r="I686" s="77" t="str">
        <f>IF(_xlfn.MINIFS('BASE SQL PLANTIO'!E:E,'BASE SQL PLANTIO'!B:B,VOOS!A686)=0/1/1900,"",_xlfn.MINIFS('BASE SQL PLANTIO'!E:E,'BASE SQL PLANTIO'!B:B,VOOS!A686))</f>
        <v/>
      </c>
      <c r="J686" s="26"/>
      <c r="K686" s="34" t="str">
        <f t="shared" si="31"/>
        <v/>
      </c>
      <c r="L686" s="35" t="str">
        <f t="shared" si="32"/>
        <v/>
      </c>
      <c r="M686" s="14"/>
      <c r="N686" s="15"/>
    </row>
    <row r="687" spans="1:14" ht="15.6" x14ac:dyDescent="0.3">
      <c r="A687" s="13" t="str">
        <f t="shared" si="30"/>
        <v>-</v>
      </c>
      <c r="B687" s="25"/>
      <c r="C687" s="25"/>
      <c r="D687" s="25"/>
      <c r="E687" s="25"/>
      <c r="F687" s="31"/>
      <c r="G687" s="34">
        <f>SUMIFS('BASE EXEC. Q.L'!N:N,'BASE EXEC. Q.L'!B:B,VOOS!A687)</f>
        <v>0</v>
      </c>
      <c r="H687" s="15" t="str">
        <f>IFERROR(_xlfn.XLOOKUP(A687,'BASE SQL PLANTIO'!B:B,'BASE SQL PLANTIO'!T:T,"verificar",0),"")</f>
        <v/>
      </c>
      <c r="I687" s="77" t="str">
        <f>IF(_xlfn.MINIFS('BASE SQL PLANTIO'!E:E,'BASE SQL PLANTIO'!B:B,VOOS!A687)=0/1/1900,"",_xlfn.MINIFS('BASE SQL PLANTIO'!E:E,'BASE SQL PLANTIO'!B:B,VOOS!A687))</f>
        <v/>
      </c>
      <c r="J687" s="26"/>
      <c r="K687" s="34" t="str">
        <f t="shared" si="31"/>
        <v/>
      </c>
      <c r="L687" s="35" t="str">
        <f t="shared" si="32"/>
        <v/>
      </c>
      <c r="M687" s="14"/>
      <c r="N687" s="16"/>
    </row>
    <row r="688" spans="1:14" ht="15.6" x14ac:dyDescent="0.3">
      <c r="A688" s="13" t="str">
        <f t="shared" si="30"/>
        <v>-</v>
      </c>
      <c r="B688" s="25"/>
      <c r="C688" s="25"/>
      <c r="D688" s="25"/>
      <c r="E688" s="25"/>
      <c r="F688" s="31"/>
      <c r="G688" s="34">
        <f>SUMIFS('BASE EXEC. Q.L'!N:N,'BASE EXEC. Q.L'!B:B,VOOS!A688)</f>
        <v>0</v>
      </c>
      <c r="H688" s="15" t="str">
        <f>IFERROR(_xlfn.XLOOKUP(A688,'BASE SQL PLANTIO'!B:B,'BASE SQL PLANTIO'!T:T,"verificar",0),"")</f>
        <v/>
      </c>
      <c r="I688" s="77" t="str">
        <f>IF(_xlfn.MINIFS('BASE SQL PLANTIO'!E:E,'BASE SQL PLANTIO'!B:B,VOOS!A688)=0/1/1900,"",_xlfn.MINIFS('BASE SQL PLANTIO'!E:E,'BASE SQL PLANTIO'!B:B,VOOS!A688))</f>
        <v/>
      </c>
      <c r="J688" s="26"/>
      <c r="K688" s="34" t="str">
        <f t="shared" si="31"/>
        <v/>
      </c>
      <c r="L688" s="35" t="str">
        <f t="shared" si="32"/>
        <v/>
      </c>
      <c r="M688" s="14"/>
      <c r="N688" s="16"/>
    </row>
    <row r="689" spans="1:14" ht="15.6" x14ac:dyDescent="0.3">
      <c r="A689" s="13" t="str">
        <f t="shared" si="30"/>
        <v>-</v>
      </c>
      <c r="B689" s="25"/>
      <c r="C689" s="25"/>
      <c r="D689" s="25"/>
      <c r="E689" s="25"/>
      <c r="F689" s="31"/>
      <c r="G689" s="34">
        <f>SUMIFS('BASE EXEC. Q.L'!N:N,'BASE EXEC. Q.L'!B:B,VOOS!A689)</f>
        <v>0</v>
      </c>
      <c r="H689" s="15" t="str">
        <f>IFERROR(_xlfn.XLOOKUP(A689,'BASE SQL PLANTIO'!B:B,'BASE SQL PLANTIO'!T:T,"verificar",0),"")</f>
        <v/>
      </c>
      <c r="I689" s="77" t="str">
        <f>IF(_xlfn.MINIFS('BASE SQL PLANTIO'!E:E,'BASE SQL PLANTIO'!B:B,VOOS!A689)=0/1/1900,"",_xlfn.MINIFS('BASE SQL PLANTIO'!E:E,'BASE SQL PLANTIO'!B:B,VOOS!A689))</f>
        <v/>
      </c>
      <c r="J689" s="26"/>
      <c r="K689" s="34" t="str">
        <f t="shared" si="31"/>
        <v/>
      </c>
      <c r="L689" s="35" t="str">
        <f t="shared" si="32"/>
        <v/>
      </c>
      <c r="M689" s="14"/>
      <c r="N689" s="16"/>
    </row>
    <row r="690" spans="1:14" ht="15.6" x14ac:dyDescent="0.3">
      <c r="A690" s="13" t="str">
        <f t="shared" si="30"/>
        <v>-</v>
      </c>
      <c r="B690" s="27"/>
      <c r="C690" s="26"/>
      <c r="D690" s="26"/>
      <c r="E690" s="26"/>
      <c r="F690" s="26"/>
      <c r="G690" s="34">
        <f>SUMIFS('BASE EXEC. Q.L'!N:N,'BASE EXEC. Q.L'!B:B,VOOS!A690)</f>
        <v>0</v>
      </c>
      <c r="H690" s="15" t="str">
        <f>IFERROR(_xlfn.XLOOKUP(A690,'BASE SQL PLANTIO'!B:B,'BASE SQL PLANTIO'!T:T,"verificar",0),"")</f>
        <v/>
      </c>
      <c r="I690" s="77" t="str">
        <f>IF(_xlfn.MINIFS('BASE SQL PLANTIO'!E:E,'BASE SQL PLANTIO'!B:B,VOOS!A690)=0/1/1900,"",_xlfn.MINIFS('BASE SQL PLANTIO'!E:E,'BASE SQL PLANTIO'!B:B,VOOS!A690))</f>
        <v/>
      </c>
      <c r="J690" s="26"/>
      <c r="K690" s="34" t="str">
        <f t="shared" si="31"/>
        <v/>
      </c>
      <c r="L690" s="35" t="str">
        <f t="shared" si="32"/>
        <v/>
      </c>
      <c r="M690" s="14"/>
      <c r="N690" s="16"/>
    </row>
    <row r="691" spans="1:14" ht="15.6" x14ac:dyDescent="0.3">
      <c r="A691" s="13" t="str">
        <f t="shared" si="30"/>
        <v>-</v>
      </c>
      <c r="B691" s="27"/>
      <c r="C691" s="26"/>
      <c r="D691" s="26"/>
      <c r="E691" s="26"/>
      <c r="F691" s="26"/>
      <c r="G691" s="34">
        <f>SUMIFS('BASE EXEC. Q.L'!N:N,'BASE EXEC. Q.L'!B:B,VOOS!A691)</f>
        <v>0</v>
      </c>
      <c r="H691" s="15" t="str">
        <f>IFERROR(_xlfn.XLOOKUP(A691,'BASE SQL PLANTIO'!B:B,'BASE SQL PLANTIO'!T:T,"verificar",0),"")</f>
        <v/>
      </c>
      <c r="I691" s="77" t="str">
        <f>IF(_xlfn.MINIFS('BASE SQL PLANTIO'!E:E,'BASE SQL PLANTIO'!B:B,VOOS!A691)=0/1/1900,"",_xlfn.MINIFS('BASE SQL PLANTIO'!E:E,'BASE SQL PLANTIO'!B:B,VOOS!A691))</f>
        <v/>
      </c>
      <c r="J691" s="26"/>
      <c r="K691" s="34" t="str">
        <f t="shared" si="31"/>
        <v/>
      </c>
      <c r="L691" s="35" t="str">
        <f t="shared" si="32"/>
        <v/>
      </c>
      <c r="M691" s="14"/>
      <c r="N691" s="16"/>
    </row>
    <row r="692" spans="1:14" ht="15.6" x14ac:dyDescent="0.3">
      <c r="A692" s="13" t="str">
        <f t="shared" si="30"/>
        <v>-</v>
      </c>
      <c r="B692" s="27"/>
      <c r="C692" s="26"/>
      <c r="D692" s="26"/>
      <c r="E692" s="26"/>
      <c r="F692" s="26"/>
      <c r="G692" s="34">
        <f>SUMIFS('BASE EXEC. Q.L'!N:N,'BASE EXEC. Q.L'!B:B,VOOS!A692)</f>
        <v>0</v>
      </c>
      <c r="H692" s="15" t="str">
        <f>IFERROR(_xlfn.XLOOKUP(A692,'BASE SQL PLANTIO'!B:B,'BASE SQL PLANTIO'!T:T,"verificar",0),"")</f>
        <v/>
      </c>
      <c r="I692" s="77" t="str">
        <f>IF(_xlfn.MINIFS('BASE SQL PLANTIO'!E:E,'BASE SQL PLANTIO'!B:B,VOOS!A692)=0/1/1900,"",_xlfn.MINIFS('BASE SQL PLANTIO'!E:E,'BASE SQL PLANTIO'!B:B,VOOS!A692))</f>
        <v/>
      </c>
      <c r="J692" s="26"/>
      <c r="K692" s="34" t="str">
        <f t="shared" si="31"/>
        <v/>
      </c>
      <c r="L692" s="35" t="str">
        <f t="shared" si="32"/>
        <v/>
      </c>
      <c r="M692" s="14"/>
      <c r="N692" s="16"/>
    </row>
    <row r="693" spans="1:14" ht="15.6" x14ac:dyDescent="0.3">
      <c r="A693" s="13" t="str">
        <f t="shared" si="30"/>
        <v>-</v>
      </c>
      <c r="B693" s="27"/>
      <c r="C693" s="26"/>
      <c r="D693" s="26"/>
      <c r="E693" s="26"/>
      <c r="F693" s="26"/>
      <c r="G693" s="34">
        <f>SUMIFS('BASE EXEC. Q.L'!N:N,'BASE EXEC. Q.L'!B:B,VOOS!A693)</f>
        <v>0</v>
      </c>
      <c r="H693" s="15" t="str">
        <f>IFERROR(_xlfn.XLOOKUP(A693,'BASE SQL PLANTIO'!B:B,'BASE SQL PLANTIO'!T:T,"verificar",0),"")</f>
        <v/>
      </c>
      <c r="I693" s="77" t="str">
        <f>IF(_xlfn.MINIFS('BASE SQL PLANTIO'!E:E,'BASE SQL PLANTIO'!B:B,VOOS!A693)=0/1/1900,"",_xlfn.MINIFS('BASE SQL PLANTIO'!E:E,'BASE SQL PLANTIO'!B:B,VOOS!A693))</f>
        <v/>
      </c>
      <c r="J693" s="26"/>
      <c r="K693" s="34" t="str">
        <f t="shared" si="31"/>
        <v/>
      </c>
      <c r="L693" s="35" t="str">
        <f t="shared" si="32"/>
        <v/>
      </c>
      <c r="M693" s="14"/>
      <c r="N693" s="16"/>
    </row>
    <row r="694" spans="1:14" ht="15.6" x14ac:dyDescent="0.3">
      <c r="A694" s="13" t="str">
        <f t="shared" si="30"/>
        <v>-</v>
      </c>
      <c r="B694" s="27"/>
      <c r="C694" s="22"/>
      <c r="D694" s="23"/>
      <c r="E694" s="23"/>
      <c r="F694" s="22"/>
      <c r="G694" s="34">
        <f>SUMIFS('BASE EXEC. Q.L'!N:N,'BASE EXEC. Q.L'!B:B,VOOS!A694)</f>
        <v>0</v>
      </c>
      <c r="H694" s="15" t="str">
        <f>IFERROR(_xlfn.XLOOKUP(A694,'BASE SQL PLANTIO'!B:B,'BASE SQL PLANTIO'!T:T,"verificar",0),"")</f>
        <v/>
      </c>
      <c r="I694" s="77" t="str">
        <f>IF(_xlfn.MINIFS('BASE SQL PLANTIO'!E:E,'BASE SQL PLANTIO'!B:B,VOOS!A694)=0/1/1900,"",_xlfn.MINIFS('BASE SQL PLANTIO'!E:E,'BASE SQL PLANTIO'!B:B,VOOS!A694))</f>
        <v/>
      </c>
      <c r="J694" s="22"/>
      <c r="K694" s="34" t="str">
        <f t="shared" si="31"/>
        <v/>
      </c>
      <c r="L694" s="35" t="str">
        <f t="shared" si="32"/>
        <v/>
      </c>
      <c r="M694" s="14"/>
      <c r="N694" s="16"/>
    </row>
    <row r="695" spans="1:14" ht="15.6" x14ac:dyDescent="0.3">
      <c r="A695" s="13" t="str">
        <f t="shared" si="30"/>
        <v>-</v>
      </c>
      <c r="B695" s="27"/>
      <c r="C695" s="26"/>
      <c r="D695" s="26"/>
      <c r="E695" s="26"/>
      <c r="F695" s="26"/>
      <c r="G695" s="34">
        <f>SUMIFS('BASE EXEC. Q.L'!N:N,'BASE EXEC. Q.L'!B:B,VOOS!A695)</f>
        <v>0</v>
      </c>
      <c r="H695" s="15" t="str">
        <f>IFERROR(_xlfn.XLOOKUP(A695,'BASE SQL PLANTIO'!B:B,'BASE SQL PLANTIO'!T:T,"verificar",0),"")</f>
        <v/>
      </c>
      <c r="I695" s="77" t="str">
        <f>IF(_xlfn.MINIFS('BASE SQL PLANTIO'!E:E,'BASE SQL PLANTIO'!B:B,VOOS!A695)=0/1/1900,"",_xlfn.MINIFS('BASE SQL PLANTIO'!E:E,'BASE SQL PLANTIO'!B:B,VOOS!A695))</f>
        <v/>
      </c>
      <c r="J695" s="26"/>
      <c r="K695" s="34" t="str">
        <f t="shared" si="31"/>
        <v/>
      </c>
      <c r="L695" s="35" t="str">
        <f t="shared" si="32"/>
        <v/>
      </c>
      <c r="M695" s="14"/>
      <c r="N695" s="16"/>
    </row>
    <row r="696" spans="1:14" ht="15.6" x14ac:dyDescent="0.3">
      <c r="A696" s="13" t="str">
        <f t="shared" si="30"/>
        <v>-</v>
      </c>
      <c r="B696" s="27"/>
      <c r="C696" s="26"/>
      <c r="D696" s="26"/>
      <c r="E696" s="26"/>
      <c r="F696" s="26"/>
      <c r="G696" s="34">
        <f>SUMIFS('BASE EXEC. Q.L'!N:N,'BASE EXEC. Q.L'!B:B,VOOS!A696)</f>
        <v>0</v>
      </c>
      <c r="H696" s="15" t="str">
        <f>IFERROR(_xlfn.XLOOKUP(A696,'BASE SQL PLANTIO'!B:B,'BASE SQL PLANTIO'!T:T,"verificar",0),"")</f>
        <v/>
      </c>
      <c r="I696" s="77" t="str">
        <f>IF(_xlfn.MINIFS('BASE SQL PLANTIO'!E:E,'BASE SQL PLANTIO'!B:B,VOOS!A696)=0/1/1900,"",_xlfn.MINIFS('BASE SQL PLANTIO'!E:E,'BASE SQL PLANTIO'!B:B,VOOS!A696))</f>
        <v/>
      </c>
      <c r="J696" s="26"/>
      <c r="K696" s="34" t="str">
        <f t="shared" si="31"/>
        <v/>
      </c>
      <c r="L696" s="35" t="str">
        <f t="shared" si="32"/>
        <v/>
      </c>
      <c r="M696" s="14"/>
      <c r="N696" s="16"/>
    </row>
    <row r="697" spans="1:14" ht="15.6" x14ac:dyDescent="0.3">
      <c r="A697" s="13" t="str">
        <f t="shared" si="30"/>
        <v>-</v>
      </c>
      <c r="B697" s="27"/>
      <c r="C697" s="26"/>
      <c r="D697" s="26"/>
      <c r="E697" s="26"/>
      <c r="F697" s="26"/>
      <c r="G697" s="34">
        <f>SUMIFS('BASE EXEC. Q.L'!N:N,'BASE EXEC. Q.L'!B:B,VOOS!A697)</f>
        <v>0</v>
      </c>
      <c r="H697" s="15" t="str">
        <f>IFERROR(_xlfn.XLOOKUP(A697,'BASE SQL PLANTIO'!B:B,'BASE SQL PLANTIO'!T:T,"verificar",0),"")</f>
        <v/>
      </c>
      <c r="I697" s="77" t="str">
        <f>IF(_xlfn.MINIFS('BASE SQL PLANTIO'!E:E,'BASE SQL PLANTIO'!B:B,VOOS!A697)=0/1/1900,"",_xlfn.MINIFS('BASE SQL PLANTIO'!E:E,'BASE SQL PLANTIO'!B:B,VOOS!A697))</f>
        <v/>
      </c>
      <c r="J697" s="26"/>
      <c r="K697" s="34" t="str">
        <f t="shared" si="31"/>
        <v/>
      </c>
      <c r="L697" s="35" t="str">
        <f t="shared" si="32"/>
        <v/>
      </c>
      <c r="M697" s="14"/>
      <c r="N697" s="16"/>
    </row>
    <row r="698" spans="1:14" ht="15.6" x14ac:dyDescent="0.3">
      <c r="A698" s="13" t="str">
        <f t="shared" si="30"/>
        <v>-</v>
      </c>
      <c r="B698" s="27"/>
      <c r="C698" s="26"/>
      <c r="D698" s="26"/>
      <c r="E698" s="26"/>
      <c r="F698" s="26"/>
      <c r="G698" s="34">
        <f>SUMIFS('BASE EXEC. Q.L'!N:N,'BASE EXEC. Q.L'!B:B,VOOS!A698)</f>
        <v>0</v>
      </c>
      <c r="H698" s="15" t="str">
        <f>IFERROR(_xlfn.XLOOKUP(A698,'BASE SQL PLANTIO'!B:B,'BASE SQL PLANTIO'!T:T,"verificar",0),"")</f>
        <v/>
      </c>
      <c r="I698" s="77" t="str">
        <f>IF(_xlfn.MINIFS('BASE SQL PLANTIO'!E:E,'BASE SQL PLANTIO'!B:B,VOOS!A698)=0/1/1900,"",_xlfn.MINIFS('BASE SQL PLANTIO'!E:E,'BASE SQL PLANTIO'!B:B,VOOS!A698))</f>
        <v/>
      </c>
      <c r="J698" s="26"/>
      <c r="K698" s="34" t="str">
        <f t="shared" si="31"/>
        <v/>
      </c>
      <c r="L698" s="35" t="str">
        <f t="shared" si="32"/>
        <v/>
      </c>
      <c r="M698" s="14"/>
      <c r="N698" s="15"/>
    </row>
    <row r="699" spans="1:14" ht="15.6" x14ac:dyDescent="0.3">
      <c r="A699" s="13" t="str">
        <f t="shared" si="30"/>
        <v>-</v>
      </c>
      <c r="B699" s="27"/>
      <c r="C699" s="26"/>
      <c r="D699" s="26"/>
      <c r="E699" s="26"/>
      <c r="F699" s="26"/>
      <c r="G699" s="34">
        <f>SUMIFS('BASE EXEC. Q.L'!N:N,'BASE EXEC. Q.L'!B:B,VOOS!A699)</f>
        <v>0</v>
      </c>
      <c r="H699" s="15" t="str">
        <f>IFERROR(_xlfn.XLOOKUP(A699,'BASE SQL PLANTIO'!B:B,'BASE SQL PLANTIO'!T:T,"verificar",0),"")</f>
        <v/>
      </c>
      <c r="I699" s="77" t="str">
        <f>IF(_xlfn.MINIFS('BASE SQL PLANTIO'!E:E,'BASE SQL PLANTIO'!B:B,VOOS!A699)=0/1/1900,"",_xlfn.MINIFS('BASE SQL PLANTIO'!E:E,'BASE SQL PLANTIO'!B:B,VOOS!A699))</f>
        <v/>
      </c>
      <c r="J699" s="26"/>
      <c r="K699" s="34" t="str">
        <f t="shared" si="31"/>
        <v/>
      </c>
      <c r="L699" s="35" t="str">
        <f t="shared" si="32"/>
        <v/>
      </c>
      <c r="M699" s="14"/>
      <c r="N699" s="16"/>
    </row>
    <row r="700" spans="1:14" ht="15.6" x14ac:dyDescent="0.3">
      <c r="A700" s="13" t="str">
        <f t="shared" si="30"/>
        <v>-</v>
      </c>
      <c r="B700" s="27"/>
      <c r="C700" s="26"/>
      <c r="D700" s="26"/>
      <c r="E700" s="26"/>
      <c r="F700" s="26"/>
      <c r="G700" s="34">
        <f>SUMIFS('BASE EXEC. Q.L'!N:N,'BASE EXEC. Q.L'!B:B,VOOS!A700)</f>
        <v>0</v>
      </c>
      <c r="H700" s="15" t="str">
        <f>IFERROR(_xlfn.XLOOKUP(A700,'BASE SQL PLANTIO'!B:B,'BASE SQL PLANTIO'!T:T,"verificar",0),"")</f>
        <v/>
      </c>
      <c r="I700" s="77" t="str">
        <f>IF(_xlfn.MINIFS('BASE SQL PLANTIO'!E:E,'BASE SQL PLANTIO'!B:B,VOOS!A700)=0/1/1900,"",_xlfn.MINIFS('BASE SQL PLANTIO'!E:E,'BASE SQL PLANTIO'!B:B,VOOS!A700))</f>
        <v/>
      </c>
      <c r="J700" s="26"/>
      <c r="K700" s="34" t="str">
        <f t="shared" si="31"/>
        <v/>
      </c>
      <c r="L700" s="35" t="str">
        <f t="shared" si="32"/>
        <v/>
      </c>
      <c r="M700" s="14"/>
      <c r="N700" s="16"/>
    </row>
    <row r="701" spans="1:14" ht="15.6" x14ac:dyDescent="0.3">
      <c r="A701" s="13" t="str">
        <f t="shared" si="30"/>
        <v>-</v>
      </c>
      <c r="B701" s="27"/>
      <c r="C701" s="26"/>
      <c r="D701" s="26"/>
      <c r="E701" s="26"/>
      <c r="F701" s="26"/>
      <c r="G701" s="34">
        <f>SUMIFS('BASE EXEC. Q.L'!N:N,'BASE EXEC. Q.L'!B:B,VOOS!A701)</f>
        <v>0</v>
      </c>
      <c r="H701" s="15" t="str">
        <f>IFERROR(_xlfn.XLOOKUP(A701,'BASE SQL PLANTIO'!B:B,'BASE SQL PLANTIO'!T:T,"verificar",0),"")</f>
        <v/>
      </c>
      <c r="I701" s="77" t="str">
        <f>IF(_xlfn.MINIFS('BASE SQL PLANTIO'!E:E,'BASE SQL PLANTIO'!B:B,VOOS!A701)=0/1/1900,"",_xlfn.MINIFS('BASE SQL PLANTIO'!E:E,'BASE SQL PLANTIO'!B:B,VOOS!A701))</f>
        <v/>
      </c>
      <c r="J701" s="26"/>
      <c r="K701" s="34" t="str">
        <f t="shared" si="31"/>
        <v/>
      </c>
      <c r="L701" s="35" t="str">
        <f t="shared" si="32"/>
        <v/>
      </c>
      <c r="M701" s="14"/>
      <c r="N701" s="16"/>
    </row>
    <row r="702" spans="1:14" ht="15.6" x14ac:dyDescent="0.3">
      <c r="A702" s="13" t="str">
        <f t="shared" si="30"/>
        <v>-</v>
      </c>
      <c r="B702" s="27"/>
      <c r="C702" s="26"/>
      <c r="D702" s="26"/>
      <c r="E702" s="26"/>
      <c r="F702" s="26"/>
      <c r="G702" s="34">
        <f>SUMIFS('BASE EXEC. Q.L'!N:N,'BASE EXEC. Q.L'!B:B,VOOS!A702)</f>
        <v>0</v>
      </c>
      <c r="H702" s="15" t="str">
        <f>IFERROR(_xlfn.XLOOKUP(A702,'BASE SQL PLANTIO'!B:B,'BASE SQL PLANTIO'!T:T,"verificar",0),"")</f>
        <v/>
      </c>
      <c r="I702" s="77" t="str">
        <f>IF(_xlfn.MINIFS('BASE SQL PLANTIO'!E:E,'BASE SQL PLANTIO'!B:B,VOOS!A702)=0/1/1900,"",_xlfn.MINIFS('BASE SQL PLANTIO'!E:E,'BASE SQL PLANTIO'!B:B,VOOS!A702))</f>
        <v/>
      </c>
      <c r="J702" s="26"/>
      <c r="K702" s="34" t="str">
        <f t="shared" si="31"/>
        <v/>
      </c>
      <c r="L702" s="35" t="str">
        <f t="shared" si="32"/>
        <v/>
      </c>
      <c r="M702" s="14"/>
      <c r="N702" s="16"/>
    </row>
    <row r="703" spans="1:14" ht="15.6" x14ac:dyDescent="0.3">
      <c r="A703" s="13" t="str">
        <f t="shared" si="30"/>
        <v>-</v>
      </c>
      <c r="B703" s="27"/>
      <c r="C703" s="26"/>
      <c r="D703" s="26"/>
      <c r="E703" s="26"/>
      <c r="F703" s="26"/>
      <c r="G703" s="34">
        <f>SUMIFS('BASE EXEC. Q.L'!N:N,'BASE EXEC. Q.L'!B:B,VOOS!A703)</f>
        <v>0</v>
      </c>
      <c r="H703" s="15" t="str">
        <f>IFERROR(_xlfn.XLOOKUP(A703,'BASE SQL PLANTIO'!B:B,'BASE SQL PLANTIO'!T:T,"verificar",0),"")</f>
        <v/>
      </c>
      <c r="I703" s="77" t="str">
        <f>IF(_xlfn.MINIFS('BASE SQL PLANTIO'!E:E,'BASE SQL PLANTIO'!B:B,VOOS!A703)=0/1/1900,"",_xlfn.MINIFS('BASE SQL PLANTIO'!E:E,'BASE SQL PLANTIO'!B:B,VOOS!A703))</f>
        <v/>
      </c>
      <c r="J703" s="26"/>
      <c r="K703" s="34" t="str">
        <f t="shared" si="31"/>
        <v/>
      </c>
      <c r="L703" s="35" t="str">
        <f t="shared" si="32"/>
        <v/>
      </c>
      <c r="M703" s="14"/>
      <c r="N703" s="16"/>
    </row>
    <row r="704" spans="1:14" ht="15.6" x14ac:dyDescent="0.3">
      <c r="A704" s="13" t="str">
        <f t="shared" si="30"/>
        <v>-</v>
      </c>
      <c r="B704" s="27"/>
      <c r="C704" s="26"/>
      <c r="D704" s="26"/>
      <c r="E704" s="26"/>
      <c r="F704" s="26"/>
      <c r="G704" s="34">
        <f>SUMIFS('BASE EXEC. Q.L'!N:N,'BASE EXEC. Q.L'!B:B,VOOS!A704)</f>
        <v>0</v>
      </c>
      <c r="H704" s="15" t="str">
        <f>IFERROR(_xlfn.XLOOKUP(A704,'BASE SQL PLANTIO'!B:B,'BASE SQL PLANTIO'!T:T,"verificar",0),"")</f>
        <v/>
      </c>
      <c r="I704" s="77" t="str">
        <f>IF(_xlfn.MINIFS('BASE SQL PLANTIO'!E:E,'BASE SQL PLANTIO'!B:B,VOOS!A704)=0/1/1900,"",_xlfn.MINIFS('BASE SQL PLANTIO'!E:E,'BASE SQL PLANTIO'!B:B,VOOS!A704))</f>
        <v/>
      </c>
      <c r="J704" s="26"/>
      <c r="K704" s="34" t="str">
        <f t="shared" si="31"/>
        <v/>
      </c>
      <c r="L704" s="35" t="str">
        <f t="shared" si="32"/>
        <v/>
      </c>
      <c r="M704" s="14"/>
      <c r="N704" s="16"/>
    </row>
    <row r="705" spans="1:14" ht="15.6" x14ac:dyDescent="0.3">
      <c r="A705" s="13" t="str">
        <f t="shared" si="30"/>
        <v>-</v>
      </c>
      <c r="B705" s="25"/>
      <c r="C705" s="25"/>
      <c r="D705" s="25"/>
      <c r="E705" s="25"/>
      <c r="F705" s="31"/>
      <c r="G705" s="34">
        <f>SUMIFS('BASE EXEC. Q.L'!N:N,'BASE EXEC. Q.L'!B:B,VOOS!A705)</f>
        <v>0</v>
      </c>
      <c r="H705" s="15" t="str">
        <f>IFERROR(_xlfn.XLOOKUP(A705,'BASE SQL PLANTIO'!B:B,'BASE SQL PLANTIO'!T:T,"verificar",0),"")</f>
        <v/>
      </c>
      <c r="I705" s="77" t="str">
        <f>IF(_xlfn.MINIFS('BASE SQL PLANTIO'!E:E,'BASE SQL PLANTIO'!B:B,VOOS!A705)=0/1/1900,"",_xlfn.MINIFS('BASE SQL PLANTIO'!E:E,'BASE SQL PLANTIO'!B:B,VOOS!A705))</f>
        <v/>
      </c>
      <c r="J705" s="26"/>
      <c r="K705" s="34" t="str">
        <f t="shared" si="31"/>
        <v/>
      </c>
      <c r="L705" s="35" t="str">
        <f t="shared" si="32"/>
        <v/>
      </c>
      <c r="M705" s="14"/>
      <c r="N705" s="16"/>
    </row>
    <row r="706" spans="1:14" ht="15.6" x14ac:dyDescent="0.3">
      <c r="A706" s="13" t="str">
        <f t="shared" si="30"/>
        <v>-</v>
      </c>
      <c r="B706" s="25"/>
      <c r="C706" s="25"/>
      <c r="D706" s="25"/>
      <c r="E706" s="25"/>
      <c r="F706" s="31"/>
      <c r="G706" s="34">
        <f>SUMIFS('BASE EXEC. Q.L'!N:N,'BASE EXEC. Q.L'!B:B,VOOS!A706)</f>
        <v>0</v>
      </c>
      <c r="H706" s="15" t="str">
        <f>IFERROR(_xlfn.XLOOKUP(A706,'BASE SQL PLANTIO'!B:B,'BASE SQL PLANTIO'!T:T,"verificar",0),"")</f>
        <v/>
      </c>
      <c r="I706" s="77" t="str">
        <f>IF(_xlfn.MINIFS('BASE SQL PLANTIO'!E:E,'BASE SQL PLANTIO'!B:B,VOOS!A706)=0/1/1900,"",_xlfn.MINIFS('BASE SQL PLANTIO'!E:E,'BASE SQL PLANTIO'!B:B,VOOS!A706))</f>
        <v/>
      </c>
      <c r="J706" s="26"/>
      <c r="K706" s="34" t="str">
        <f t="shared" si="31"/>
        <v/>
      </c>
      <c r="L706" s="35" t="str">
        <f t="shared" si="32"/>
        <v/>
      </c>
      <c r="M706" s="14"/>
      <c r="N706" s="16"/>
    </row>
    <row r="707" spans="1:14" ht="15.6" x14ac:dyDescent="0.3">
      <c r="A707" s="13" t="str">
        <f t="shared" si="30"/>
        <v>-</v>
      </c>
      <c r="B707" s="27"/>
      <c r="C707" s="26"/>
      <c r="D707" s="26"/>
      <c r="E707" s="26"/>
      <c r="F707" s="26"/>
      <c r="G707" s="34">
        <f>SUMIFS('BASE EXEC. Q.L'!N:N,'BASE EXEC. Q.L'!B:B,VOOS!A707)</f>
        <v>0</v>
      </c>
      <c r="H707" s="15" t="str">
        <f>IFERROR(_xlfn.XLOOKUP(A707,'BASE SQL PLANTIO'!B:B,'BASE SQL PLANTIO'!T:T,"verificar",0),"")</f>
        <v/>
      </c>
      <c r="I707" s="77" t="str">
        <f>IF(_xlfn.MINIFS('BASE SQL PLANTIO'!E:E,'BASE SQL PLANTIO'!B:B,VOOS!A707)=0/1/1900,"",_xlfn.MINIFS('BASE SQL PLANTIO'!E:E,'BASE SQL PLANTIO'!B:B,VOOS!A707))</f>
        <v/>
      </c>
      <c r="J707" s="26"/>
      <c r="K707" s="34" t="str">
        <f t="shared" si="31"/>
        <v/>
      </c>
      <c r="L707" s="35" t="str">
        <f t="shared" si="32"/>
        <v/>
      </c>
      <c r="M707" s="14"/>
      <c r="N707" s="16"/>
    </row>
    <row r="708" spans="1:14" ht="15.6" x14ac:dyDescent="0.3">
      <c r="A708" s="13" t="str">
        <f t="shared" si="30"/>
        <v>-</v>
      </c>
      <c r="B708" s="27"/>
      <c r="C708" s="26"/>
      <c r="D708" s="26"/>
      <c r="E708" s="26"/>
      <c r="F708" s="26"/>
      <c r="G708" s="34">
        <f>SUMIFS('BASE EXEC. Q.L'!N:N,'BASE EXEC. Q.L'!B:B,VOOS!A708)</f>
        <v>0</v>
      </c>
      <c r="H708" s="15" t="str">
        <f>IFERROR(_xlfn.XLOOKUP(A708,'BASE SQL PLANTIO'!B:B,'BASE SQL PLANTIO'!T:T,"verificar",0),"")</f>
        <v/>
      </c>
      <c r="I708" s="77" t="str">
        <f>IF(_xlfn.MINIFS('BASE SQL PLANTIO'!E:E,'BASE SQL PLANTIO'!B:B,VOOS!A708)=0/1/1900,"",_xlfn.MINIFS('BASE SQL PLANTIO'!E:E,'BASE SQL PLANTIO'!B:B,VOOS!A708))</f>
        <v/>
      </c>
      <c r="J708" s="26"/>
      <c r="K708" s="34" t="str">
        <f t="shared" si="31"/>
        <v/>
      </c>
      <c r="L708" s="35" t="str">
        <f t="shared" si="32"/>
        <v/>
      </c>
      <c r="M708" s="14"/>
      <c r="N708" s="16"/>
    </row>
    <row r="709" spans="1:14" ht="15.6" x14ac:dyDescent="0.3">
      <c r="A709" s="13" t="str">
        <f t="shared" ref="A709:A772" si="33">CONCATENATE(B709,"-",E709)</f>
        <v>-</v>
      </c>
      <c r="B709" s="25"/>
      <c r="C709" s="25"/>
      <c r="D709" s="25"/>
      <c r="E709" s="25"/>
      <c r="F709" s="31"/>
      <c r="G709" s="34">
        <f>SUMIFS('BASE EXEC. Q.L'!N:N,'BASE EXEC. Q.L'!B:B,VOOS!A709)</f>
        <v>0</v>
      </c>
      <c r="H709" s="15" t="str">
        <f>IFERROR(_xlfn.XLOOKUP(A709,'BASE SQL PLANTIO'!B:B,'BASE SQL PLANTIO'!T:T,"verificar",0),"")</f>
        <v/>
      </c>
      <c r="I709" s="77" t="str">
        <f>IF(_xlfn.MINIFS('BASE SQL PLANTIO'!E:E,'BASE SQL PLANTIO'!B:B,VOOS!A709)=0/1/1900,"",_xlfn.MINIFS('BASE SQL PLANTIO'!E:E,'BASE SQL PLANTIO'!B:B,VOOS!A709))</f>
        <v/>
      </c>
      <c r="J709" s="26"/>
      <c r="K709" s="34" t="str">
        <f t="shared" ref="K709:K772" si="34">IF(I709="","",$K$3-I709)</f>
        <v/>
      </c>
      <c r="L709" s="35" t="str">
        <f t="shared" ref="L709:L772" si="35">K709</f>
        <v/>
      </c>
      <c r="M709" s="14"/>
      <c r="N709" s="16"/>
    </row>
    <row r="710" spans="1:14" ht="15.6" x14ac:dyDescent="0.3">
      <c r="A710" s="13" t="str">
        <f t="shared" si="33"/>
        <v>-</v>
      </c>
      <c r="B710" s="27"/>
      <c r="C710" s="26"/>
      <c r="D710" s="26"/>
      <c r="E710" s="26"/>
      <c r="F710" s="26"/>
      <c r="G710" s="34">
        <f>SUMIFS('BASE EXEC. Q.L'!N:N,'BASE EXEC. Q.L'!B:B,VOOS!A710)</f>
        <v>0</v>
      </c>
      <c r="H710" s="15" t="str">
        <f>IFERROR(_xlfn.XLOOKUP(A710,'BASE SQL PLANTIO'!B:B,'BASE SQL PLANTIO'!T:T,"verificar",0),"")</f>
        <v/>
      </c>
      <c r="I710" s="77" t="str">
        <f>IF(_xlfn.MINIFS('BASE SQL PLANTIO'!E:E,'BASE SQL PLANTIO'!B:B,VOOS!A710)=0/1/1900,"",_xlfn.MINIFS('BASE SQL PLANTIO'!E:E,'BASE SQL PLANTIO'!B:B,VOOS!A710))</f>
        <v/>
      </c>
      <c r="J710" s="26"/>
      <c r="K710" s="34" t="str">
        <f t="shared" si="34"/>
        <v/>
      </c>
      <c r="L710" s="35" t="str">
        <f t="shared" si="35"/>
        <v/>
      </c>
      <c r="M710" s="14"/>
      <c r="N710" s="16"/>
    </row>
    <row r="711" spans="1:14" ht="15.6" x14ac:dyDescent="0.3">
      <c r="A711" s="13" t="str">
        <f t="shared" si="33"/>
        <v>-</v>
      </c>
      <c r="B711" s="27"/>
      <c r="C711" s="26"/>
      <c r="D711" s="26"/>
      <c r="E711" s="26"/>
      <c r="F711" s="26"/>
      <c r="G711" s="34">
        <f>SUMIFS('BASE EXEC. Q.L'!N:N,'BASE EXEC. Q.L'!B:B,VOOS!A711)</f>
        <v>0</v>
      </c>
      <c r="H711" s="15" t="str">
        <f>IFERROR(_xlfn.XLOOKUP(A711,'BASE SQL PLANTIO'!B:B,'BASE SQL PLANTIO'!T:T,"verificar",0),"")</f>
        <v/>
      </c>
      <c r="I711" s="77" t="str">
        <f>IF(_xlfn.MINIFS('BASE SQL PLANTIO'!E:E,'BASE SQL PLANTIO'!B:B,VOOS!A711)=0/1/1900,"",_xlfn.MINIFS('BASE SQL PLANTIO'!E:E,'BASE SQL PLANTIO'!B:B,VOOS!A711))</f>
        <v/>
      </c>
      <c r="J711" s="26"/>
      <c r="K711" s="34" t="str">
        <f t="shared" si="34"/>
        <v/>
      </c>
      <c r="L711" s="35" t="str">
        <f t="shared" si="35"/>
        <v/>
      </c>
      <c r="M711" s="14"/>
      <c r="N711" s="16"/>
    </row>
    <row r="712" spans="1:14" ht="15.6" x14ac:dyDescent="0.3">
      <c r="A712" s="13" t="str">
        <f t="shared" si="33"/>
        <v>-</v>
      </c>
      <c r="B712" s="27"/>
      <c r="C712" s="26"/>
      <c r="D712" s="26"/>
      <c r="E712" s="26"/>
      <c r="F712" s="26"/>
      <c r="G712" s="34">
        <f>SUMIFS('BASE EXEC. Q.L'!N:N,'BASE EXEC. Q.L'!B:B,VOOS!A712)</f>
        <v>0</v>
      </c>
      <c r="H712" s="15" t="str">
        <f>IFERROR(_xlfn.XLOOKUP(A712,'BASE SQL PLANTIO'!B:B,'BASE SQL PLANTIO'!T:T,"verificar",0),"")</f>
        <v/>
      </c>
      <c r="I712" s="77" t="str">
        <f>IF(_xlfn.MINIFS('BASE SQL PLANTIO'!E:E,'BASE SQL PLANTIO'!B:B,VOOS!A712)=0/1/1900,"",_xlfn.MINIFS('BASE SQL PLANTIO'!E:E,'BASE SQL PLANTIO'!B:B,VOOS!A712))</f>
        <v/>
      </c>
      <c r="J712" s="26"/>
      <c r="K712" s="34" t="str">
        <f t="shared" si="34"/>
        <v/>
      </c>
      <c r="L712" s="35" t="str">
        <f t="shared" si="35"/>
        <v/>
      </c>
      <c r="M712" s="14"/>
      <c r="N712" s="16"/>
    </row>
    <row r="713" spans="1:14" ht="15.6" x14ac:dyDescent="0.3">
      <c r="A713" s="13" t="str">
        <f t="shared" si="33"/>
        <v>-</v>
      </c>
      <c r="B713" s="27"/>
      <c r="C713" s="26"/>
      <c r="D713" s="26"/>
      <c r="E713" s="26"/>
      <c r="F713" s="26"/>
      <c r="G713" s="34">
        <f>SUMIFS('BASE EXEC. Q.L'!N:N,'BASE EXEC. Q.L'!B:B,VOOS!A713)</f>
        <v>0</v>
      </c>
      <c r="H713" s="15" t="str">
        <f>IFERROR(_xlfn.XLOOKUP(A713,'BASE SQL PLANTIO'!B:B,'BASE SQL PLANTIO'!T:T,"verificar",0),"")</f>
        <v/>
      </c>
      <c r="I713" s="77" t="str">
        <f>IF(_xlfn.MINIFS('BASE SQL PLANTIO'!E:E,'BASE SQL PLANTIO'!B:B,VOOS!A713)=0/1/1900,"",_xlfn.MINIFS('BASE SQL PLANTIO'!E:E,'BASE SQL PLANTIO'!B:B,VOOS!A713))</f>
        <v/>
      </c>
      <c r="J713" s="26"/>
      <c r="K713" s="34" t="str">
        <f t="shared" si="34"/>
        <v/>
      </c>
      <c r="L713" s="35" t="str">
        <f t="shared" si="35"/>
        <v/>
      </c>
      <c r="M713" s="14"/>
      <c r="N713" s="16"/>
    </row>
    <row r="714" spans="1:14" ht="15.6" x14ac:dyDescent="0.3">
      <c r="A714" s="13" t="str">
        <f t="shared" si="33"/>
        <v>-</v>
      </c>
      <c r="B714" s="27"/>
      <c r="C714" s="22"/>
      <c r="D714" s="23"/>
      <c r="E714" s="23"/>
      <c r="F714" s="22"/>
      <c r="G714" s="34">
        <f>SUMIFS('BASE EXEC. Q.L'!N:N,'BASE EXEC. Q.L'!B:B,VOOS!A714)</f>
        <v>0</v>
      </c>
      <c r="H714" s="15" t="str">
        <f>IFERROR(_xlfn.XLOOKUP(A714,'BASE SQL PLANTIO'!B:B,'BASE SQL PLANTIO'!T:T,"verificar",0),"")</f>
        <v/>
      </c>
      <c r="I714" s="77" t="str">
        <f>IF(_xlfn.MINIFS('BASE SQL PLANTIO'!E:E,'BASE SQL PLANTIO'!B:B,VOOS!A714)=0/1/1900,"",_xlfn.MINIFS('BASE SQL PLANTIO'!E:E,'BASE SQL PLANTIO'!B:B,VOOS!A714))</f>
        <v/>
      </c>
      <c r="J714" s="22"/>
      <c r="K714" s="34" t="str">
        <f t="shared" si="34"/>
        <v/>
      </c>
      <c r="L714" s="35" t="str">
        <f t="shared" si="35"/>
        <v/>
      </c>
      <c r="M714" s="14"/>
      <c r="N714" s="16"/>
    </row>
    <row r="715" spans="1:14" ht="15.6" x14ac:dyDescent="0.3">
      <c r="A715" s="13" t="str">
        <f t="shared" si="33"/>
        <v>-</v>
      </c>
      <c r="B715" s="27"/>
      <c r="C715" s="26"/>
      <c r="D715" s="26"/>
      <c r="E715" s="26"/>
      <c r="F715" s="26"/>
      <c r="G715" s="34">
        <f>SUMIFS('BASE EXEC. Q.L'!N:N,'BASE EXEC. Q.L'!B:B,VOOS!A715)</f>
        <v>0</v>
      </c>
      <c r="H715" s="15" t="str">
        <f>IFERROR(_xlfn.XLOOKUP(A715,'BASE SQL PLANTIO'!B:B,'BASE SQL PLANTIO'!T:T,"verificar",0),"")</f>
        <v/>
      </c>
      <c r="I715" s="77" t="str">
        <f>IF(_xlfn.MINIFS('BASE SQL PLANTIO'!E:E,'BASE SQL PLANTIO'!B:B,VOOS!A715)=0/1/1900,"",_xlfn.MINIFS('BASE SQL PLANTIO'!E:E,'BASE SQL PLANTIO'!B:B,VOOS!A715))</f>
        <v/>
      </c>
      <c r="J715" s="26"/>
      <c r="K715" s="34" t="str">
        <f t="shared" si="34"/>
        <v/>
      </c>
      <c r="L715" s="35" t="str">
        <f t="shared" si="35"/>
        <v/>
      </c>
      <c r="M715" s="14"/>
      <c r="N715" s="16"/>
    </row>
    <row r="716" spans="1:14" ht="15.6" x14ac:dyDescent="0.3">
      <c r="A716" s="13" t="str">
        <f t="shared" si="33"/>
        <v>-</v>
      </c>
      <c r="B716" s="27"/>
      <c r="C716" s="26"/>
      <c r="D716" s="26"/>
      <c r="E716" s="26"/>
      <c r="F716" s="26"/>
      <c r="G716" s="34">
        <f>SUMIFS('BASE EXEC. Q.L'!N:N,'BASE EXEC. Q.L'!B:B,VOOS!A716)</f>
        <v>0</v>
      </c>
      <c r="H716" s="15" t="str">
        <f>IFERROR(_xlfn.XLOOKUP(A716,'BASE SQL PLANTIO'!B:B,'BASE SQL PLANTIO'!T:T,"verificar",0),"")</f>
        <v/>
      </c>
      <c r="I716" s="77" t="str">
        <f>IF(_xlfn.MINIFS('BASE SQL PLANTIO'!E:E,'BASE SQL PLANTIO'!B:B,VOOS!A716)=0/1/1900,"",_xlfn.MINIFS('BASE SQL PLANTIO'!E:E,'BASE SQL PLANTIO'!B:B,VOOS!A716))</f>
        <v/>
      </c>
      <c r="J716" s="26"/>
      <c r="K716" s="34" t="str">
        <f t="shared" si="34"/>
        <v/>
      </c>
      <c r="L716" s="35" t="str">
        <f t="shared" si="35"/>
        <v/>
      </c>
      <c r="M716" s="14"/>
      <c r="N716" s="16"/>
    </row>
    <row r="717" spans="1:14" ht="15.6" x14ac:dyDescent="0.3">
      <c r="A717" s="13" t="str">
        <f t="shared" si="33"/>
        <v>-</v>
      </c>
      <c r="B717" s="27"/>
      <c r="C717" s="26"/>
      <c r="D717" s="26"/>
      <c r="E717" s="26"/>
      <c r="F717" s="26"/>
      <c r="G717" s="34">
        <f>SUMIFS('BASE EXEC. Q.L'!N:N,'BASE EXEC. Q.L'!B:B,VOOS!A717)</f>
        <v>0</v>
      </c>
      <c r="H717" s="15" t="str">
        <f>IFERROR(_xlfn.XLOOKUP(A717,'BASE SQL PLANTIO'!B:B,'BASE SQL PLANTIO'!T:T,"verificar",0),"")</f>
        <v/>
      </c>
      <c r="I717" s="77" t="str">
        <f>IF(_xlfn.MINIFS('BASE SQL PLANTIO'!E:E,'BASE SQL PLANTIO'!B:B,VOOS!A717)=0/1/1900,"",_xlfn.MINIFS('BASE SQL PLANTIO'!E:E,'BASE SQL PLANTIO'!B:B,VOOS!A717))</f>
        <v/>
      </c>
      <c r="J717" s="26"/>
      <c r="K717" s="34" t="str">
        <f t="shared" si="34"/>
        <v/>
      </c>
      <c r="L717" s="35" t="str">
        <f t="shared" si="35"/>
        <v/>
      </c>
      <c r="M717" s="14"/>
      <c r="N717" s="15"/>
    </row>
    <row r="718" spans="1:14" ht="15.6" x14ac:dyDescent="0.3">
      <c r="A718" s="13" t="str">
        <f t="shared" si="33"/>
        <v>-</v>
      </c>
      <c r="B718" s="27"/>
      <c r="C718" s="26"/>
      <c r="D718" s="26"/>
      <c r="E718" s="26"/>
      <c r="F718" s="26"/>
      <c r="G718" s="34">
        <f>SUMIFS('BASE EXEC. Q.L'!N:N,'BASE EXEC. Q.L'!B:B,VOOS!A718)</f>
        <v>0</v>
      </c>
      <c r="H718" s="15" t="str">
        <f>IFERROR(_xlfn.XLOOKUP(A718,'BASE SQL PLANTIO'!B:B,'BASE SQL PLANTIO'!T:T,"verificar",0),"")</f>
        <v/>
      </c>
      <c r="I718" s="77" t="str">
        <f>IF(_xlfn.MINIFS('BASE SQL PLANTIO'!E:E,'BASE SQL PLANTIO'!B:B,VOOS!A718)=0/1/1900,"",_xlfn.MINIFS('BASE SQL PLANTIO'!E:E,'BASE SQL PLANTIO'!B:B,VOOS!A718))</f>
        <v/>
      </c>
      <c r="J718" s="26"/>
      <c r="K718" s="34" t="str">
        <f t="shared" si="34"/>
        <v/>
      </c>
      <c r="L718" s="35" t="str">
        <f t="shared" si="35"/>
        <v/>
      </c>
      <c r="M718" s="14"/>
      <c r="N718" s="16"/>
    </row>
    <row r="719" spans="1:14" ht="15.6" x14ac:dyDescent="0.3">
      <c r="A719" s="13" t="str">
        <f t="shared" si="33"/>
        <v>-</v>
      </c>
      <c r="B719" s="27"/>
      <c r="C719" s="26"/>
      <c r="D719" s="26"/>
      <c r="E719" s="26"/>
      <c r="F719" s="26"/>
      <c r="G719" s="34">
        <f>SUMIFS('BASE EXEC. Q.L'!N:N,'BASE EXEC. Q.L'!B:B,VOOS!A719)</f>
        <v>0</v>
      </c>
      <c r="H719" s="15" t="str">
        <f>IFERROR(_xlfn.XLOOKUP(A719,'BASE SQL PLANTIO'!B:B,'BASE SQL PLANTIO'!T:T,"verificar",0),"")</f>
        <v/>
      </c>
      <c r="I719" s="77" t="str">
        <f>IF(_xlfn.MINIFS('BASE SQL PLANTIO'!E:E,'BASE SQL PLANTIO'!B:B,VOOS!A719)=0/1/1900,"",_xlfn.MINIFS('BASE SQL PLANTIO'!E:E,'BASE SQL PLANTIO'!B:B,VOOS!A719))</f>
        <v/>
      </c>
      <c r="J719" s="26"/>
      <c r="K719" s="34" t="str">
        <f t="shared" si="34"/>
        <v/>
      </c>
      <c r="L719" s="35" t="str">
        <f t="shared" si="35"/>
        <v/>
      </c>
      <c r="M719" s="14"/>
      <c r="N719" s="16"/>
    </row>
    <row r="720" spans="1:14" ht="15.6" x14ac:dyDescent="0.3">
      <c r="A720" s="13" t="str">
        <f t="shared" si="33"/>
        <v>-</v>
      </c>
      <c r="B720" s="27"/>
      <c r="C720" s="26"/>
      <c r="D720" s="26"/>
      <c r="E720" s="26"/>
      <c r="F720" s="26"/>
      <c r="G720" s="34">
        <f>SUMIFS('BASE EXEC. Q.L'!N:N,'BASE EXEC. Q.L'!B:B,VOOS!A720)</f>
        <v>0</v>
      </c>
      <c r="H720" s="15" t="str">
        <f>IFERROR(_xlfn.XLOOKUP(A720,'BASE SQL PLANTIO'!B:B,'BASE SQL PLANTIO'!T:T,"verificar",0),"")</f>
        <v/>
      </c>
      <c r="I720" s="77" t="str">
        <f>IF(_xlfn.MINIFS('BASE SQL PLANTIO'!E:E,'BASE SQL PLANTIO'!B:B,VOOS!A720)=0/1/1900,"",_xlfn.MINIFS('BASE SQL PLANTIO'!E:E,'BASE SQL PLANTIO'!B:B,VOOS!A720))</f>
        <v/>
      </c>
      <c r="J720" s="26"/>
      <c r="K720" s="34" t="str">
        <f t="shared" si="34"/>
        <v/>
      </c>
      <c r="L720" s="35" t="str">
        <f t="shared" si="35"/>
        <v/>
      </c>
      <c r="M720" s="14"/>
      <c r="N720" s="16"/>
    </row>
    <row r="721" spans="1:14" ht="15.6" x14ac:dyDescent="0.3">
      <c r="A721" s="13" t="str">
        <f t="shared" si="33"/>
        <v>-</v>
      </c>
      <c r="B721" s="27"/>
      <c r="C721" s="26"/>
      <c r="D721" s="26"/>
      <c r="E721" s="26"/>
      <c r="F721" s="26"/>
      <c r="G721" s="34">
        <f>SUMIFS('BASE EXEC. Q.L'!N:N,'BASE EXEC. Q.L'!B:B,VOOS!A721)</f>
        <v>0</v>
      </c>
      <c r="H721" s="15" t="str">
        <f>IFERROR(_xlfn.XLOOKUP(A721,'BASE SQL PLANTIO'!B:B,'BASE SQL PLANTIO'!T:T,"verificar",0),"")</f>
        <v/>
      </c>
      <c r="I721" s="77" t="str">
        <f>IF(_xlfn.MINIFS('BASE SQL PLANTIO'!E:E,'BASE SQL PLANTIO'!B:B,VOOS!A721)=0/1/1900,"",_xlfn.MINIFS('BASE SQL PLANTIO'!E:E,'BASE SQL PLANTIO'!B:B,VOOS!A721))</f>
        <v/>
      </c>
      <c r="J721" s="26"/>
      <c r="K721" s="34" t="str">
        <f t="shared" si="34"/>
        <v/>
      </c>
      <c r="L721" s="35" t="str">
        <f t="shared" si="35"/>
        <v/>
      </c>
      <c r="M721" s="14"/>
      <c r="N721" s="15"/>
    </row>
    <row r="722" spans="1:14" ht="15.6" x14ac:dyDescent="0.3">
      <c r="A722" s="13" t="str">
        <f t="shared" si="33"/>
        <v>-</v>
      </c>
      <c r="B722" s="27"/>
      <c r="C722" s="22"/>
      <c r="D722" s="23"/>
      <c r="E722" s="23"/>
      <c r="F722" s="22"/>
      <c r="G722" s="34">
        <f>SUMIFS('BASE EXEC. Q.L'!N:N,'BASE EXEC. Q.L'!B:B,VOOS!A722)</f>
        <v>0</v>
      </c>
      <c r="H722" s="15" t="str">
        <f>IFERROR(_xlfn.XLOOKUP(A722,'BASE SQL PLANTIO'!B:B,'BASE SQL PLANTIO'!T:T,"verificar",0),"")</f>
        <v/>
      </c>
      <c r="I722" s="77" t="str">
        <f>IF(_xlfn.MINIFS('BASE SQL PLANTIO'!E:E,'BASE SQL PLANTIO'!B:B,VOOS!A722)=0/1/1900,"",_xlfn.MINIFS('BASE SQL PLANTIO'!E:E,'BASE SQL PLANTIO'!B:B,VOOS!A722))</f>
        <v/>
      </c>
      <c r="J722" s="22"/>
      <c r="K722" s="34" t="str">
        <f t="shared" si="34"/>
        <v/>
      </c>
      <c r="L722" s="35" t="str">
        <f t="shared" si="35"/>
        <v/>
      </c>
      <c r="M722" s="14"/>
      <c r="N722" s="16"/>
    </row>
    <row r="723" spans="1:14" ht="15.6" x14ac:dyDescent="0.3">
      <c r="A723" s="13" t="str">
        <f t="shared" si="33"/>
        <v>-</v>
      </c>
      <c r="B723" s="27"/>
      <c r="C723" s="26"/>
      <c r="D723" s="26"/>
      <c r="E723" s="26"/>
      <c r="F723" s="26"/>
      <c r="G723" s="34">
        <f>SUMIFS('BASE EXEC. Q.L'!N:N,'BASE EXEC. Q.L'!B:B,VOOS!A723)</f>
        <v>0</v>
      </c>
      <c r="H723" s="15" t="str">
        <f>IFERROR(_xlfn.XLOOKUP(A723,'BASE SQL PLANTIO'!B:B,'BASE SQL PLANTIO'!T:T,"verificar",0),"")</f>
        <v/>
      </c>
      <c r="I723" s="77" t="str">
        <f>IF(_xlfn.MINIFS('BASE SQL PLANTIO'!E:E,'BASE SQL PLANTIO'!B:B,VOOS!A723)=0/1/1900,"",_xlfn.MINIFS('BASE SQL PLANTIO'!E:E,'BASE SQL PLANTIO'!B:B,VOOS!A723))</f>
        <v/>
      </c>
      <c r="J723" s="26"/>
      <c r="K723" s="34" t="str">
        <f t="shared" si="34"/>
        <v/>
      </c>
      <c r="L723" s="35" t="str">
        <f t="shared" si="35"/>
        <v/>
      </c>
      <c r="M723" s="14"/>
      <c r="N723" s="16"/>
    </row>
    <row r="724" spans="1:14" ht="15.6" x14ac:dyDescent="0.3">
      <c r="A724" s="13" t="str">
        <f t="shared" si="33"/>
        <v>-</v>
      </c>
      <c r="B724" s="27"/>
      <c r="C724" s="26"/>
      <c r="D724" s="26"/>
      <c r="E724" s="26"/>
      <c r="F724" s="26"/>
      <c r="G724" s="34">
        <f>SUMIFS('BASE EXEC. Q.L'!N:N,'BASE EXEC. Q.L'!B:B,VOOS!A724)</f>
        <v>0</v>
      </c>
      <c r="H724" s="15" t="str">
        <f>IFERROR(_xlfn.XLOOKUP(A724,'BASE SQL PLANTIO'!B:B,'BASE SQL PLANTIO'!T:T,"verificar",0),"")</f>
        <v/>
      </c>
      <c r="I724" s="77" t="str">
        <f>IF(_xlfn.MINIFS('BASE SQL PLANTIO'!E:E,'BASE SQL PLANTIO'!B:B,VOOS!A724)=0/1/1900,"",_xlfn.MINIFS('BASE SQL PLANTIO'!E:E,'BASE SQL PLANTIO'!B:B,VOOS!A724))</f>
        <v/>
      </c>
      <c r="J724" s="26"/>
      <c r="K724" s="34" t="str">
        <f t="shared" si="34"/>
        <v/>
      </c>
      <c r="L724" s="35" t="str">
        <f t="shared" si="35"/>
        <v/>
      </c>
      <c r="M724" s="14"/>
      <c r="N724" s="15"/>
    </row>
    <row r="725" spans="1:14" ht="15.6" x14ac:dyDescent="0.3">
      <c r="A725" s="13" t="str">
        <f t="shared" si="33"/>
        <v>-</v>
      </c>
      <c r="B725" s="27"/>
      <c r="C725" s="26"/>
      <c r="D725" s="26"/>
      <c r="E725" s="26"/>
      <c r="F725" s="26"/>
      <c r="G725" s="34">
        <f>SUMIFS('BASE EXEC. Q.L'!N:N,'BASE EXEC. Q.L'!B:B,VOOS!A725)</f>
        <v>0</v>
      </c>
      <c r="H725" s="15" t="str">
        <f>IFERROR(_xlfn.XLOOKUP(A725,'BASE SQL PLANTIO'!B:B,'BASE SQL PLANTIO'!T:T,"verificar",0),"")</f>
        <v/>
      </c>
      <c r="I725" s="77" t="str">
        <f>IF(_xlfn.MINIFS('BASE SQL PLANTIO'!E:E,'BASE SQL PLANTIO'!B:B,VOOS!A725)=0/1/1900,"",_xlfn.MINIFS('BASE SQL PLANTIO'!E:E,'BASE SQL PLANTIO'!B:B,VOOS!A725))</f>
        <v/>
      </c>
      <c r="J725" s="26"/>
      <c r="K725" s="34" t="str">
        <f t="shared" si="34"/>
        <v/>
      </c>
      <c r="L725" s="35" t="str">
        <f t="shared" si="35"/>
        <v/>
      </c>
      <c r="M725" s="14"/>
      <c r="N725" s="16"/>
    </row>
    <row r="726" spans="1:14" ht="15.6" x14ac:dyDescent="0.3">
      <c r="A726" s="13" t="str">
        <f t="shared" si="33"/>
        <v>-</v>
      </c>
      <c r="B726" s="27"/>
      <c r="C726" s="26"/>
      <c r="D726" s="26"/>
      <c r="E726" s="26"/>
      <c r="F726" s="26"/>
      <c r="G726" s="34">
        <f>SUMIFS('BASE EXEC. Q.L'!N:N,'BASE EXEC. Q.L'!B:B,VOOS!A726)</f>
        <v>0</v>
      </c>
      <c r="H726" s="15" t="str">
        <f>IFERROR(_xlfn.XLOOKUP(A726,'BASE SQL PLANTIO'!B:B,'BASE SQL PLANTIO'!T:T,"verificar",0),"")</f>
        <v/>
      </c>
      <c r="I726" s="77" t="str">
        <f>IF(_xlfn.MINIFS('BASE SQL PLANTIO'!E:E,'BASE SQL PLANTIO'!B:B,VOOS!A726)=0/1/1900,"",_xlfn.MINIFS('BASE SQL PLANTIO'!E:E,'BASE SQL PLANTIO'!B:B,VOOS!A726))</f>
        <v/>
      </c>
      <c r="J726" s="26"/>
      <c r="K726" s="34" t="str">
        <f t="shared" si="34"/>
        <v/>
      </c>
      <c r="L726" s="35" t="str">
        <f t="shared" si="35"/>
        <v/>
      </c>
      <c r="M726" s="14"/>
      <c r="N726" s="16"/>
    </row>
    <row r="727" spans="1:14" ht="15.6" x14ac:dyDescent="0.3">
      <c r="A727" s="13" t="str">
        <f t="shared" si="33"/>
        <v>-</v>
      </c>
      <c r="B727" s="27"/>
      <c r="C727" s="26"/>
      <c r="D727" s="26"/>
      <c r="E727" s="26"/>
      <c r="F727" s="26"/>
      <c r="G727" s="34">
        <f>SUMIFS('BASE EXEC. Q.L'!N:N,'BASE EXEC. Q.L'!B:B,VOOS!A727)</f>
        <v>0</v>
      </c>
      <c r="H727" s="15" t="str">
        <f>IFERROR(_xlfn.XLOOKUP(A727,'BASE SQL PLANTIO'!B:B,'BASE SQL PLANTIO'!T:T,"verificar",0),"")</f>
        <v/>
      </c>
      <c r="I727" s="77" t="str">
        <f>IF(_xlfn.MINIFS('BASE SQL PLANTIO'!E:E,'BASE SQL PLANTIO'!B:B,VOOS!A727)=0/1/1900,"",_xlfn.MINIFS('BASE SQL PLANTIO'!E:E,'BASE SQL PLANTIO'!B:B,VOOS!A727))</f>
        <v/>
      </c>
      <c r="J727" s="26"/>
      <c r="K727" s="34" t="str">
        <f t="shared" si="34"/>
        <v/>
      </c>
      <c r="L727" s="35" t="str">
        <f t="shared" si="35"/>
        <v/>
      </c>
      <c r="M727" s="14"/>
      <c r="N727" s="16"/>
    </row>
    <row r="728" spans="1:14" ht="15.6" x14ac:dyDescent="0.3">
      <c r="A728" s="13" t="str">
        <f t="shared" si="33"/>
        <v>-</v>
      </c>
      <c r="B728" s="27"/>
      <c r="C728" s="26"/>
      <c r="D728" s="26"/>
      <c r="E728" s="26"/>
      <c r="F728" s="26"/>
      <c r="G728" s="34">
        <f>SUMIFS('BASE EXEC. Q.L'!N:N,'BASE EXEC. Q.L'!B:B,VOOS!A728)</f>
        <v>0</v>
      </c>
      <c r="H728" s="15" t="str">
        <f>IFERROR(_xlfn.XLOOKUP(A728,'BASE SQL PLANTIO'!B:B,'BASE SQL PLANTIO'!T:T,"verificar",0),"")</f>
        <v/>
      </c>
      <c r="I728" s="77" t="str">
        <f>IF(_xlfn.MINIFS('BASE SQL PLANTIO'!E:E,'BASE SQL PLANTIO'!B:B,VOOS!A728)=0/1/1900,"",_xlfn.MINIFS('BASE SQL PLANTIO'!E:E,'BASE SQL PLANTIO'!B:B,VOOS!A728))</f>
        <v/>
      </c>
      <c r="J728" s="26"/>
      <c r="K728" s="34" t="str">
        <f t="shared" si="34"/>
        <v/>
      </c>
      <c r="L728" s="35" t="str">
        <f t="shared" si="35"/>
        <v/>
      </c>
      <c r="M728" s="14"/>
      <c r="N728" s="16"/>
    </row>
    <row r="729" spans="1:14" ht="15.6" x14ac:dyDescent="0.3">
      <c r="A729" s="13" t="str">
        <f t="shared" si="33"/>
        <v>-</v>
      </c>
      <c r="B729" s="27"/>
      <c r="C729" s="26"/>
      <c r="D729" s="26"/>
      <c r="E729" s="26"/>
      <c r="F729" s="26"/>
      <c r="G729" s="34">
        <f>SUMIFS('BASE EXEC. Q.L'!N:N,'BASE EXEC. Q.L'!B:B,VOOS!A729)</f>
        <v>0</v>
      </c>
      <c r="H729" s="15" t="str">
        <f>IFERROR(_xlfn.XLOOKUP(A729,'BASE SQL PLANTIO'!B:B,'BASE SQL PLANTIO'!T:T,"verificar",0),"")</f>
        <v/>
      </c>
      <c r="I729" s="77" t="str">
        <f>IF(_xlfn.MINIFS('BASE SQL PLANTIO'!E:E,'BASE SQL PLANTIO'!B:B,VOOS!A729)=0/1/1900,"",_xlfn.MINIFS('BASE SQL PLANTIO'!E:E,'BASE SQL PLANTIO'!B:B,VOOS!A729))</f>
        <v/>
      </c>
      <c r="J729" s="26"/>
      <c r="K729" s="34" t="str">
        <f t="shared" si="34"/>
        <v/>
      </c>
      <c r="L729" s="35" t="str">
        <f t="shared" si="35"/>
        <v/>
      </c>
      <c r="M729" s="14"/>
      <c r="N729" s="16"/>
    </row>
    <row r="730" spans="1:14" ht="15.6" x14ac:dyDescent="0.3">
      <c r="A730" s="13" t="str">
        <f t="shared" si="33"/>
        <v>-</v>
      </c>
      <c r="B730" s="27"/>
      <c r="C730" s="26"/>
      <c r="D730" s="26"/>
      <c r="E730" s="26"/>
      <c r="F730" s="26"/>
      <c r="G730" s="34">
        <f>SUMIFS('BASE EXEC. Q.L'!N:N,'BASE EXEC. Q.L'!B:B,VOOS!A730)</f>
        <v>0</v>
      </c>
      <c r="H730" s="15" t="str">
        <f>IFERROR(_xlfn.XLOOKUP(A730,'BASE SQL PLANTIO'!B:B,'BASE SQL PLANTIO'!T:T,"verificar",0),"")</f>
        <v/>
      </c>
      <c r="I730" s="77" t="str">
        <f>IF(_xlfn.MINIFS('BASE SQL PLANTIO'!E:E,'BASE SQL PLANTIO'!B:B,VOOS!A730)=0/1/1900,"",_xlfn.MINIFS('BASE SQL PLANTIO'!E:E,'BASE SQL PLANTIO'!B:B,VOOS!A730))</f>
        <v/>
      </c>
      <c r="J730" s="26"/>
      <c r="K730" s="34" t="str">
        <f t="shared" si="34"/>
        <v/>
      </c>
      <c r="L730" s="35" t="str">
        <f t="shared" si="35"/>
        <v/>
      </c>
      <c r="M730" s="14"/>
      <c r="N730" s="16"/>
    </row>
    <row r="731" spans="1:14" ht="15.6" x14ac:dyDescent="0.3">
      <c r="A731" s="13" t="str">
        <f t="shared" si="33"/>
        <v>-</v>
      </c>
      <c r="B731" s="25"/>
      <c r="C731" s="25"/>
      <c r="D731" s="25"/>
      <c r="E731" s="25"/>
      <c r="F731" s="31"/>
      <c r="G731" s="34">
        <f>SUMIFS('BASE EXEC. Q.L'!N:N,'BASE EXEC. Q.L'!B:B,VOOS!A731)</f>
        <v>0</v>
      </c>
      <c r="H731" s="15" t="str">
        <f>IFERROR(_xlfn.XLOOKUP(A731,'BASE SQL PLANTIO'!B:B,'BASE SQL PLANTIO'!T:T,"verificar",0),"")</f>
        <v/>
      </c>
      <c r="I731" s="77" t="str">
        <f>IF(_xlfn.MINIFS('BASE SQL PLANTIO'!E:E,'BASE SQL PLANTIO'!B:B,VOOS!A731)=0/1/1900,"",_xlfn.MINIFS('BASE SQL PLANTIO'!E:E,'BASE SQL PLANTIO'!B:B,VOOS!A731))</f>
        <v/>
      </c>
      <c r="J731" s="26"/>
      <c r="K731" s="34" t="str">
        <f t="shared" si="34"/>
        <v/>
      </c>
      <c r="L731" s="35" t="str">
        <f t="shared" si="35"/>
        <v/>
      </c>
      <c r="M731" s="14"/>
      <c r="N731" s="16"/>
    </row>
    <row r="732" spans="1:14" ht="15.6" x14ac:dyDescent="0.3">
      <c r="A732" s="13" t="str">
        <f t="shared" si="33"/>
        <v>-</v>
      </c>
      <c r="B732" s="25"/>
      <c r="C732" s="25"/>
      <c r="D732" s="25"/>
      <c r="E732" s="25"/>
      <c r="F732" s="31"/>
      <c r="G732" s="34">
        <f>SUMIFS('BASE EXEC. Q.L'!N:N,'BASE EXEC. Q.L'!B:B,VOOS!A732)</f>
        <v>0</v>
      </c>
      <c r="H732" s="15" t="str">
        <f>IFERROR(_xlfn.XLOOKUP(A732,'BASE SQL PLANTIO'!B:B,'BASE SQL PLANTIO'!T:T,"verificar",0),"")</f>
        <v/>
      </c>
      <c r="I732" s="77" t="str">
        <f>IF(_xlfn.MINIFS('BASE SQL PLANTIO'!E:E,'BASE SQL PLANTIO'!B:B,VOOS!A732)=0/1/1900,"",_xlfn.MINIFS('BASE SQL PLANTIO'!E:E,'BASE SQL PLANTIO'!B:B,VOOS!A732))</f>
        <v/>
      </c>
      <c r="J732" s="26"/>
      <c r="K732" s="34" t="str">
        <f t="shared" si="34"/>
        <v/>
      </c>
      <c r="L732" s="35" t="str">
        <f t="shared" si="35"/>
        <v/>
      </c>
      <c r="M732" s="14"/>
      <c r="N732" s="16"/>
    </row>
    <row r="733" spans="1:14" ht="15.6" x14ac:dyDescent="0.3">
      <c r="A733" s="13" t="str">
        <f t="shared" si="33"/>
        <v>-</v>
      </c>
      <c r="B733" s="25"/>
      <c r="C733" s="25"/>
      <c r="D733" s="25"/>
      <c r="E733" s="25"/>
      <c r="F733" s="31"/>
      <c r="G733" s="34">
        <f>SUMIFS('BASE EXEC. Q.L'!N:N,'BASE EXEC. Q.L'!B:B,VOOS!A733)</f>
        <v>0</v>
      </c>
      <c r="H733" s="15" t="str">
        <f>IFERROR(_xlfn.XLOOKUP(A733,'BASE SQL PLANTIO'!B:B,'BASE SQL PLANTIO'!T:T,"verificar",0),"")</f>
        <v/>
      </c>
      <c r="I733" s="77" t="str">
        <f>IF(_xlfn.MINIFS('BASE SQL PLANTIO'!E:E,'BASE SQL PLANTIO'!B:B,VOOS!A733)=0/1/1900,"",_xlfn.MINIFS('BASE SQL PLANTIO'!E:E,'BASE SQL PLANTIO'!B:B,VOOS!A733))</f>
        <v/>
      </c>
      <c r="J733" s="26"/>
      <c r="K733" s="34" t="str">
        <f t="shared" si="34"/>
        <v/>
      </c>
      <c r="L733" s="35" t="str">
        <f t="shared" si="35"/>
        <v/>
      </c>
      <c r="M733" s="14"/>
      <c r="N733" s="16"/>
    </row>
    <row r="734" spans="1:14" ht="15.6" x14ac:dyDescent="0.3">
      <c r="A734" s="13" t="str">
        <f t="shared" si="33"/>
        <v>-</v>
      </c>
      <c r="B734" s="27"/>
      <c r="C734" s="26"/>
      <c r="D734" s="26"/>
      <c r="E734" s="26"/>
      <c r="F734" s="26"/>
      <c r="G734" s="34">
        <f>SUMIFS('BASE EXEC. Q.L'!N:N,'BASE EXEC. Q.L'!B:B,VOOS!A734)</f>
        <v>0</v>
      </c>
      <c r="H734" s="15" t="str">
        <f>IFERROR(_xlfn.XLOOKUP(A734,'BASE SQL PLANTIO'!B:B,'BASE SQL PLANTIO'!T:T,"verificar",0),"")</f>
        <v/>
      </c>
      <c r="I734" s="77" t="str">
        <f>IF(_xlfn.MINIFS('BASE SQL PLANTIO'!E:E,'BASE SQL PLANTIO'!B:B,VOOS!A734)=0/1/1900,"",_xlfn.MINIFS('BASE SQL PLANTIO'!E:E,'BASE SQL PLANTIO'!B:B,VOOS!A734))</f>
        <v/>
      </c>
      <c r="J734" s="26"/>
      <c r="K734" s="34" t="str">
        <f t="shared" si="34"/>
        <v/>
      </c>
      <c r="L734" s="35" t="str">
        <f t="shared" si="35"/>
        <v/>
      </c>
      <c r="M734" s="14"/>
      <c r="N734" s="16"/>
    </row>
    <row r="735" spans="1:14" ht="15.6" x14ac:dyDescent="0.3">
      <c r="A735" s="13" t="str">
        <f t="shared" si="33"/>
        <v>-</v>
      </c>
      <c r="B735" s="27"/>
      <c r="C735" s="26"/>
      <c r="D735" s="26"/>
      <c r="E735" s="26"/>
      <c r="F735" s="26"/>
      <c r="G735" s="34">
        <f>SUMIFS('BASE EXEC. Q.L'!N:N,'BASE EXEC. Q.L'!B:B,VOOS!A735)</f>
        <v>0</v>
      </c>
      <c r="H735" s="15" t="str">
        <f>IFERROR(_xlfn.XLOOKUP(A735,'BASE SQL PLANTIO'!B:B,'BASE SQL PLANTIO'!T:T,"verificar",0),"")</f>
        <v/>
      </c>
      <c r="I735" s="77" t="str">
        <f>IF(_xlfn.MINIFS('BASE SQL PLANTIO'!E:E,'BASE SQL PLANTIO'!B:B,VOOS!A735)=0/1/1900,"",_xlfn.MINIFS('BASE SQL PLANTIO'!E:E,'BASE SQL PLANTIO'!B:B,VOOS!A735))</f>
        <v/>
      </c>
      <c r="J735" s="26"/>
      <c r="K735" s="34" t="str">
        <f t="shared" si="34"/>
        <v/>
      </c>
      <c r="L735" s="35" t="str">
        <f t="shared" si="35"/>
        <v/>
      </c>
      <c r="M735" s="14"/>
      <c r="N735" s="16"/>
    </row>
    <row r="736" spans="1:14" ht="15.6" x14ac:dyDescent="0.3">
      <c r="A736" s="13" t="str">
        <f t="shared" si="33"/>
        <v>-</v>
      </c>
      <c r="B736" s="25"/>
      <c r="C736" s="25"/>
      <c r="D736" s="25"/>
      <c r="E736" s="25"/>
      <c r="F736" s="31"/>
      <c r="G736" s="34">
        <f>SUMIFS('BASE EXEC. Q.L'!N:N,'BASE EXEC. Q.L'!B:B,VOOS!A736)</f>
        <v>0</v>
      </c>
      <c r="H736" s="15" t="str">
        <f>IFERROR(_xlfn.XLOOKUP(A736,'BASE SQL PLANTIO'!B:B,'BASE SQL PLANTIO'!T:T,"verificar",0),"")</f>
        <v/>
      </c>
      <c r="I736" s="77" t="str">
        <f>IF(_xlfn.MINIFS('BASE SQL PLANTIO'!E:E,'BASE SQL PLANTIO'!B:B,VOOS!A736)=0/1/1900,"",_xlfn.MINIFS('BASE SQL PLANTIO'!E:E,'BASE SQL PLANTIO'!B:B,VOOS!A736))</f>
        <v/>
      </c>
      <c r="J736" s="26"/>
      <c r="K736" s="34" t="str">
        <f t="shared" si="34"/>
        <v/>
      </c>
      <c r="L736" s="35" t="str">
        <f t="shared" si="35"/>
        <v/>
      </c>
      <c r="M736" s="14"/>
      <c r="N736" s="16"/>
    </row>
    <row r="737" spans="1:14" ht="15.6" x14ac:dyDescent="0.3">
      <c r="A737" s="13" t="str">
        <f t="shared" si="33"/>
        <v>-</v>
      </c>
      <c r="B737" s="25"/>
      <c r="C737" s="25"/>
      <c r="D737" s="25"/>
      <c r="E737" s="25"/>
      <c r="F737" s="31"/>
      <c r="G737" s="34">
        <f>SUMIFS('BASE EXEC. Q.L'!N:N,'BASE EXEC. Q.L'!B:B,VOOS!A737)</f>
        <v>0</v>
      </c>
      <c r="H737" s="15" t="str">
        <f>IFERROR(_xlfn.XLOOKUP(A737,'BASE SQL PLANTIO'!B:B,'BASE SQL PLANTIO'!T:T,"verificar",0),"")</f>
        <v/>
      </c>
      <c r="I737" s="77" t="str">
        <f>IF(_xlfn.MINIFS('BASE SQL PLANTIO'!E:E,'BASE SQL PLANTIO'!B:B,VOOS!A737)=0/1/1900,"",_xlfn.MINIFS('BASE SQL PLANTIO'!E:E,'BASE SQL PLANTIO'!B:B,VOOS!A737))</f>
        <v/>
      </c>
      <c r="J737" s="26"/>
      <c r="K737" s="34" t="str">
        <f t="shared" si="34"/>
        <v/>
      </c>
      <c r="L737" s="35" t="str">
        <f t="shared" si="35"/>
        <v/>
      </c>
      <c r="M737" s="14"/>
      <c r="N737" s="16"/>
    </row>
    <row r="738" spans="1:14" ht="15.6" x14ac:dyDescent="0.3">
      <c r="A738" s="13" t="str">
        <f t="shared" si="33"/>
        <v>-</v>
      </c>
      <c r="B738" s="25"/>
      <c r="C738" s="25"/>
      <c r="D738" s="25"/>
      <c r="E738" s="25"/>
      <c r="F738" s="31"/>
      <c r="G738" s="34">
        <f>SUMIFS('BASE EXEC. Q.L'!N:N,'BASE EXEC. Q.L'!B:B,VOOS!A738)</f>
        <v>0</v>
      </c>
      <c r="H738" s="15" t="str">
        <f>IFERROR(_xlfn.XLOOKUP(A738,'BASE SQL PLANTIO'!B:B,'BASE SQL PLANTIO'!T:T,"verificar",0),"")</f>
        <v/>
      </c>
      <c r="I738" s="77" t="str">
        <f>IF(_xlfn.MINIFS('BASE SQL PLANTIO'!E:E,'BASE SQL PLANTIO'!B:B,VOOS!A738)=0/1/1900,"",_xlfn.MINIFS('BASE SQL PLANTIO'!E:E,'BASE SQL PLANTIO'!B:B,VOOS!A738))</f>
        <v/>
      </c>
      <c r="J738" s="26"/>
      <c r="K738" s="34" t="str">
        <f t="shared" si="34"/>
        <v/>
      </c>
      <c r="L738" s="35" t="str">
        <f t="shared" si="35"/>
        <v/>
      </c>
      <c r="M738" s="14"/>
      <c r="N738" s="16"/>
    </row>
    <row r="739" spans="1:14" ht="15.6" x14ac:dyDescent="0.3">
      <c r="A739" s="13" t="str">
        <f t="shared" si="33"/>
        <v>-</v>
      </c>
      <c r="B739" s="27"/>
      <c r="C739" s="26"/>
      <c r="D739" s="26"/>
      <c r="E739" s="26"/>
      <c r="F739" s="26"/>
      <c r="G739" s="34">
        <f>SUMIFS('BASE EXEC. Q.L'!N:N,'BASE EXEC. Q.L'!B:B,VOOS!A739)</f>
        <v>0</v>
      </c>
      <c r="H739" s="15" t="str">
        <f>IFERROR(_xlfn.XLOOKUP(A739,'BASE SQL PLANTIO'!B:B,'BASE SQL PLANTIO'!T:T,"verificar",0),"")</f>
        <v/>
      </c>
      <c r="I739" s="77" t="str">
        <f>IF(_xlfn.MINIFS('BASE SQL PLANTIO'!E:E,'BASE SQL PLANTIO'!B:B,VOOS!A739)=0/1/1900,"",_xlfn.MINIFS('BASE SQL PLANTIO'!E:E,'BASE SQL PLANTIO'!B:B,VOOS!A739))</f>
        <v/>
      </c>
      <c r="J739" s="26"/>
      <c r="K739" s="34" t="str">
        <f t="shared" si="34"/>
        <v/>
      </c>
      <c r="L739" s="35" t="str">
        <f t="shared" si="35"/>
        <v/>
      </c>
      <c r="M739" s="14"/>
      <c r="N739" s="16"/>
    </row>
    <row r="740" spans="1:14" ht="15.6" x14ac:dyDescent="0.3">
      <c r="A740" s="13" t="str">
        <f t="shared" si="33"/>
        <v>-</v>
      </c>
      <c r="B740" s="27"/>
      <c r="C740" s="26"/>
      <c r="D740" s="26"/>
      <c r="E740" s="26"/>
      <c r="F740" s="26"/>
      <c r="G740" s="34">
        <f>SUMIFS('BASE EXEC. Q.L'!N:N,'BASE EXEC. Q.L'!B:B,VOOS!A740)</f>
        <v>0</v>
      </c>
      <c r="H740" s="15" t="str">
        <f>IFERROR(_xlfn.XLOOKUP(A740,'BASE SQL PLANTIO'!B:B,'BASE SQL PLANTIO'!T:T,"verificar",0),"")</f>
        <v/>
      </c>
      <c r="I740" s="77" t="str">
        <f>IF(_xlfn.MINIFS('BASE SQL PLANTIO'!E:E,'BASE SQL PLANTIO'!B:B,VOOS!A740)=0/1/1900,"",_xlfn.MINIFS('BASE SQL PLANTIO'!E:E,'BASE SQL PLANTIO'!B:B,VOOS!A740))</f>
        <v/>
      </c>
      <c r="J740" s="26"/>
      <c r="K740" s="34" t="str">
        <f t="shared" si="34"/>
        <v/>
      </c>
      <c r="L740" s="35" t="str">
        <f t="shared" si="35"/>
        <v/>
      </c>
      <c r="M740" s="14"/>
      <c r="N740" s="16"/>
    </row>
    <row r="741" spans="1:14" ht="15.6" x14ac:dyDescent="0.3">
      <c r="A741" s="13" t="str">
        <f t="shared" si="33"/>
        <v>-</v>
      </c>
      <c r="B741" s="25"/>
      <c r="C741" s="25"/>
      <c r="D741" s="25"/>
      <c r="E741" s="25"/>
      <c r="F741" s="31"/>
      <c r="G741" s="34">
        <f>SUMIFS('BASE EXEC. Q.L'!N:N,'BASE EXEC. Q.L'!B:B,VOOS!A741)</f>
        <v>0</v>
      </c>
      <c r="H741" s="15" t="str">
        <f>IFERROR(_xlfn.XLOOKUP(A741,'BASE SQL PLANTIO'!B:B,'BASE SQL PLANTIO'!T:T,"verificar",0),"")</f>
        <v/>
      </c>
      <c r="I741" s="77" t="str">
        <f>IF(_xlfn.MINIFS('BASE SQL PLANTIO'!E:E,'BASE SQL PLANTIO'!B:B,VOOS!A741)=0/1/1900,"",_xlfn.MINIFS('BASE SQL PLANTIO'!E:E,'BASE SQL PLANTIO'!B:B,VOOS!A741))</f>
        <v/>
      </c>
      <c r="J741" s="26"/>
      <c r="K741" s="34" t="str">
        <f t="shared" si="34"/>
        <v/>
      </c>
      <c r="L741" s="35" t="str">
        <f t="shared" si="35"/>
        <v/>
      </c>
      <c r="M741" s="14"/>
      <c r="N741" s="16"/>
    </row>
    <row r="742" spans="1:14" ht="15.6" x14ac:dyDescent="0.3">
      <c r="A742" s="13" t="str">
        <f t="shared" si="33"/>
        <v>-</v>
      </c>
      <c r="B742" s="25"/>
      <c r="C742" s="25"/>
      <c r="D742" s="25"/>
      <c r="E742" s="25"/>
      <c r="F742" s="31"/>
      <c r="G742" s="34">
        <f>SUMIFS('BASE EXEC. Q.L'!N:N,'BASE EXEC. Q.L'!B:B,VOOS!A742)</f>
        <v>0</v>
      </c>
      <c r="H742" s="15" t="str">
        <f>IFERROR(_xlfn.XLOOKUP(A742,'BASE SQL PLANTIO'!B:B,'BASE SQL PLANTIO'!T:T,"verificar",0),"")</f>
        <v/>
      </c>
      <c r="I742" s="77" t="str">
        <f>IF(_xlfn.MINIFS('BASE SQL PLANTIO'!E:E,'BASE SQL PLANTIO'!B:B,VOOS!A742)=0/1/1900,"",_xlfn.MINIFS('BASE SQL PLANTIO'!E:E,'BASE SQL PLANTIO'!B:B,VOOS!A742))</f>
        <v/>
      </c>
      <c r="J742" s="26"/>
      <c r="K742" s="34" t="str">
        <f t="shared" si="34"/>
        <v/>
      </c>
      <c r="L742" s="35" t="str">
        <f t="shared" si="35"/>
        <v/>
      </c>
      <c r="M742" s="14"/>
      <c r="N742" s="15"/>
    </row>
    <row r="743" spans="1:14" ht="15.6" x14ac:dyDescent="0.3">
      <c r="A743" s="13" t="str">
        <f t="shared" si="33"/>
        <v>-</v>
      </c>
      <c r="B743" s="25"/>
      <c r="C743" s="25"/>
      <c r="D743" s="25"/>
      <c r="E743" s="25"/>
      <c r="F743" s="31"/>
      <c r="G743" s="34">
        <f>SUMIFS('BASE EXEC. Q.L'!N:N,'BASE EXEC. Q.L'!B:B,VOOS!A743)</f>
        <v>0</v>
      </c>
      <c r="H743" s="15" t="str">
        <f>IFERROR(_xlfn.XLOOKUP(A743,'BASE SQL PLANTIO'!B:B,'BASE SQL PLANTIO'!T:T,"verificar",0),"")</f>
        <v/>
      </c>
      <c r="I743" s="77" t="str">
        <f>IF(_xlfn.MINIFS('BASE SQL PLANTIO'!E:E,'BASE SQL PLANTIO'!B:B,VOOS!A743)=0/1/1900,"",_xlfn.MINIFS('BASE SQL PLANTIO'!E:E,'BASE SQL PLANTIO'!B:B,VOOS!A743))</f>
        <v/>
      </c>
      <c r="J743" s="26"/>
      <c r="K743" s="34" t="str">
        <f t="shared" si="34"/>
        <v/>
      </c>
      <c r="L743" s="35" t="str">
        <f t="shared" si="35"/>
        <v/>
      </c>
      <c r="M743" s="14"/>
      <c r="N743" s="16"/>
    </row>
    <row r="744" spans="1:14" ht="15.6" x14ac:dyDescent="0.3">
      <c r="A744" s="13" t="str">
        <f t="shared" si="33"/>
        <v>-</v>
      </c>
      <c r="B744" s="27"/>
      <c r="C744" s="26"/>
      <c r="D744" s="26"/>
      <c r="E744" s="26"/>
      <c r="F744" s="26"/>
      <c r="G744" s="34">
        <f>SUMIFS('BASE EXEC. Q.L'!N:N,'BASE EXEC. Q.L'!B:B,VOOS!A744)</f>
        <v>0</v>
      </c>
      <c r="H744" s="15" t="str">
        <f>IFERROR(_xlfn.XLOOKUP(A744,'BASE SQL PLANTIO'!B:B,'BASE SQL PLANTIO'!T:T,"verificar",0),"")</f>
        <v/>
      </c>
      <c r="I744" s="77" t="str">
        <f>IF(_xlfn.MINIFS('BASE SQL PLANTIO'!E:E,'BASE SQL PLANTIO'!B:B,VOOS!A744)=0/1/1900,"",_xlfn.MINIFS('BASE SQL PLANTIO'!E:E,'BASE SQL PLANTIO'!B:B,VOOS!A744))</f>
        <v/>
      </c>
      <c r="J744" s="26"/>
      <c r="K744" s="34" t="str">
        <f t="shared" si="34"/>
        <v/>
      </c>
      <c r="L744" s="35" t="str">
        <f t="shared" si="35"/>
        <v/>
      </c>
      <c r="M744" s="14"/>
      <c r="N744" s="16"/>
    </row>
    <row r="745" spans="1:14" ht="15.6" x14ac:dyDescent="0.3">
      <c r="A745" s="13" t="str">
        <f t="shared" si="33"/>
        <v>-</v>
      </c>
      <c r="B745" s="27"/>
      <c r="C745" s="26"/>
      <c r="D745" s="26"/>
      <c r="E745" s="26"/>
      <c r="F745" s="26"/>
      <c r="G745" s="34">
        <f>SUMIFS('BASE EXEC. Q.L'!N:N,'BASE EXEC. Q.L'!B:B,VOOS!A745)</f>
        <v>0</v>
      </c>
      <c r="H745" s="15" t="str">
        <f>IFERROR(_xlfn.XLOOKUP(A745,'BASE SQL PLANTIO'!B:B,'BASE SQL PLANTIO'!T:T,"verificar",0),"")</f>
        <v/>
      </c>
      <c r="I745" s="77" t="str">
        <f>IF(_xlfn.MINIFS('BASE SQL PLANTIO'!E:E,'BASE SQL PLANTIO'!B:B,VOOS!A745)=0/1/1900,"",_xlfn.MINIFS('BASE SQL PLANTIO'!E:E,'BASE SQL PLANTIO'!B:B,VOOS!A745))</f>
        <v/>
      </c>
      <c r="J745" s="26"/>
      <c r="K745" s="34" t="str">
        <f t="shared" si="34"/>
        <v/>
      </c>
      <c r="L745" s="35" t="str">
        <f t="shared" si="35"/>
        <v/>
      </c>
      <c r="M745" s="14"/>
      <c r="N745" s="16"/>
    </row>
    <row r="746" spans="1:14" ht="15.6" x14ac:dyDescent="0.3">
      <c r="A746" s="13" t="str">
        <f t="shared" si="33"/>
        <v>-</v>
      </c>
      <c r="B746" s="25"/>
      <c r="C746" s="25"/>
      <c r="D746" s="25"/>
      <c r="E746" s="25"/>
      <c r="F746" s="31"/>
      <c r="G746" s="34">
        <f>SUMIFS('BASE EXEC. Q.L'!N:N,'BASE EXEC. Q.L'!B:B,VOOS!A746)</f>
        <v>0</v>
      </c>
      <c r="H746" s="15" t="str">
        <f>IFERROR(_xlfn.XLOOKUP(A746,'BASE SQL PLANTIO'!B:B,'BASE SQL PLANTIO'!T:T,"verificar",0),"")</f>
        <v/>
      </c>
      <c r="I746" s="77" t="str">
        <f>IF(_xlfn.MINIFS('BASE SQL PLANTIO'!E:E,'BASE SQL PLANTIO'!B:B,VOOS!A746)=0/1/1900,"",_xlfn.MINIFS('BASE SQL PLANTIO'!E:E,'BASE SQL PLANTIO'!B:B,VOOS!A746))</f>
        <v/>
      </c>
      <c r="J746" s="26"/>
      <c r="K746" s="34" t="str">
        <f t="shared" si="34"/>
        <v/>
      </c>
      <c r="L746" s="35" t="str">
        <f t="shared" si="35"/>
        <v/>
      </c>
      <c r="M746" s="14"/>
      <c r="N746" s="16"/>
    </row>
    <row r="747" spans="1:14" ht="15.6" x14ac:dyDescent="0.3">
      <c r="A747" s="13" t="str">
        <f t="shared" si="33"/>
        <v>-</v>
      </c>
      <c r="B747" s="25"/>
      <c r="C747" s="25"/>
      <c r="D747" s="25"/>
      <c r="E747" s="25"/>
      <c r="F747" s="31"/>
      <c r="G747" s="34">
        <f>SUMIFS('BASE EXEC. Q.L'!N:N,'BASE EXEC. Q.L'!B:B,VOOS!A747)</f>
        <v>0</v>
      </c>
      <c r="H747" s="15" t="str">
        <f>IFERROR(_xlfn.XLOOKUP(A747,'BASE SQL PLANTIO'!B:B,'BASE SQL PLANTIO'!T:T,"verificar",0),"")</f>
        <v/>
      </c>
      <c r="I747" s="77" t="str">
        <f>IF(_xlfn.MINIFS('BASE SQL PLANTIO'!E:E,'BASE SQL PLANTIO'!B:B,VOOS!A747)=0/1/1900,"",_xlfn.MINIFS('BASE SQL PLANTIO'!E:E,'BASE SQL PLANTIO'!B:B,VOOS!A747))</f>
        <v/>
      </c>
      <c r="J747" s="26"/>
      <c r="K747" s="34" t="str">
        <f t="shared" si="34"/>
        <v/>
      </c>
      <c r="L747" s="35" t="str">
        <f t="shared" si="35"/>
        <v/>
      </c>
      <c r="M747" s="14"/>
      <c r="N747" s="16"/>
    </row>
    <row r="748" spans="1:14" ht="15.6" x14ac:dyDescent="0.3">
      <c r="A748" s="13" t="str">
        <f t="shared" si="33"/>
        <v>-</v>
      </c>
      <c r="B748" s="25"/>
      <c r="C748" s="25"/>
      <c r="D748" s="25"/>
      <c r="E748" s="25"/>
      <c r="F748" s="31"/>
      <c r="G748" s="34">
        <f>SUMIFS('BASE EXEC. Q.L'!N:N,'BASE EXEC. Q.L'!B:B,VOOS!A748)</f>
        <v>0</v>
      </c>
      <c r="H748" s="15" t="str">
        <f>IFERROR(_xlfn.XLOOKUP(A748,'BASE SQL PLANTIO'!B:B,'BASE SQL PLANTIO'!T:T,"verificar",0),"")</f>
        <v/>
      </c>
      <c r="I748" s="77" t="str">
        <f>IF(_xlfn.MINIFS('BASE SQL PLANTIO'!E:E,'BASE SQL PLANTIO'!B:B,VOOS!A748)=0/1/1900,"",_xlfn.MINIFS('BASE SQL PLANTIO'!E:E,'BASE SQL PLANTIO'!B:B,VOOS!A748))</f>
        <v/>
      </c>
      <c r="J748" s="26"/>
      <c r="K748" s="34" t="str">
        <f t="shared" si="34"/>
        <v/>
      </c>
      <c r="L748" s="35" t="str">
        <f t="shared" si="35"/>
        <v/>
      </c>
      <c r="M748" s="14"/>
      <c r="N748" s="16"/>
    </row>
    <row r="749" spans="1:14" ht="15.6" x14ac:dyDescent="0.3">
      <c r="A749" s="13" t="str">
        <f t="shared" si="33"/>
        <v>-</v>
      </c>
      <c r="B749" s="27"/>
      <c r="C749" s="26"/>
      <c r="D749" s="26"/>
      <c r="E749" s="26"/>
      <c r="F749" s="26"/>
      <c r="G749" s="34">
        <f>SUMIFS('BASE EXEC. Q.L'!N:N,'BASE EXEC. Q.L'!B:B,VOOS!A749)</f>
        <v>0</v>
      </c>
      <c r="H749" s="15" t="str">
        <f>IFERROR(_xlfn.XLOOKUP(A749,'BASE SQL PLANTIO'!B:B,'BASE SQL PLANTIO'!T:T,"verificar",0),"")</f>
        <v/>
      </c>
      <c r="I749" s="77" t="str">
        <f>IF(_xlfn.MINIFS('BASE SQL PLANTIO'!E:E,'BASE SQL PLANTIO'!B:B,VOOS!A749)=0/1/1900,"",_xlfn.MINIFS('BASE SQL PLANTIO'!E:E,'BASE SQL PLANTIO'!B:B,VOOS!A749))</f>
        <v/>
      </c>
      <c r="J749" s="26"/>
      <c r="K749" s="34" t="str">
        <f t="shared" si="34"/>
        <v/>
      </c>
      <c r="L749" s="35" t="str">
        <f t="shared" si="35"/>
        <v/>
      </c>
      <c r="M749" s="14"/>
      <c r="N749" s="16"/>
    </row>
    <row r="750" spans="1:14" ht="15.6" x14ac:dyDescent="0.3">
      <c r="A750" s="13" t="str">
        <f t="shared" si="33"/>
        <v>-</v>
      </c>
      <c r="B750" s="27"/>
      <c r="C750" s="26"/>
      <c r="D750" s="26"/>
      <c r="E750" s="26"/>
      <c r="F750" s="26"/>
      <c r="G750" s="34">
        <f>SUMIFS('BASE EXEC. Q.L'!N:N,'BASE EXEC. Q.L'!B:B,VOOS!A750)</f>
        <v>0</v>
      </c>
      <c r="H750" s="15" t="str">
        <f>IFERROR(_xlfn.XLOOKUP(A750,'BASE SQL PLANTIO'!B:B,'BASE SQL PLANTIO'!T:T,"verificar",0),"")</f>
        <v/>
      </c>
      <c r="I750" s="77" t="str">
        <f>IF(_xlfn.MINIFS('BASE SQL PLANTIO'!E:E,'BASE SQL PLANTIO'!B:B,VOOS!A750)=0/1/1900,"",_xlfn.MINIFS('BASE SQL PLANTIO'!E:E,'BASE SQL PLANTIO'!B:B,VOOS!A750))</f>
        <v/>
      </c>
      <c r="J750" s="26"/>
      <c r="K750" s="34" t="str">
        <f t="shared" si="34"/>
        <v/>
      </c>
      <c r="L750" s="35" t="str">
        <f t="shared" si="35"/>
        <v/>
      </c>
      <c r="M750" s="14"/>
      <c r="N750" s="16"/>
    </row>
    <row r="751" spans="1:14" ht="15.6" x14ac:dyDescent="0.3">
      <c r="A751" s="13" t="str">
        <f t="shared" si="33"/>
        <v>-</v>
      </c>
      <c r="B751" s="25"/>
      <c r="C751" s="25"/>
      <c r="D751" s="25"/>
      <c r="E751" s="25"/>
      <c r="F751" s="31"/>
      <c r="G751" s="34">
        <f>SUMIFS('BASE EXEC. Q.L'!N:N,'BASE EXEC. Q.L'!B:B,VOOS!A751)</f>
        <v>0</v>
      </c>
      <c r="H751" s="15" t="str">
        <f>IFERROR(_xlfn.XLOOKUP(A751,'BASE SQL PLANTIO'!B:B,'BASE SQL PLANTIO'!T:T,"verificar",0),"")</f>
        <v/>
      </c>
      <c r="I751" s="77" t="str">
        <f>IF(_xlfn.MINIFS('BASE SQL PLANTIO'!E:E,'BASE SQL PLANTIO'!B:B,VOOS!A751)=0/1/1900,"",_xlfn.MINIFS('BASE SQL PLANTIO'!E:E,'BASE SQL PLANTIO'!B:B,VOOS!A751))</f>
        <v/>
      </c>
      <c r="J751" s="26"/>
      <c r="K751" s="34" t="str">
        <f t="shared" si="34"/>
        <v/>
      </c>
      <c r="L751" s="35" t="str">
        <f t="shared" si="35"/>
        <v/>
      </c>
      <c r="M751" s="14"/>
      <c r="N751" s="16"/>
    </row>
    <row r="752" spans="1:14" ht="15.6" x14ac:dyDescent="0.3">
      <c r="A752" s="13" t="str">
        <f t="shared" si="33"/>
        <v>-</v>
      </c>
      <c r="B752" s="25"/>
      <c r="C752" s="25"/>
      <c r="D752" s="25"/>
      <c r="E752" s="25"/>
      <c r="F752" s="31"/>
      <c r="G752" s="34">
        <f>SUMIFS('BASE EXEC. Q.L'!N:N,'BASE EXEC. Q.L'!B:B,VOOS!A752)</f>
        <v>0</v>
      </c>
      <c r="H752" s="15" t="str">
        <f>IFERROR(_xlfn.XLOOKUP(A752,'BASE SQL PLANTIO'!B:B,'BASE SQL PLANTIO'!T:T,"verificar",0),"")</f>
        <v/>
      </c>
      <c r="I752" s="77" t="str">
        <f>IF(_xlfn.MINIFS('BASE SQL PLANTIO'!E:E,'BASE SQL PLANTIO'!B:B,VOOS!A752)=0/1/1900,"",_xlfn.MINIFS('BASE SQL PLANTIO'!E:E,'BASE SQL PLANTIO'!B:B,VOOS!A752))</f>
        <v/>
      </c>
      <c r="J752" s="26"/>
      <c r="K752" s="34" t="str">
        <f t="shared" si="34"/>
        <v/>
      </c>
      <c r="L752" s="35" t="str">
        <f t="shared" si="35"/>
        <v/>
      </c>
      <c r="M752" s="14"/>
      <c r="N752" s="16"/>
    </row>
    <row r="753" spans="1:14" ht="15.6" x14ac:dyDescent="0.3">
      <c r="A753" s="13" t="str">
        <f t="shared" si="33"/>
        <v>-</v>
      </c>
      <c r="B753" s="25"/>
      <c r="C753" s="29"/>
      <c r="D753" s="30"/>
      <c r="E753" s="30"/>
      <c r="F753" s="28"/>
      <c r="G753" s="34">
        <f>SUMIFS('BASE EXEC. Q.L'!N:N,'BASE EXEC. Q.L'!B:B,VOOS!A753)</f>
        <v>0</v>
      </c>
      <c r="H753" s="15" t="str">
        <f>IFERROR(_xlfn.XLOOKUP(A753,'BASE SQL PLANTIO'!B:B,'BASE SQL PLANTIO'!T:T,"verificar",0),"")</f>
        <v/>
      </c>
      <c r="I753" s="77" t="str">
        <f>IF(_xlfn.MINIFS('BASE SQL PLANTIO'!E:E,'BASE SQL PLANTIO'!B:B,VOOS!A753)=0/1/1900,"",_xlfn.MINIFS('BASE SQL PLANTIO'!E:E,'BASE SQL PLANTIO'!B:B,VOOS!A753))</f>
        <v/>
      </c>
      <c r="J753" s="22"/>
      <c r="K753" s="34" t="str">
        <f t="shared" si="34"/>
        <v/>
      </c>
      <c r="L753" s="35" t="str">
        <f t="shared" si="35"/>
        <v/>
      </c>
      <c r="M753" s="14"/>
      <c r="N753" s="15"/>
    </row>
    <row r="754" spans="1:14" ht="15.6" x14ac:dyDescent="0.3">
      <c r="A754" s="13" t="str">
        <f t="shared" si="33"/>
        <v>-</v>
      </c>
      <c r="B754" s="27"/>
      <c r="C754" s="26"/>
      <c r="D754" s="26"/>
      <c r="E754" s="26"/>
      <c r="F754" s="26"/>
      <c r="G754" s="34">
        <f>SUMIFS('BASE EXEC. Q.L'!N:N,'BASE EXEC. Q.L'!B:B,VOOS!A754)</f>
        <v>0</v>
      </c>
      <c r="H754" s="15" t="str">
        <f>IFERROR(_xlfn.XLOOKUP(A754,'BASE SQL PLANTIO'!B:B,'BASE SQL PLANTIO'!T:T,"verificar",0),"")</f>
        <v/>
      </c>
      <c r="I754" s="77" t="str">
        <f>IF(_xlfn.MINIFS('BASE SQL PLANTIO'!E:E,'BASE SQL PLANTIO'!B:B,VOOS!A754)=0/1/1900,"",_xlfn.MINIFS('BASE SQL PLANTIO'!E:E,'BASE SQL PLANTIO'!B:B,VOOS!A754))</f>
        <v/>
      </c>
      <c r="J754" s="26"/>
      <c r="K754" s="34" t="str">
        <f t="shared" si="34"/>
        <v/>
      </c>
      <c r="L754" s="35" t="str">
        <f t="shared" si="35"/>
        <v/>
      </c>
      <c r="M754" s="14"/>
      <c r="N754" s="16"/>
    </row>
    <row r="755" spans="1:14" ht="15.6" x14ac:dyDescent="0.3">
      <c r="A755" s="13" t="str">
        <f t="shared" si="33"/>
        <v>-</v>
      </c>
      <c r="B755" s="27"/>
      <c r="C755" s="26"/>
      <c r="D755" s="26"/>
      <c r="E755" s="26"/>
      <c r="F755" s="26"/>
      <c r="G755" s="34">
        <f>SUMIFS('BASE EXEC. Q.L'!N:N,'BASE EXEC. Q.L'!B:B,VOOS!A755)</f>
        <v>0</v>
      </c>
      <c r="H755" s="15" t="str">
        <f>IFERROR(_xlfn.XLOOKUP(A755,'BASE SQL PLANTIO'!B:B,'BASE SQL PLANTIO'!T:T,"verificar",0),"")</f>
        <v/>
      </c>
      <c r="I755" s="77" t="str">
        <f>IF(_xlfn.MINIFS('BASE SQL PLANTIO'!E:E,'BASE SQL PLANTIO'!B:B,VOOS!A755)=0/1/1900,"",_xlfn.MINIFS('BASE SQL PLANTIO'!E:E,'BASE SQL PLANTIO'!B:B,VOOS!A755))</f>
        <v/>
      </c>
      <c r="J755" s="26"/>
      <c r="K755" s="34" t="str">
        <f t="shared" si="34"/>
        <v/>
      </c>
      <c r="L755" s="35" t="str">
        <f t="shared" si="35"/>
        <v/>
      </c>
      <c r="M755" s="14"/>
      <c r="N755" s="16"/>
    </row>
    <row r="756" spans="1:14" ht="15.6" x14ac:dyDescent="0.3">
      <c r="A756" s="13" t="str">
        <f t="shared" si="33"/>
        <v>-</v>
      </c>
      <c r="B756" s="27"/>
      <c r="C756" s="22"/>
      <c r="D756" s="23"/>
      <c r="E756" s="23"/>
      <c r="F756" s="22"/>
      <c r="G756" s="34">
        <f>SUMIFS('BASE EXEC. Q.L'!N:N,'BASE EXEC. Q.L'!B:B,VOOS!A756)</f>
        <v>0</v>
      </c>
      <c r="H756" s="15" t="str">
        <f>IFERROR(_xlfn.XLOOKUP(A756,'BASE SQL PLANTIO'!B:B,'BASE SQL PLANTIO'!T:T,"verificar",0),"")</f>
        <v/>
      </c>
      <c r="I756" s="77" t="str">
        <f>IF(_xlfn.MINIFS('BASE SQL PLANTIO'!E:E,'BASE SQL PLANTIO'!B:B,VOOS!A756)=0/1/1900,"",_xlfn.MINIFS('BASE SQL PLANTIO'!E:E,'BASE SQL PLANTIO'!B:B,VOOS!A756))</f>
        <v/>
      </c>
      <c r="J756" s="22"/>
      <c r="K756" s="34" t="str">
        <f t="shared" si="34"/>
        <v/>
      </c>
      <c r="L756" s="35" t="str">
        <f t="shared" si="35"/>
        <v/>
      </c>
      <c r="M756" s="14"/>
      <c r="N756" s="16"/>
    </row>
    <row r="757" spans="1:14" ht="15.6" x14ac:dyDescent="0.3">
      <c r="A757" s="13" t="str">
        <f t="shared" si="33"/>
        <v>-</v>
      </c>
      <c r="B757" s="27"/>
      <c r="C757" s="26"/>
      <c r="D757" s="26"/>
      <c r="E757" s="26"/>
      <c r="F757" s="26"/>
      <c r="G757" s="34">
        <f>SUMIFS('BASE EXEC. Q.L'!N:N,'BASE EXEC. Q.L'!B:B,VOOS!A757)</f>
        <v>0</v>
      </c>
      <c r="H757" s="15" t="str">
        <f>IFERROR(_xlfn.XLOOKUP(A757,'BASE SQL PLANTIO'!B:B,'BASE SQL PLANTIO'!T:T,"verificar",0),"")</f>
        <v/>
      </c>
      <c r="I757" s="77" t="str">
        <f>IF(_xlfn.MINIFS('BASE SQL PLANTIO'!E:E,'BASE SQL PLANTIO'!B:B,VOOS!A757)=0/1/1900,"",_xlfn.MINIFS('BASE SQL PLANTIO'!E:E,'BASE SQL PLANTIO'!B:B,VOOS!A757))</f>
        <v/>
      </c>
      <c r="J757" s="26"/>
      <c r="K757" s="34" t="str">
        <f t="shared" si="34"/>
        <v/>
      </c>
      <c r="L757" s="35" t="str">
        <f t="shared" si="35"/>
        <v/>
      </c>
      <c r="M757" s="14"/>
      <c r="N757" s="16"/>
    </row>
    <row r="758" spans="1:14" ht="15.6" x14ac:dyDescent="0.3">
      <c r="A758" s="13" t="str">
        <f t="shared" si="33"/>
        <v>-</v>
      </c>
      <c r="B758" s="27"/>
      <c r="C758" s="26"/>
      <c r="D758" s="26"/>
      <c r="E758" s="26"/>
      <c r="F758" s="26"/>
      <c r="G758" s="34">
        <f>SUMIFS('BASE EXEC. Q.L'!N:N,'BASE EXEC. Q.L'!B:B,VOOS!A758)</f>
        <v>0</v>
      </c>
      <c r="H758" s="15" t="str">
        <f>IFERROR(_xlfn.XLOOKUP(A758,'BASE SQL PLANTIO'!B:B,'BASE SQL PLANTIO'!T:T,"verificar",0),"")</f>
        <v/>
      </c>
      <c r="I758" s="77" t="str">
        <f>IF(_xlfn.MINIFS('BASE SQL PLANTIO'!E:E,'BASE SQL PLANTIO'!B:B,VOOS!A758)=0/1/1900,"",_xlfn.MINIFS('BASE SQL PLANTIO'!E:E,'BASE SQL PLANTIO'!B:B,VOOS!A758))</f>
        <v/>
      </c>
      <c r="J758" s="26"/>
      <c r="K758" s="34" t="str">
        <f t="shared" si="34"/>
        <v/>
      </c>
      <c r="L758" s="35" t="str">
        <f t="shared" si="35"/>
        <v/>
      </c>
      <c r="M758" s="14"/>
      <c r="N758" s="16"/>
    </row>
    <row r="759" spans="1:14" ht="15.6" x14ac:dyDescent="0.3">
      <c r="A759" s="13" t="str">
        <f t="shared" si="33"/>
        <v>-</v>
      </c>
      <c r="B759" s="27"/>
      <c r="C759" s="26"/>
      <c r="D759" s="26"/>
      <c r="E759" s="26"/>
      <c r="F759" s="26"/>
      <c r="G759" s="34">
        <f>SUMIFS('BASE EXEC. Q.L'!N:N,'BASE EXEC. Q.L'!B:B,VOOS!A759)</f>
        <v>0</v>
      </c>
      <c r="H759" s="15" t="str">
        <f>IFERROR(_xlfn.XLOOKUP(A759,'BASE SQL PLANTIO'!B:B,'BASE SQL PLANTIO'!T:T,"verificar",0),"")</f>
        <v/>
      </c>
      <c r="I759" s="77" t="str">
        <f>IF(_xlfn.MINIFS('BASE SQL PLANTIO'!E:E,'BASE SQL PLANTIO'!B:B,VOOS!A759)=0/1/1900,"",_xlfn.MINIFS('BASE SQL PLANTIO'!E:E,'BASE SQL PLANTIO'!B:B,VOOS!A759))</f>
        <v/>
      </c>
      <c r="J759" s="26"/>
      <c r="K759" s="34" t="str">
        <f t="shared" si="34"/>
        <v/>
      </c>
      <c r="L759" s="35" t="str">
        <f t="shared" si="35"/>
        <v/>
      </c>
      <c r="M759" s="14"/>
      <c r="N759" s="16"/>
    </row>
    <row r="760" spans="1:14" ht="15.6" x14ac:dyDescent="0.3">
      <c r="A760" s="13" t="str">
        <f t="shared" si="33"/>
        <v>-</v>
      </c>
      <c r="B760" s="25"/>
      <c r="C760" s="25"/>
      <c r="D760" s="25"/>
      <c r="E760" s="25"/>
      <c r="F760" s="31"/>
      <c r="G760" s="34">
        <f>SUMIFS('BASE EXEC. Q.L'!N:N,'BASE EXEC. Q.L'!B:B,VOOS!A760)</f>
        <v>0</v>
      </c>
      <c r="H760" s="15" t="str">
        <f>IFERROR(_xlfn.XLOOKUP(A760,'BASE SQL PLANTIO'!B:B,'BASE SQL PLANTIO'!T:T,"verificar",0),"")</f>
        <v/>
      </c>
      <c r="I760" s="77" t="str">
        <f>IF(_xlfn.MINIFS('BASE SQL PLANTIO'!E:E,'BASE SQL PLANTIO'!B:B,VOOS!A760)=0/1/1900,"",_xlfn.MINIFS('BASE SQL PLANTIO'!E:E,'BASE SQL PLANTIO'!B:B,VOOS!A760))</f>
        <v/>
      </c>
      <c r="J760" s="26"/>
      <c r="K760" s="34" t="str">
        <f t="shared" si="34"/>
        <v/>
      </c>
      <c r="L760" s="35" t="str">
        <f t="shared" si="35"/>
        <v/>
      </c>
      <c r="M760" s="14"/>
      <c r="N760" s="16"/>
    </row>
    <row r="761" spans="1:14" ht="15.6" x14ac:dyDescent="0.3">
      <c r="A761" s="13" t="str">
        <f t="shared" si="33"/>
        <v>-</v>
      </c>
      <c r="B761" s="25"/>
      <c r="C761" s="25"/>
      <c r="D761" s="25"/>
      <c r="E761" s="25"/>
      <c r="F761" s="31"/>
      <c r="G761" s="34">
        <f>SUMIFS('BASE EXEC. Q.L'!N:N,'BASE EXEC. Q.L'!B:B,VOOS!A761)</f>
        <v>0</v>
      </c>
      <c r="H761" s="15" t="str">
        <f>IFERROR(_xlfn.XLOOKUP(A761,'BASE SQL PLANTIO'!B:B,'BASE SQL PLANTIO'!T:T,"verificar",0),"")</f>
        <v/>
      </c>
      <c r="I761" s="77" t="str">
        <f>IF(_xlfn.MINIFS('BASE SQL PLANTIO'!E:E,'BASE SQL PLANTIO'!B:B,VOOS!A761)=0/1/1900,"",_xlfn.MINIFS('BASE SQL PLANTIO'!E:E,'BASE SQL PLANTIO'!B:B,VOOS!A761))</f>
        <v/>
      </c>
      <c r="J761" s="26"/>
      <c r="K761" s="34" t="str">
        <f t="shared" si="34"/>
        <v/>
      </c>
      <c r="L761" s="35" t="str">
        <f t="shared" si="35"/>
        <v/>
      </c>
      <c r="M761" s="14"/>
      <c r="N761" s="16"/>
    </row>
    <row r="762" spans="1:14" ht="15.6" x14ac:dyDescent="0.3">
      <c r="A762" s="13" t="str">
        <f t="shared" si="33"/>
        <v>-</v>
      </c>
      <c r="B762" s="25"/>
      <c r="C762" s="25"/>
      <c r="D762" s="25"/>
      <c r="E762" s="25"/>
      <c r="F762" s="31"/>
      <c r="G762" s="34">
        <f>SUMIFS('BASE EXEC. Q.L'!N:N,'BASE EXEC. Q.L'!B:B,VOOS!A762)</f>
        <v>0</v>
      </c>
      <c r="H762" s="15" t="str">
        <f>IFERROR(_xlfn.XLOOKUP(A762,'BASE SQL PLANTIO'!B:B,'BASE SQL PLANTIO'!T:T,"verificar",0),"")</f>
        <v/>
      </c>
      <c r="I762" s="77" t="str">
        <f>IF(_xlfn.MINIFS('BASE SQL PLANTIO'!E:E,'BASE SQL PLANTIO'!B:B,VOOS!A762)=0/1/1900,"",_xlfn.MINIFS('BASE SQL PLANTIO'!E:E,'BASE SQL PLANTIO'!B:B,VOOS!A762))</f>
        <v/>
      </c>
      <c r="J762" s="26"/>
      <c r="K762" s="34" t="str">
        <f t="shared" si="34"/>
        <v/>
      </c>
      <c r="L762" s="35" t="str">
        <f t="shared" si="35"/>
        <v/>
      </c>
      <c r="M762" s="14"/>
      <c r="N762" s="16"/>
    </row>
    <row r="763" spans="1:14" ht="15.6" x14ac:dyDescent="0.3">
      <c r="A763" s="13" t="str">
        <f t="shared" si="33"/>
        <v>-</v>
      </c>
      <c r="B763" s="27"/>
      <c r="C763" s="26"/>
      <c r="D763" s="26"/>
      <c r="E763" s="26"/>
      <c r="F763" s="26"/>
      <c r="G763" s="34">
        <f>SUMIFS('BASE EXEC. Q.L'!N:N,'BASE EXEC. Q.L'!B:B,VOOS!A763)</f>
        <v>0</v>
      </c>
      <c r="H763" s="15" t="str">
        <f>IFERROR(_xlfn.XLOOKUP(A763,'BASE SQL PLANTIO'!B:B,'BASE SQL PLANTIO'!T:T,"verificar",0),"")</f>
        <v/>
      </c>
      <c r="I763" s="77" t="str">
        <f>IF(_xlfn.MINIFS('BASE SQL PLANTIO'!E:E,'BASE SQL PLANTIO'!B:B,VOOS!A763)=0/1/1900,"",_xlfn.MINIFS('BASE SQL PLANTIO'!E:E,'BASE SQL PLANTIO'!B:B,VOOS!A763))</f>
        <v/>
      </c>
      <c r="J763" s="26"/>
      <c r="K763" s="34" t="str">
        <f t="shared" si="34"/>
        <v/>
      </c>
      <c r="L763" s="35" t="str">
        <f t="shared" si="35"/>
        <v/>
      </c>
      <c r="M763" s="14"/>
      <c r="N763" s="16"/>
    </row>
    <row r="764" spans="1:14" ht="15.6" x14ac:dyDescent="0.3">
      <c r="A764" s="13" t="str">
        <f t="shared" si="33"/>
        <v>-</v>
      </c>
      <c r="B764" s="27"/>
      <c r="C764" s="26"/>
      <c r="D764" s="26"/>
      <c r="E764" s="26"/>
      <c r="F764" s="26"/>
      <c r="G764" s="34">
        <f>SUMIFS('BASE EXEC. Q.L'!N:N,'BASE EXEC. Q.L'!B:B,VOOS!A764)</f>
        <v>0</v>
      </c>
      <c r="H764" s="15" t="str">
        <f>IFERROR(_xlfn.XLOOKUP(A764,'BASE SQL PLANTIO'!B:B,'BASE SQL PLANTIO'!T:T,"verificar",0),"")</f>
        <v/>
      </c>
      <c r="I764" s="77" t="str">
        <f>IF(_xlfn.MINIFS('BASE SQL PLANTIO'!E:E,'BASE SQL PLANTIO'!B:B,VOOS!A764)=0/1/1900,"",_xlfn.MINIFS('BASE SQL PLANTIO'!E:E,'BASE SQL PLANTIO'!B:B,VOOS!A764))</f>
        <v/>
      </c>
      <c r="J764" s="26"/>
      <c r="K764" s="34" t="str">
        <f t="shared" si="34"/>
        <v/>
      </c>
      <c r="L764" s="35" t="str">
        <f t="shared" si="35"/>
        <v/>
      </c>
      <c r="M764" s="14"/>
      <c r="N764" s="16"/>
    </row>
    <row r="765" spans="1:14" ht="15.6" x14ac:dyDescent="0.3">
      <c r="A765" s="13" t="str">
        <f t="shared" si="33"/>
        <v>-</v>
      </c>
      <c r="B765" s="25"/>
      <c r="C765" s="25"/>
      <c r="D765" s="25"/>
      <c r="E765" s="25"/>
      <c r="F765" s="31"/>
      <c r="G765" s="34">
        <f>SUMIFS('BASE EXEC. Q.L'!N:N,'BASE EXEC. Q.L'!B:B,VOOS!A765)</f>
        <v>0</v>
      </c>
      <c r="H765" s="15" t="str">
        <f>IFERROR(_xlfn.XLOOKUP(A765,'BASE SQL PLANTIO'!B:B,'BASE SQL PLANTIO'!T:T,"verificar",0),"")</f>
        <v/>
      </c>
      <c r="I765" s="77" t="str">
        <f>IF(_xlfn.MINIFS('BASE SQL PLANTIO'!E:E,'BASE SQL PLANTIO'!B:B,VOOS!A765)=0/1/1900,"",_xlfn.MINIFS('BASE SQL PLANTIO'!E:E,'BASE SQL PLANTIO'!B:B,VOOS!A765))</f>
        <v/>
      </c>
      <c r="J765" s="26"/>
      <c r="K765" s="34" t="str">
        <f t="shared" si="34"/>
        <v/>
      </c>
      <c r="L765" s="35" t="str">
        <f t="shared" si="35"/>
        <v/>
      </c>
      <c r="M765" s="14"/>
      <c r="N765" s="16"/>
    </row>
    <row r="766" spans="1:14" ht="15.6" x14ac:dyDescent="0.3">
      <c r="A766" s="13" t="str">
        <f t="shared" si="33"/>
        <v>-</v>
      </c>
      <c r="B766" s="25"/>
      <c r="C766" s="25"/>
      <c r="D766" s="25"/>
      <c r="E766" s="25"/>
      <c r="F766" s="31"/>
      <c r="G766" s="34">
        <f>SUMIFS('BASE EXEC. Q.L'!N:N,'BASE EXEC. Q.L'!B:B,VOOS!A766)</f>
        <v>0</v>
      </c>
      <c r="H766" s="15" t="str">
        <f>IFERROR(_xlfn.XLOOKUP(A766,'BASE SQL PLANTIO'!B:B,'BASE SQL PLANTIO'!T:T,"verificar",0),"")</f>
        <v/>
      </c>
      <c r="I766" s="77" t="str">
        <f>IF(_xlfn.MINIFS('BASE SQL PLANTIO'!E:E,'BASE SQL PLANTIO'!B:B,VOOS!A766)=0/1/1900,"",_xlfn.MINIFS('BASE SQL PLANTIO'!E:E,'BASE SQL PLANTIO'!B:B,VOOS!A766))</f>
        <v/>
      </c>
      <c r="J766" s="26"/>
      <c r="K766" s="34" t="str">
        <f t="shared" si="34"/>
        <v/>
      </c>
      <c r="L766" s="35" t="str">
        <f t="shared" si="35"/>
        <v/>
      </c>
      <c r="M766" s="14"/>
      <c r="N766" s="16"/>
    </row>
    <row r="767" spans="1:14" ht="15.6" x14ac:dyDescent="0.3">
      <c r="A767" s="13" t="str">
        <f t="shared" si="33"/>
        <v>-</v>
      </c>
      <c r="B767" s="25"/>
      <c r="C767" s="25"/>
      <c r="D767" s="25"/>
      <c r="E767" s="25"/>
      <c r="F767" s="31"/>
      <c r="G767" s="34">
        <f>SUMIFS('BASE EXEC. Q.L'!N:N,'BASE EXEC. Q.L'!B:B,VOOS!A767)</f>
        <v>0</v>
      </c>
      <c r="H767" s="15" t="str">
        <f>IFERROR(_xlfn.XLOOKUP(A767,'BASE SQL PLANTIO'!B:B,'BASE SQL PLANTIO'!T:T,"verificar",0),"")</f>
        <v/>
      </c>
      <c r="I767" s="77" t="str">
        <f>IF(_xlfn.MINIFS('BASE SQL PLANTIO'!E:E,'BASE SQL PLANTIO'!B:B,VOOS!A767)=0/1/1900,"",_xlfn.MINIFS('BASE SQL PLANTIO'!E:E,'BASE SQL PLANTIO'!B:B,VOOS!A767))</f>
        <v/>
      </c>
      <c r="J767" s="26"/>
      <c r="K767" s="34" t="str">
        <f t="shared" si="34"/>
        <v/>
      </c>
      <c r="L767" s="35" t="str">
        <f t="shared" si="35"/>
        <v/>
      </c>
      <c r="M767" s="14"/>
      <c r="N767" s="16"/>
    </row>
    <row r="768" spans="1:14" ht="15.6" x14ac:dyDescent="0.3">
      <c r="A768" s="13" t="str">
        <f t="shared" si="33"/>
        <v>-</v>
      </c>
      <c r="B768" s="27"/>
      <c r="C768" s="26"/>
      <c r="D768" s="26"/>
      <c r="E768" s="26"/>
      <c r="F768" s="26"/>
      <c r="G768" s="34">
        <f>SUMIFS('BASE EXEC. Q.L'!N:N,'BASE EXEC. Q.L'!B:B,VOOS!A768)</f>
        <v>0</v>
      </c>
      <c r="H768" s="15" t="str">
        <f>IFERROR(_xlfn.XLOOKUP(A768,'BASE SQL PLANTIO'!B:B,'BASE SQL PLANTIO'!T:T,"verificar",0),"")</f>
        <v/>
      </c>
      <c r="I768" s="77" t="str">
        <f>IF(_xlfn.MINIFS('BASE SQL PLANTIO'!E:E,'BASE SQL PLANTIO'!B:B,VOOS!A768)=0/1/1900,"",_xlfn.MINIFS('BASE SQL PLANTIO'!E:E,'BASE SQL PLANTIO'!B:B,VOOS!A768))</f>
        <v/>
      </c>
      <c r="J768" s="26"/>
      <c r="K768" s="34" t="str">
        <f t="shared" si="34"/>
        <v/>
      </c>
      <c r="L768" s="35" t="str">
        <f t="shared" si="35"/>
        <v/>
      </c>
      <c r="M768" s="14"/>
      <c r="N768" s="16"/>
    </row>
    <row r="769" spans="1:14" ht="15.6" x14ac:dyDescent="0.3">
      <c r="A769" s="13" t="str">
        <f t="shared" si="33"/>
        <v>-</v>
      </c>
      <c r="B769" s="25"/>
      <c r="C769" s="25"/>
      <c r="D769" s="25"/>
      <c r="E769" s="25"/>
      <c r="F769" s="31"/>
      <c r="G769" s="34">
        <f>SUMIFS('BASE EXEC. Q.L'!N:N,'BASE EXEC. Q.L'!B:B,VOOS!A769)</f>
        <v>0</v>
      </c>
      <c r="H769" s="15" t="str">
        <f>IFERROR(_xlfn.XLOOKUP(A769,'BASE SQL PLANTIO'!B:B,'BASE SQL PLANTIO'!T:T,"verificar",0),"")</f>
        <v/>
      </c>
      <c r="I769" s="77" t="str">
        <f>IF(_xlfn.MINIFS('BASE SQL PLANTIO'!E:E,'BASE SQL PLANTIO'!B:B,VOOS!A769)=0/1/1900,"",_xlfn.MINIFS('BASE SQL PLANTIO'!E:E,'BASE SQL PLANTIO'!B:B,VOOS!A769))</f>
        <v/>
      </c>
      <c r="J769" s="26"/>
      <c r="K769" s="34" t="str">
        <f t="shared" si="34"/>
        <v/>
      </c>
      <c r="L769" s="35" t="str">
        <f t="shared" si="35"/>
        <v/>
      </c>
      <c r="M769" s="14"/>
      <c r="N769" s="16"/>
    </row>
    <row r="770" spans="1:14" ht="15.6" x14ac:dyDescent="0.3">
      <c r="A770" s="13" t="str">
        <f t="shared" si="33"/>
        <v>-</v>
      </c>
      <c r="B770" s="27"/>
      <c r="C770" s="26"/>
      <c r="D770" s="26"/>
      <c r="E770" s="26"/>
      <c r="F770" s="26"/>
      <c r="G770" s="34">
        <f>SUMIFS('BASE EXEC. Q.L'!N:N,'BASE EXEC. Q.L'!B:B,VOOS!A770)</f>
        <v>0</v>
      </c>
      <c r="H770" s="15" t="str">
        <f>IFERROR(_xlfn.XLOOKUP(A770,'BASE SQL PLANTIO'!B:B,'BASE SQL PLANTIO'!T:T,"verificar",0),"")</f>
        <v/>
      </c>
      <c r="I770" s="77" t="str">
        <f>IF(_xlfn.MINIFS('BASE SQL PLANTIO'!E:E,'BASE SQL PLANTIO'!B:B,VOOS!A770)=0/1/1900,"",_xlfn.MINIFS('BASE SQL PLANTIO'!E:E,'BASE SQL PLANTIO'!B:B,VOOS!A770))</f>
        <v/>
      </c>
      <c r="J770" s="26"/>
      <c r="K770" s="34" t="str">
        <f t="shared" si="34"/>
        <v/>
      </c>
      <c r="L770" s="35" t="str">
        <f t="shared" si="35"/>
        <v/>
      </c>
      <c r="M770" s="14"/>
      <c r="N770" s="16"/>
    </row>
    <row r="771" spans="1:14" ht="15.6" x14ac:dyDescent="0.3">
      <c r="A771" s="13" t="str">
        <f t="shared" si="33"/>
        <v>-</v>
      </c>
      <c r="B771" s="27"/>
      <c r="C771" s="26"/>
      <c r="D771" s="26"/>
      <c r="E771" s="26"/>
      <c r="F771" s="26"/>
      <c r="G771" s="34">
        <f>SUMIFS('BASE EXEC. Q.L'!N:N,'BASE EXEC. Q.L'!B:B,VOOS!A771)</f>
        <v>0</v>
      </c>
      <c r="H771" s="15" t="str">
        <f>IFERROR(_xlfn.XLOOKUP(A771,'BASE SQL PLANTIO'!B:B,'BASE SQL PLANTIO'!T:T,"verificar",0),"")</f>
        <v/>
      </c>
      <c r="I771" s="77" t="str">
        <f>IF(_xlfn.MINIFS('BASE SQL PLANTIO'!E:E,'BASE SQL PLANTIO'!B:B,VOOS!A771)=0/1/1900,"",_xlfn.MINIFS('BASE SQL PLANTIO'!E:E,'BASE SQL PLANTIO'!B:B,VOOS!A771))</f>
        <v/>
      </c>
      <c r="J771" s="26"/>
      <c r="K771" s="34" t="str">
        <f t="shared" si="34"/>
        <v/>
      </c>
      <c r="L771" s="35" t="str">
        <f t="shared" si="35"/>
        <v/>
      </c>
      <c r="M771" s="14"/>
      <c r="N771" s="16"/>
    </row>
    <row r="772" spans="1:14" ht="15.6" x14ac:dyDescent="0.3">
      <c r="A772" s="13" t="str">
        <f t="shared" si="33"/>
        <v>-</v>
      </c>
      <c r="B772" s="27"/>
      <c r="C772" s="26"/>
      <c r="D772" s="26"/>
      <c r="E772" s="26"/>
      <c r="F772" s="26"/>
      <c r="G772" s="34">
        <f>SUMIFS('BASE EXEC. Q.L'!N:N,'BASE EXEC. Q.L'!B:B,VOOS!A772)</f>
        <v>0</v>
      </c>
      <c r="H772" s="15" t="str">
        <f>IFERROR(_xlfn.XLOOKUP(A772,'BASE SQL PLANTIO'!B:B,'BASE SQL PLANTIO'!T:T,"verificar",0),"")</f>
        <v/>
      </c>
      <c r="I772" s="77" t="str">
        <f>IF(_xlfn.MINIFS('BASE SQL PLANTIO'!E:E,'BASE SQL PLANTIO'!B:B,VOOS!A772)=0/1/1900,"",_xlfn.MINIFS('BASE SQL PLANTIO'!E:E,'BASE SQL PLANTIO'!B:B,VOOS!A772))</f>
        <v/>
      </c>
      <c r="J772" s="26"/>
      <c r="K772" s="34" t="str">
        <f t="shared" si="34"/>
        <v/>
      </c>
      <c r="L772" s="35" t="str">
        <f t="shared" si="35"/>
        <v/>
      </c>
      <c r="M772" s="14"/>
      <c r="N772" s="16"/>
    </row>
    <row r="773" spans="1:14" ht="15.6" x14ac:dyDescent="0.3">
      <c r="A773" s="13" t="str">
        <f t="shared" ref="A773:A836" si="36">CONCATENATE(B773,"-",E773)</f>
        <v>-</v>
      </c>
      <c r="B773" s="27"/>
      <c r="C773" s="26"/>
      <c r="D773" s="26"/>
      <c r="E773" s="26"/>
      <c r="F773" s="26"/>
      <c r="G773" s="34">
        <f>SUMIFS('BASE EXEC. Q.L'!N:N,'BASE EXEC. Q.L'!B:B,VOOS!A773)</f>
        <v>0</v>
      </c>
      <c r="H773" s="15" t="str">
        <f>IFERROR(_xlfn.XLOOKUP(A773,'BASE SQL PLANTIO'!B:B,'BASE SQL PLANTIO'!T:T,"verificar",0),"")</f>
        <v/>
      </c>
      <c r="I773" s="77" t="str">
        <f>IF(_xlfn.MINIFS('BASE SQL PLANTIO'!E:E,'BASE SQL PLANTIO'!B:B,VOOS!A773)=0/1/1900,"",_xlfn.MINIFS('BASE SQL PLANTIO'!E:E,'BASE SQL PLANTIO'!B:B,VOOS!A773))</f>
        <v/>
      </c>
      <c r="J773" s="26"/>
      <c r="K773" s="34" t="str">
        <f t="shared" ref="K773:K836" si="37">IF(I773="","",$K$3-I773)</f>
        <v/>
      </c>
      <c r="L773" s="35" t="str">
        <f t="shared" ref="L773:L836" si="38">K773</f>
        <v/>
      </c>
      <c r="M773" s="14"/>
      <c r="N773" s="16"/>
    </row>
    <row r="774" spans="1:14" ht="15.6" x14ac:dyDescent="0.3">
      <c r="A774" s="13" t="str">
        <f t="shared" si="36"/>
        <v>-</v>
      </c>
      <c r="B774" s="27"/>
      <c r="C774" s="26"/>
      <c r="D774" s="26"/>
      <c r="E774" s="26"/>
      <c r="F774" s="26"/>
      <c r="G774" s="34">
        <f>SUMIFS('BASE EXEC. Q.L'!N:N,'BASE EXEC. Q.L'!B:B,VOOS!A774)</f>
        <v>0</v>
      </c>
      <c r="H774" s="15" t="str">
        <f>IFERROR(_xlfn.XLOOKUP(A774,'BASE SQL PLANTIO'!B:B,'BASE SQL PLANTIO'!T:T,"verificar",0),"")</f>
        <v/>
      </c>
      <c r="I774" s="77" t="str">
        <f>IF(_xlfn.MINIFS('BASE SQL PLANTIO'!E:E,'BASE SQL PLANTIO'!B:B,VOOS!A774)=0/1/1900,"",_xlfn.MINIFS('BASE SQL PLANTIO'!E:E,'BASE SQL PLANTIO'!B:B,VOOS!A774))</f>
        <v/>
      </c>
      <c r="J774" s="26"/>
      <c r="K774" s="34" t="str">
        <f t="shared" si="37"/>
        <v/>
      </c>
      <c r="L774" s="35" t="str">
        <f t="shared" si="38"/>
        <v/>
      </c>
      <c r="M774" s="14"/>
      <c r="N774" s="15"/>
    </row>
    <row r="775" spans="1:14" ht="15.6" x14ac:dyDescent="0.3">
      <c r="A775" s="13" t="str">
        <f t="shared" si="36"/>
        <v>-</v>
      </c>
      <c r="B775" s="27"/>
      <c r="C775" s="26"/>
      <c r="D775" s="26"/>
      <c r="E775" s="26"/>
      <c r="F775" s="26"/>
      <c r="G775" s="34">
        <f>SUMIFS('BASE EXEC. Q.L'!N:N,'BASE EXEC. Q.L'!B:B,VOOS!A775)</f>
        <v>0</v>
      </c>
      <c r="H775" s="15" t="str">
        <f>IFERROR(_xlfn.XLOOKUP(A775,'BASE SQL PLANTIO'!B:B,'BASE SQL PLANTIO'!T:T,"verificar",0),"")</f>
        <v/>
      </c>
      <c r="I775" s="77" t="str">
        <f>IF(_xlfn.MINIFS('BASE SQL PLANTIO'!E:E,'BASE SQL PLANTIO'!B:B,VOOS!A775)=0/1/1900,"",_xlfn.MINIFS('BASE SQL PLANTIO'!E:E,'BASE SQL PLANTIO'!B:B,VOOS!A775))</f>
        <v/>
      </c>
      <c r="J775" s="26"/>
      <c r="K775" s="34" t="str">
        <f t="shared" si="37"/>
        <v/>
      </c>
      <c r="L775" s="35" t="str">
        <f t="shared" si="38"/>
        <v/>
      </c>
      <c r="M775" s="14"/>
      <c r="N775" s="16"/>
    </row>
    <row r="776" spans="1:14" ht="15.6" x14ac:dyDescent="0.3">
      <c r="A776" s="13" t="str">
        <f t="shared" si="36"/>
        <v>-</v>
      </c>
      <c r="B776" s="27"/>
      <c r="C776" s="22"/>
      <c r="D776" s="23"/>
      <c r="E776" s="23"/>
      <c r="F776" s="22"/>
      <c r="G776" s="34">
        <f>SUMIFS('BASE EXEC. Q.L'!N:N,'BASE EXEC. Q.L'!B:B,VOOS!A776)</f>
        <v>0</v>
      </c>
      <c r="H776" s="15" t="str">
        <f>IFERROR(_xlfn.XLOOKUP(A776,'BASE SQL PLANTIO'!B:B,'BASE SQL PLANTIO'!T:T,"verificar",0),"")</f>
        <v/>
      </c>
      <c r="I776" s="77" t="str">
        <f>IF(_xlfn.MINIFS('BASE SQL PLANTIO'!E:E,'BASE SQL PLANTIO'!B:B,VOOS!A776)=0/1/1900,"",_xlfn.MINIFS('BASE SQL PLANTIO'!E:E,'BASE SQL PLANTIO'!B:B,VOOS!A776))</f>
        <v/>
      </c>
      <c r="J776" s="22"/>
      <c r="K776" s="34" t="str">
        <f t="shared" si="37"/>
        <v/>
      </c>
      <c r="L776" s="35" t="str">
        <f t="shared" si="38"/>
        <v/>
      </c>
      <c r="M776" s="14"/>
      <c r="N776" s="16"/>
    </row>
    <row r="777" spans="1:14" ht="15.6" x14ac:dyDescent="0.3">
      <c r="A777" s="13" t="str">
        <f t="shared" si="36"/>
        <v>-</v>
      </c>
      <c r="B777" s="27"/>
      <c r="C777" s="26"/>
      <c r="D777" s="26"/>
      <c r="E777" s="26"/>
      <c r="F777" s="26"/>
      <c r="G777" s="34">
        <f>SUMIFS('BASE EXEC. Q.L'!N:N,'BASE EXEC. Q.L'!B:B,VOOS!A777)</f>
        <v>0</v>
      </c>
      <c r="H777" s="15" t="str">
        <f>IFERROR(_xlfn.XLOOKUP(A777,'BASE SQL PLANTIO'!B:B,'BASE SQL PLANTIO'!T:T,"verificar",0),"")</f>
        <v/>
      </c>
      <c r="I777" s="77" t="str">
        <f>IF(_xlfn.MINIFS('BASE SQL PLANTIO'!E:E,'BASE SQL PLANTIO'!B:B,VOOS!A777)=0/1/1900,"",_xlfn.MINIFS('BASE SQL PLANTIO'!E:E,'BASE SQL PLANTIO'!B:B,VOOS!A777))</f>
        <v/>
      </c>
      <c r="J777" s="26"/>
      <c r="K777" s="34" t="str">
        <f t="shared" si="37"/>
        <v/>
      </c>
      <c r="L777" s="35" t="str">
        <f t="shared" si="38"/>
        <v/>
      </c>
      <c r="M777" s="14"/>
      <c r="N777" s="16"/>
    </row>
    <row r="778" spans="1:14" ht="15.6" x14ac:dyDescent="0.3">
      <c r="A778" s="13" t="str">
        <f t="shared" si="36"/>
        <v>-</v>
      </c>
      <c r="B778" s="27"/>
      <c r="C778" s="26"/>
      <c r="D778" s="26"/>
      <c r="E778" s="26"/>
      <c r="F778" s="26"/>
      <c r="G778" s="34">
        <f>SUMIFS('BASE EXEC. Q.L'!N:N,'BASE EXEC. Q.L'!B:B,VOOS!A778)</f>
        <v>0</v>
      </c>
      <c r="H778" s="15" t="str">
        <f>IFERROR(_xlfn.XLOOKUP(A778,'BASE SQL PLANTIO'!B:B,'BASE SQL PLANTIO'!T:T,"verificar",0),"")</f>
        <v/>
      </c>
      <c r="I778" s="77" t="str">
        <f>IF(_xlfn.MINIFS('BASE SQL PLANTIO'!E:E,'BASE SQL PLANTIO'!B:B,VOOS!A778)=0/1/1900,"",_xlfn.MINIFS('BASE SQL PLANTIO'!E:E,'BASE SQL PLANTIO'!B:B,VOOS!A778))</f>
        <v/>
      </c>
      <c r="J778" s="26"/>
      <c r="K778" s="34" t="str">
        <f t="shared" si="37"/>
        <v/>
      </c>
      <c r="L778" s="35" t="str">
        <f t="shared" si="38"/>
        <v/>
      </c>
      <c r="M778" s="14"/>
      <c r="N778" s="16"/>
    </row>
    <row r="779" spans="1:14" ht="15.6" x14ac:dyDescent="0.3">
      <c r="A779" s="13" t="str">
        <f t="shared" si="36"/>
        <v>-</v>
      </c>
      <c r="B779" s="27"/>
      <c r="C779" s="26"/>
      <c r="D779" s="26"/>
      <c r="E779" s="26"/>
      <c r="F779" s="26"/>
      <c r="G779" s="34">
        <f>SUMIFS('BASE EXEC. Q.L'!N:N,'BASE EXEC. Q.L'!B:B,VOOS!A779)</f>
        <v>0</v>
      </c>
      <c r="H779" s="15" t="str">
        <f>IFERROR(_xlfn.XLOOKUP(A779,'BASE SQL PLANTIO'!B:B,'BASE SQL PLANTIO'!T:T,"verificar",0),"")</f>
        <v/>
      </c>
      <c r="I779" s="77" t="str">
        <f>IF(_xlfn.MINIFS('BASE SQL PLANTIO'!E:E,'BASE SQL PLANTIO'!B:B,VOOS!A779)=0/1/1900,"",_xlfn.MINIFS('BASE SQL PLANTIO'!E:E,'BASE SQL PLANTIO'!B:B,VOOS!A779))</f>
        <v/>
      </c>
      <c r="J779" s="26"/>
      <c r="K779" s="34" t="str">
        <f t="shared" si="37"/>
        <v/>
      </c>
      <c r="L779" s="35" t="str">
        <f t="shared" si="38"/>
        <v/>
      </c>
      <c r="M779" s="14"/>
      <c r="N779" s="16"/>
    </row>
    <row r="780" spans="1:14" ht="15.6" x14ac:dyDescent="0.3">
      <c r="A780" s="13" t="str">
        <f t="shared" si="36"/>
        <v>-</v>
      </c>
      <c r="B780" s="27"/>
      <c r="C780" s="26"/>
      <c r="D780" s="26"/>
      <c r="E780" s="26"/>
      <c r="F780" s="26"/>
      <c r="G780" s="34">
        <f>SUMIFS('BASE EXEC. Q.L'!N:N,'BASE EXEC. Q.L'!B:B,VOOS!A780)</f>
        <v>0</v>
      </c>
      <c r="H780" s="15" t="str">
        <f>IFERROR(_xlfn.XLOOKUP(A780,'BASE SQL PLANTIO'!B:B,'BASE SQL PLANTIO'!T:T,"verificar",0),"")</f>
        <v/>
      </c>
      <c r="I780" s="77" t="str">
        <f>IF(_xlfn.MINIFS('BASE SQL PLANTIO'!E:E,'BASE SQL PLANTIO'!B:B,VOOS!A780)=0/1/1900,"",_xlfn.MINIFS('BASE SQL PLANTIO'!E:E,'BASE SQL PLANTIO'!B:B,VOOS!A780))</f>
        <v/>
      </c>
      <c r="J780" s="26"/>
      <c r="K780" s="34" t="str">
        <f t="shared" si="37"/>
        <v/>
      </c>
      <c r="L780" s="35" t="str">
        <f t="shared" si="38"/>
        <v/>
      </c>
      <c r="M780" s="14"/>
      <c r="N780" s="16"/>
    </row>
    <row r="781" spans="1:14" ht="15.6" x14ac:dyDescent="0.3">
      <c r="A781" s="13" t="str">
        <f t="shared" si="36"/>
        <v>-</v>
      </c>
      <c r="B781" s="27"/>
      <c r="C781" s="26"/>
      <c r="D781" s="26"/>
      <c r="E781" s="26"/>
      <c r="F781" s="26"/>
      <c r="G781" s="34">
        <f>SUMIFS('BASE EXEC. Q.L'!N:N,'BASE EXEC. Q.L'!B:B,VOOS!A781)</f>
        <v>0</v>
      </c>
      <c r="H781" s="15" t="str">
        <f>IFERROR(_xlfn.XLOOKUP(A781,'BASE SQL PLANTIO'!B:B,'BASE SQL PLANTIO'!T:T,"verificar",0),"")</f>
        <v/>
      </c>
      <c r="I781" s="77" t="str">
        <f>IF(_xlfn.MINIFS('BASE SQL PLANTIO'!E:E,'BASE SQL PLANTIO'!B:B,VOOS!A781)=0/1/1900,"",_xlfn.MINIFS('BASE SQL PLANTIO'!E:E,'BASE SQL PLANTIO'!B:B,VOOS!A781))</f>
        <v/>
      </c>
      <c r="J781" s="26"/>
      <c r="K781" s="34" t="str">
        <f t="shared" si="37"/>
        <v/>
      </c>
      <c r="L781" s="35" t="str">
        <f t="shared" si="38"/>
        <v/>
      </c>
      <c r="M781" s="14"/>
      <c r="N781" s="16"/>
    </row>
    <row r="782" spans="1:14" ht="15.6" x14ac:dyDescent="0.3">
      <c r="A782" s="13" t="str">
        <f t="shared" si="36"/>
        <v>-</v>
      </c>
      <c r="B782" s="27"/>
      <c r="C782" s="26"/>
      <c r="D782" s="26"/>
      <c r="E782" s="26"/>
      <c r="F782" s="26"/>
      <c r="G782" s="34">
        <f>SUMIFS('BASE EXEC. Q.L'!N:N,'BASE EXEC. Q.L'!B:B,VOOS!A782)</f>
        <v>0</v>
      </c>
      <c r="H782" s="15" t="str">
        <f>IFERROR(_xlfn.XLOOKUP(A782,'BASE SQL PLANTIO'!B:B,'BASE SQL PLANTIO'!T:T,"verificar",0),"")</f>
        <v/>
      </c>
      <c r="I782" s="77" t="str">
        <f>IF(_xlfn.MINIFS('BASE SQL PLANTIO'!E:E,'BASE SQL PLANTIO'!B:B,VOOS!A782)=0/1/1900,"",_xlfn.MINIFS('BASE SQL PLANTIO'!E:E,'BASE SQL PLANTIO'!B:B,VOOS!A782))</f>
        <v/>
      </c>
      <c r="J782" s="26"/>
      <c r="K782" s="34" t="str">
        <f t="shared" si="37"/>
        <v/>
      </c>
      <c r="L782" s="35" t="str">
        <f t="shared" si="38"/>
        <v/>
      </c>
      <c r="M782" s="14"/>
      <c r="N782" s="16"/>
    </row>
    <row r="783" spans="1:14" ht="15.6" x14ac:dyDescent="0.3">
      <c r="A783" s="13" t="str">
        <f t="shared" si="36"/>
        <v>-</v>
      </c>
      <c r="B783" s="27"/>
      <c r="C783" s="26"/>
      <c r="D783" s="26"/>
      <c r="E783" s="26"/>
      <c r="F783" s="26"/>
      <c r="G783" s="34">
        <f>SUMIFS('BASE EXEC. Q.L'!N:N,'BASE EXEC. Q.L'!B:B,VOOS!A783)</f>
        <v>0</v>
      </c>
      <c r="H783" s="15" t="str">
        <f>IFERROR(_xlfn.XLOOKUP(A783,'BASE SQL PLANTIO'!B:B,'BASE SQL PLANTIO'!T:T,"verificar",0),"")</f>
        <v/>
      </c>
      <c r="I783" s="77" t="str">
        <f>IF(_xlfn.MINIFS('BASE SQL PLANTIO'!E:E,'BASE SQL PLANTIO'!B:B,VOOS!A783)=0/1/1900,"",_xlfn.MINIFS('BASE SQL PLANTIO'!E:E,'BASE SQL PLANTIO'!B:B,VOOS!A783))</f>
        <v/>
      </c>
      <c r="J783" s="26"/>
      <c r="K783" s="34" t="str">
        <f t="shared" si="37"/>
        <v/>
      </c>
      <c r="L783" s="35" t="str">
        <f t="shared" si="38"/>
        <v/>
      </c>
      <c r="M783" s="14"/>
      <c r="N783" s="16"/>
    </row>
    <row r="784" spans="1:14" ht="15.6" x14ac:dyDescent="0.3">
      <c r="A784" s="13" t="str">
        <f t="shared" si="36"/>
        <v>-</v>
      </c>
      <c r="B784" s="25"/>
      <c r="C784" s="25"/>
      <c r="D784" s="25"/>
      <c r="E784" s="25"/>
      <c r="F784" s="31"/>
      <c r="G784" s="34">
        <f>SUMIFS('BASE EXEC. Q.L'!N:N,'BASE EXEC. Q.L'!B:B,VOOS!A784)</f>
        <v>0</v>
      </c>
      <c r="H784" s="15" t="str">
        <f>IFERROR(_xlfn.XLOOKUP(A784,'BASE SQL PLANTIO'!B:B,'BASE SQL PLANTIO'!T:T,"verificar",0),"")</f>
        <v/>
      </c>
      <c r="I784" s="77" t="str">
        <f>IF(_xlfn.MINIFS('BASE SQL PLANTIO'!E:E,'BASE SQL PLANTIO'!B:B,VOOS!A784)=0/1/1900,"",_xlfn.MINIFS('BASE SQL PLANTIO'!E:E,'BASE SQL PLANTIO'!B:B,VOOS!A784))</f>
        <v/>
      </c>
      <c r="J784" s="26"/>
      <c r="K784" s="34" t="str">
        <f t="shared" si="37"/>
        <v/>
      </c>
      <c r="L784" s="35" t="str">
        <f t="shared" si="38"/>
        <v/>
      </c>
      <c r="M784" s="14"/>
      <c r="N784" s="16"/>
    </row>
    <row r="785" spans="1:14" ht="15.6" x14ac:dyDescent="0.3">
      <c r="A785" s="13" t="str">
        <f t="shared" si="36"/>
        <v>-</v>
      </c>
      <c r="B785" s="25"/>
      <c r="C785" s="25"/>
      <c r="D785" s="25"/>
      <c r="E785" s="25"/>
      <c r="F785" s="31"/>
      <c r="G785" s="34">
        <f>SUMIFS('BASE EXEC. Q.L'!N:N,'BASE EXEC. Q.L'!B:B,VOOS!A785)</f>
        <v>0</v>
      </c>
      <c r="H785" s="15" t="str">
        <f>IFERROR(_xlfn.XLOOKUP(A785,'BASE SQL PLANTIO'!B:B,'BASE SQL PLANTIO'!T:T,"verificar",0),"")</f>
        <v/>
      </c>
      <c r="I785" s="77" t="str">
        <f>IF(_xlfn.MINIFS('BASE SQL PLANTIO'!E:E,'BASE SQL PLANTIO'!B:B,VOOS!A785)=0/1/1900,"",_xlfn.MINIFS('BASE SQL PLANTIO'!E:E,'BASE SQL PLANTIO'!B:B,VOOS!A785))</f>
        <v/>
      </c>
      <c r="J785" s="26"/>
      <c r="K785" s="34" t="str">
        <f t="shared" si="37"/>
        <v/>
      </c>
      <c r="L785" s="35" t="str">
        <f t="shared" si="38"/>
        <v/>
      </c>
      <c r="M785" s="14"/>
      <c r="N785" s="15"/>
    </row>
    <row r="786" spans="1:14" ht="15.6" x14ac:dyDescent="0.3">
      <c r="A786" s="13" t="str">
        <f t="shared" si="36"/>
        <v>-</v>
      </c>
      <c r="B786" s="27"/>
      <c r="C786" s="26"/>
      <c r="D786" s="26"/>
      <c r="E786" s="26"/>
      <c r="F786" s="26"/>
      <c r="G786" s="34">
        <f>SUMIFS('BASE EXEC. Q.L'!N:N,'BASE EXEC. Q.L'!B:B,VOOS!A786)</f>
        <v>0</v>
      </c>
      <c r="H786" s="15" t="str">
        <f>IFERROR(_xlfn.XLOOKUP(A786,'BASE SQL PLANTIO'!B:B,'BASE SQL PLANTIO'!T:T,"verificar",0),"")</f>
        <v/>
      </c>
      <c r="I786" s="77" t="str">
        <f>IF(_xlfn.MINIFS('BASE SQL PLANTIO'!E:E,'BASE SQL PLANTIO'!B:B,VOOS!A786)=0/1/1900,"",_xlfn.MINIFS('BASE SQL PLANTIO'!E:E,'BASE SQL PLANTIO'!B:B,VOOS!A786))</f>
        <v/>
      </c>
      <c r="J786" s="26"/>
      <c r="K786" s="34" t="str">
        <f t="shared" si="37"/>
        <v/>
      </c>
      <c r="L786" s="35" t="str">
        <f t="shared" si="38"/>
        <v/>
      </c>
      <c r="M786" s="14"/>
      <c r="N786" s="16"/>
    </row>
    <row r="787" spans="1:14" ht="15.6" x14ac:dyDescent="0.3">
      <c r="A787" s="13" t="str">
        <f t="shared" si="36"/>
        <v>-</v>
      </c>
      <c r="B787" s="27"/>
      <c r="C787" s="26"/>
      <c r="D787" s="26"/>
      <c r="E787" s="26"/>
      <c r="F787" s="26"/>
      <c r="G787" s="34">
        <f>SUMIFS('BASE EXEC. Q.L'!N:N,'BASE EXEC. Q.L'!B:B,VOOS!A787)</f>
        <v>0</v>
      </c>
      <c r="H787" s="15" t="str">
        <f>IFERROR(_xlfn.XLOOKUP(A787,'BASE SQL PLANTIO'!B:B,'BASE SQL PLANTIO'!T:T,"verificar",0),"")</f>
        <v/>
      </c>
      <c r="I787" s="77" t="str">
        <f>IF(_xlfn.MINIFS('BASE SQL PLANTIO'!E:E,'BASE SQL PLANTIO'!B:B,VOOS!A787)=0/1/1900,"",_xlfn.MINIFS('BASE SQL PLANTIO'!E:E,'BASE SQL PLANTIO'!B:B,VOOS!A787))</f>
        <v/>
      </c>
      <c r="J787" s="26"/>
      <c r="K787" s="34" t="str">
        <f t="shared" si="37"/>
        <v/>
      </c>
      <c r="L787" s="35" t="str">
        <f t="shared" si="38"/>
        <v/>
      </c>
      <c r="M787" s="14"/>
      <c r="N787" s="16"/>
    </row>
    <row r="788" spans="1:14" ht="15.6" x14ac:dyDescent="0.3">
      <c r="A788" s="13" t="str">
        <f t="shared" si="36"/>
        <v>-</v>
      </c>
      <c r="B788" s="27"/>
      <c r="C788" s="26"/>
      <c r="D788" s="26"/>
      <c r="E788" s="26"/>
      <c r="F788" s="26"/>
      <c r="G788" s="34">
        <f>SUMIFS('BASE EXEC. Q.L'!N:N,'BASE EXEC. Q.L'!B:B,VOOS!A788)</f>
        <v>0</v>
      </c>
      <c r="H788" s="15" t="str">
        <f>IFERROR(_xlfn.XLOOKUP(A788,'BASE SQL PLANTIO'!B:B,'BASE SQL PLANTIO'!T:T,"verificar",0),"")</f>
        <v/>
      </c>
      <c r="I788" s="77" t="str">
        <f>IF(_xlfn.MINIFS('BASE SQL PLANTIO'!E:E,'BASE SQL PLANTIO'!B:B,VOOS!A788)=0/1/1900,"",_xlfn.MINIFS('BASE SQL PLANTIO'!E:E,'BASE SQL PLANTIO'!B:B,VOOS!A788))</f>
        <v/>
      </c>
      <c r="J788" s="26"/>
      <c r="K788" s="34" t="str">
        <f t="shared" si="37"/>
        <v/>
      </c>
      <c r="L788" s="35" t="str">
        <f t="shared" si="38"/>
        <v/>
      </c>
      <c r="M788" s="14"/>
      <c r="N788" s="16"/>
    </row>
    <row r="789" spans="1:14" ht="15.6" x14ac:dyDescent="0.3">
      <c r="A789" s="13" t="str">
        <f t="shared" si="36"/>
        <v>-</v>
      </c>
      <c r="B789" s="27"/>
      <c r="C789" s="26"/>
      <c r="D789" s="26"/>
      <c r="E789" s="26"/>
      <c r="F789" s="26"/>
      <c r="G789" s="34">
        <f>SUMIFS('BASE EXEC. Q.L'!N:N,'BASE EXEC. Q.L'!B:B,VOOS!A789)</f>
        <v>0</v>
      </c>
      <c r="H789" s="15" t="str">
        <f>IFERROR(_xlfn.XLOOKUP(A789,'BASE SQL PLANTIO'!B:B,'BASE SQL PLANTIO'!T:T,"verificar",0),"")</f>
        <v/>
      </c>
      <c r="I789" s="77" t="str">
        <f>IF(_xlfn.MINIFS('BASE SQL PLANTIO'!E:E,'BASE SQL PLANTIO'!B:B,VOOS!A789)=0/1/1900,"",_xlfn.MINIFS('BASE SQL PLANTIO'!E:E,'BASE SQL PLANTIO'!B:B,VOOS!A789))</f>
        <v/>
      </c>
      <c r="J789" s="26"/>
      <c r="K789" s="34" t="str">
        <f t="shared" si="37"/>
        <v/>
      </c>
      <c r="L789" s="35" t="str">
        <f t="shared" si="38"/>
        <v/>
      </c>
      <c r="M789" s="14"/>
      <c r="N789" s="16"/>
    </row>
    <row r="790" spans="1:14" ht="15.6" x14ac:dyDescent="0.3">
      <c r="A790" s="13" t="str">
        <f t="shared" si="36"/>
        <v>-</v>
      </c>
      <c r="B790" s="25"/>
      <c r="C790" s="25"/>
      <c r="D790" s="25"/>
      <c r="E790" s="25"/>
      <c r="F790" s="31"/>
      <c r="G790" s="34">
        <f>SUMIFS('BASE EXEC. Q.L'!N:N,'BASE EXEC. Q.L'!B:B,VOOS!A790)</f>
        <v>0</v>
      </c>
      <c r="H790" s="15" t="str">
        <f>IFERROR(_xlfn.XLOOKUP(A790,'BASE SQL PLANTIO'!B:B,'BASE SQL PLANTIO'!T:T,"verificar",0),"")</f>
        <v/>
      </c>
      <c r="I790" s="77" t="str">
        <f>IF(_xlfn.MINIFS('BASE SQL PLANTIO'!E:E,'BASE SQL PLANTIO'!B:B,VOOS!A790)=0/1/1900,"",_xlfn.MINIFS('BASE SQL PLANTIO'!E:E,'BASE SQL PLANTIO'!B:B,VOOS!A790))</f>
        <v/>
      </c>
      <c r="J790" s="26"/>
      <c r="K790" s="34" t="str">
        <f t="shared" si="37"/>
        <v/>
      </c>
      <c r="L790" s="35" t="str">
        <f t="shared" si="38"/>
        <v/>
      </c>
      <c r="M790" s="14"/>
      <c r="N790" s="16"/>
    </row>
    <row r="791" spans="1:14" ht="15.6" x14ac:dyDescent="0.3">
      <c r="A791" s="13" t="str">
        <f t="shared" si="36"/>
        <v>-</v>
      </c>
      <c r="B791" s="25"/>
      <c r="C791" s="25"/>
      <c r="D791" s="25"/>
      <c r="E791" s="25"/>
      <c r="F791" s="31"/>
      <c r="G791" s="34">
        <f>SUMIFS('BASE EXEC. Q.L'!N:N,'BASE EXEC. Q.L'!B:B,VOOS!A791)</f>
        <v>0</v>
      </c>
      <c r="H791" s="15" t="str">
        <f>IFERROR(_xlfn.XLOOKUP(A791,'BASE SQL PLANTIO'!B:B,'BASE SQL PLANTIO'!T:T,"verificar",0),"")</f>
        <v/>
      </c>
      <c r="I791" s="77" t="str">
        <f>IF(_xlfn.MINIFS('BASE SQL PLANTIO'!E:E,'BASE SQL PLANTIO'!B:B,VOOS!A791)=0/1/1900,"",_xlfn.MINIFS('BASE SQL PLANTIO'!E:E,'BASE SQL PLANTIO'!B:B,VOOS!A791))</f>
        <v/>
      </c>
      <c r="J791" s="26"/>
      <c r="K791" s="34" t="str">
        <f t="shared" si="37"/>
        <v/>
      </c>
      <c r="L791" s="35" t="str">
        <f t="shared" si="38"/>
        <v/>
      </c>
      <c r="M791" s="14"/>
      <c r="N791" s="16"/>
    </row>
    <row r="792" spans="1:14" ht="15.6" x14ac:dyDescent="0.3">
      <c r="A792" s="13" t="str">
        <f t="shared" si="36"/>
        <v>-</v>
      </c>
      <c r="B792" s="25"/>
      <c r="C792" s="25"/>
      <c r="D792" s="25"/>
      <c r="E792" s="25"/>
      <c r="F792" s="31"/>
      <c r="G792" s="34">
        <f>SUMIFS('BASE EXEC. Q.L'!N:N,'BASE EXEC. Q.L'!B:B,VOOS!A792)</f>
        <v>0</v>
      </c>
      <c r="H792" s="15" t="str">
        <f>IFERROR(_xlfn.XLOOKUP(A792,'BASE SQL PLANTIO'!B:B,'BASE SQL PLANTIO'!T:T,"verificar",0),"")</f>
        <v/>
      </c>
      <c r="I792" s="77" t="str">
        <f>IF(_xlfn.MINIFS('BASE SQL PLANTIO'!E:E,'BASE SQL PLANTIO'!B:B,VOOS!A792)=0/1/1900,"",_xlfn.MINIFS('BASE SQL PLANTIO'!E:E,'BASE SQL PLANTIO'!B:B,VOOS!A792))</f>
        <v/>
      </c>
      <c r="J792" s="26"/>
      <c r="K792" s="34" t="str">
        <f t="shared" si="37"/>
        <v/>
      </c>
      <c r="L792" s="35" t="str">
        <f t="shared" si="38"/>
        <v/>
      </c>
      <c r="M792" s="14"/>
      <c r="N792" s="16"/>
    </row>
    <row r="793" spans="1:14" ht="15.6" x14ac:dyDescent="0.3">
      <c r="A793" s="13" t="str">
        <f t="shared" si="36"/>
        <v>-</v>
      </c>
      <c r="B793" s="27"/>
      <c r="C793" s="26"/>
      <c r="D793" s="26"/>
      <c r="E793" s="26"/>
      <c r="F793" s="26"/>
      <c r="G793" s="34">
        <f>SUMIFS('BASE EXEC. Q.L'!N:N,'BASE EXEC. Q.L'!B:B,VOOS!A793)</f>
        <v>0</v>
      </c>
      <c r="H793" s="15" t="str">
        <f>IFERROR(_xlfn.XLOOKUP(A793,'BASE SQL PLANTIO'!B:B,'BASE SQL PLANTIO'!T:T,"verificar",0),"")</f>
        <v/>
      </c>
      <c r="I793" s="77" t="str">
        <f>IF(_xlfn.MINIFS('BASE SQL PLANTIO'!E:E,'BASE SQL PLANTIO'!B:B,VOOS!A793)=0/1/1900,"",_xlfn.MINIFS('BASE SQL PLANTIO'!E:E,'BASE SQL PLANTIO'!B:B,VOOS!A793))</f>
        <v/>
      </c>
      <c r="J793" s="26"/>
      <c r="K793" s="34" t="str">
        <f t="shared" si="37"/>
        <v/>
      </c>
      <c r="L793" s="35" t="str">
        <f t="shared" si="38"/>
        <v/>
      </c>
      <c r="M793" s="14"/>
      <c r="N793" s="16"/>
    </row>
    <row r="794" spans="1:14" ht="15.6" x14ac:dyDescent="0.3">
      <c r="A794" s="13" t="str">
        <f t="shared" si="36"/>
        <v>-</v>
      </c>
      <c r="B794" s="27"/>
      <c r="C794" s="26"/>
      <c r="D794" s="26"/>
      <c r="E794" s="26"/>
      <c r="F794" s="26"/>
      <c r="G794" s="34">
        <f>SUMIFS('BASE EXEC. Q.L'!N:N,'BASE EXEC. Q.L'!B:B,VOOS!A794)</f>
        <v>0</v>
      </c>
      <c r="H794" s="15" t="str">
        <f>IFERROR(_xlfn.XLOOKUP(A794,'BASE SQL PLANTIO'!B:B,'BASE SQL PLANTIO'!T:T,"verificar",0),"")</f>
        <v/>
      </c>
      <c r="I794" s="77" t="str">
        <f>IF(_xlfn.MINIFS('BASE SQL PLANTIO'!E:E,'BASE SQL PLANTIO'!B:B,VOOS!A794)=0/1/1900,"",_xlfn.MINIFS('BASE SQL PLANTIO'!E:E,'BASE SQL PLANTIO'!B:B,VOOS!A794))</f>
        <v/>
      </c>
      <c r="J794" s="26"/>
      <c r="K794" s="34" t="str">
        <f t="shared" si="37"/>
        <v/>
      </c>
      <c r="L794" s="35" t="str">
        <f t="shared" si="38"/>
        <v/>
      </c>
      <c r="M794" s="14"/>
      <c r="N794" s="16"/>
    </row>
    <row r="795" spans="1:14" ht="15.6" x14ac:dyDescent="0.3">
      <c r="A795" s="13" t="str">
        <f t="shared" si="36"/>
        <v>-</v>
      </c>
      <c r="B795" s="27"/>
      <c r="C795" s="26"/>
      <c r="D795" s="26"/>
      <c r="E795" s="26"/>
      <c r="F795" s="26"/>
      <c r="G795" s="34">
        <f>SUMIFS('BASE EXEC. Q.L'!N:N,'BASE EXEC. Q.L'!B:B,VOOS!A795)</f>
        <v>0</v>
      </c>
      <c r="H795" s="15" t="str">
        <f>IFERROR(_xlfn.XLOOKUP(A795,'BASE SQL PLANTIO'!B:B,'BASE SQL PLANTIO'!T:T,"verificar",0),"")</f>
        <v/>
      </c>
      <c r="I795" s="77" t="str">
        <f>IF(_xlfn.MINIFS('BASE SQL PLANTIO'!E:E,'BASE SQL PLANTIO'!B:B,VOOS!A795)=0/1/1900,"",_xlfn.MINIFS('BASE SQL PLANTIO'!E:E,'BASE SQL PLANTIO'!B:B,VOOS!A795))</f>
        <v/>
      </c>
      <c r="J795" s="26"/>
      <c r="K795" s="34" t="str">
        <f t="shared" si="37"/>
        <v/>
      </c>
      <c r="L795" s="35" t="str">
        <f t="shared" si="38"/>
        <v/>
      </c>
      <c r="M795" s="14"/>
      <c r="N795" s="16"/>
    </row>
    <row r="796" spans="1:14" ht="15.6" x14ac:dyDescent="0.3">
      <c r="A796" s="13" t="str">
        <f t="shared" si="36"/>
        <v>-</v>
      </c>
      <c r="B796" s="27"/>
      <c r="C796" s="26"/>
      <c r="D796" s="26"/>
      <c r="E796" s="26"/>
      <c r="F796" s="26"/>
      <c r="G796" s="34">
        <f>SUMIFS('BASE EXEC. Q.L'!N:N,'BASE EXEC. Q.L'!B:B,VOOS!A796)</f>
        <v>0</v>
      </c>
      <c r="H796" s="15" t="str">
        <f>IFERROR(_xlfn.XLOOKUP(A796,'BASE SQL PLANTIO'!B:B,'BASE SQL PLANTIO'!T:T,"verificar",0),"")</f>
        <v/>
      </c>
      <c r="I796" s="77" t="str">
        <f>IF(_xlfn.MINIFS('BASE SQL PLANTIO'!E:E,'BASE SQL PLANTIO'!B:B,VOOS!A796)=0/1/1900,"",_xlfn.MINIFS('BASE SQL PLANTIO'!E:E,'BASE SQL PLANTIO'!B:B,VOOS!A796))</f>
        <v/>
      </c>
      <c r="J796" s="26"/>
      <c r="K796" s="34" t="str">
        <f t="shared" si="37"/>
        <v/>
      </c>
      <c r="L796" s="35" t="str">
        <f t="shared" si="38"/>
        <v/>
      </c>
      <c r="M796" s="14"/>
      <c r="N796" s="15"/>
    </row>
    <row r="797" spans="1:14" ht="15.6" x14ac:dyDescent="0.3">
      <c r="A797" s="13" t="str">
        <f t="shared" si="36"/>
        <v>-</v>
      </c>
      <c r="B797" s="27"/>
      <c r="C797" s="26"/>
      <c r="D797" s="26"/>
      <c r="E797" s="26"/>
      <c r="F797" s="26"/>
      <c r="G797" s="34">
        <f>SUMIFS('BASE EXEC. Q.L'!N:N,'BASE EXEC. Q.L'!B:B,VOOS!A797)</f>
        <v>0</v>
      </c>
      <c r="H797" s="15" t="str">
        <f>IFERROR(_xlfn.XLOOKUP(A797,'BASE SQL PLANTIO'!B:B,'BASE SQL PLANTIO'!T:T,"verificar",0),"")</f>
        <v/>
      </c>
      <c r="I797" s="77" t="str">
        <f>IF(_xlfn.MINIFS('BASE SQL PLANTIO'!E:E,'BASE SQL PLANTIO'!B:B,VOOS!A797)=0/1/1900,"",_xlfn.MINIFS('BASE SQL PLANTIO'!E:E,'BASE SQL PLANTIO'!B:B,VOOS!A797))</f>
        <v/>
      </c>
      <c r="J797" s="26"/>
      <c r="K797" s="34" t="str">
        <f t="shared" si="37"/>
        <v/>
      </c>
      <c r="L797" s="35" t="str">
        <f t="shared" si="38"/>
        <v/>
      </c>
      <c r="M797" s="14"/>
      <c r="N797" s="16"/>
    </row>
    <row r="798" spans="1:14" ht="15.6" x14ac:dyDescent="0.3">
      <c r="A798" s="13" t="str">
        <f t="shared" si="36"/>
        <v>-</v>
      </c>
      <c r="B798" s="27"/>
      <c r="C798" s="26"/>
      <c r="D798" s="26"/>
      <c r="E798" s="26"/>
      <c r="F798" s="26"/>
      <c r="G798" s="34">
        <f>SUMIFS('BASE EXEC. Q.L'!N:N,'BASE EXEC. Q.L'!B:B,VOOS!A798)</f>
        <v>0</v>
      </c>
      <c r="H798" s="15" t="str">
        <f>IFERROR(_xlfn.XLOOKUP(A798,'BASE SQL PLANTIO'!B:B,'BASE SQL PLANTIO'!T:T,"verificar",0),"")</f>
        <v/>
      </c>
      <c r="I798" s="77" t="str">
        <f>IF(_xlfn.MINIFS('BASE SQL PLANTIO'!E:E,'BASE SQL PLANTIO'!B:B,VOOS!A798)=0/1/1900,"",_xlfn.MINIFS('BASE SQL PLANTIO'!E:E,'BASE SQL PLANTIO'!B:B,VOOS!A798))</f>
        <v/>
      </c>
      <c r="J798" s="26"/>
      <c r="K798" s="34" t="str">
        <f t="shared" si="37"/>
        <v/>
      </c>
      <c r="L798" s="35" t="str">
        <f t="shared" si="38"/>
        <v/>
      </c>
      <c r="M798" s="14"/>
      <c r="N798" s="16"/>
    </row>
    <row r="799" spans="1:14" ht="15.6" x14ac:dyDescent="0.3">
      <c r="A799" s="13" t="str">
        <f t="shared" si="36"/>
        <v>-</v>
      </c>
      <c r="B799" s="27"/>
      <c r="C799" s="22"/>
      <c r="D799" s="23"/>
      <c r="E799" s="23"/>
      <c r="F799" s="22"/>
      <c r="G799" s="34">
        <f>SUMIFS('BASE EXEC. Q.L'!N:N,'BASE EXEC. Q.L'!B:B,VOOS!A799)</f>
        <v>0</v>
      </c>
      <c r="H799" s="15" t="str">
        <f>IFERROR(_xlfn.XLOOKUP(A799,'BASE SQL PLANTIO'!B:B,'BASE SQL PLANTIO'!T:T,"verificar",0),"")</f>
        <v/>
      </c>
      <c r="I799" s="77" t="str">
        <f>IF(_xlfn.MINIFS('BASE SQL PLANTIO'!E:E,'BASE SQL PLANTIO'!B:B,VOOS!A799)=0/1/1900,"",_xlfn.MINIFS('BASE SQL PLANTIO'!E:E,'BASE SQL PLANTIO'!B:B,VOOS!A799))</f>
        <v/>
      </c>
      <c r="J799" s="22"/>
      <c r="K799" s="34" t="str">
        <f t="shared" si="37"/>
        <v/>
      </c>
      <c r="L799" s="35" t="str">
        <f t="shared" si="38"/>
        <v/>
      </c>
      <c r="M799" s="14"/>
      <c r="N799" s="16"/>
    </row>
    <row r="800" spans="1:14" ht="15.6" x14ac:dyDescent="0.3">
      <c r="A800" s="13" t="str">
        <f t="shared" si="36"/>
        <v>-</v>
      </c>
      <c r="B800" s="27"/>
      <c r="C800" s="26"/>
      <c r="D800" s="26"/>
      <c r="E800" s="26"/>
      <c r="F800" s="26"/>
      <c r="G800" s="34">
        <f>SUMIFS('BASE EXEC. Q.L'!N:N,'BASE EXEC. Q.L'!B:B,VOOS!A800)</f>
        <v>0</v>
      </c>
      <c r="H800" s="15" t="str">
        <f>IFERROR(_xlfn.XLOOKUP(A800,'BASE SQL PLANTIO'!B:B,'BASE SQL PLANTIO'!T:T,"verificar",0),"")</f>
        <v/>
      </c>
      <c r="I800" s="77" t="str">
        <f>IF(_xlfn.MINIFS('BASE SQL PLANTIO'!E:E,'BASE SQL PLANTIO'!B:B,VOOS!A800)=0/1/1900,"",_xlfn.MINIFS('BASE SQL PLANTIO'!E:E,'BASE SQL PLANTIO'!B:B,VOOS!A800))</f>
        <v/>
      </c>
      <c r="J800" s="26"/>
      <c r="K800" s="34" t="str">
        <f t="shared" si="37"/>
        <v/>
      </c>
      <c r="L800" s="35" t="str">
        <f t="shared" si="38"/>
        <v/>
      </c>
      <c r="M800" s="14"/>
      <c r="N800" s="16"/>
    </row>
    <row r="801" spans="1:14" ht="15.6" x14ac:dyDescent="0.3">
      <c r="A801" s="13" t="str">
        <f t="shared" si="36"/>
        <v>-</v>
      </c>
      <c r="B801" s="27"/>
      <c r="C801" s="26"/>
      <c r="D801" s="26"/>
      <c r="E801" s="26"/>
      <c r="F801" s="26"/>
      <c r="G801" s="34">
        <f>SUMIFS('BASE EXEC. Q.L'!N:N,'BASE EXEC. Q.L'!B:B,VOOS!A801)</f>
        <v>0</v>
      </c>
      <c r="H801" s="15" t="str">
        <f>IFERROR(_xlfn.XLOOKUP(A801,'BASE SQL PLANTIO'!B:B,'BASE SQL PLANTIO'!T:T,"verificar",0),"")</f>
        <v/>
      </c>
      <c r="I801" s="77" t="str">
        <f>IF(_xlfn.MINIFS('BASE SQL PLANTIO'!E:E,'BASE SQL PLANTIO'!B:B,VOOS!A801)=0/1/1900,"",_xlfn.MINIFS('BASE SQL PLANTIO'!E:E,'BASE SQL PLANTIO'!B:B,VOOS!A801))</f>
        <v/>
      </c>
      <c r="J801" s="26"/>
      <c r="K801" s="34" t="str">
        <f t="shared" si="37"/>
        <v/>
      </c>
      <c r="L801" s="35" t="str">
        <f t="shared" si="38"/>
        <v/>
      </c>
      <c r="M801" s="14"/>
      <c r="N801" s="16"/>
    </row>
    <row r="802" spans="1:14" ht="15.6" x14ac:dyDescent="0.3">
      <c r="A802" s="13" t="str">
        <f t="shared" si="36"/>
        <v>-</v>
      </c>
      <c r="B802" s="27"/>
      <c r="C802" s="26"/>
      <c r="D802" s="26"/>
      <c r="E802" s="26"/>
      <c r="F802" s="26"/>
      <c r="G802" s="34">
        <f>SUMIFS('BASE EXEC. Q.L'!N:N,'BASE EXEC. Q.L'!B:B,VOOS!A802)</f>
        <v>0</v>
      </c>
      <c r="H802" s="15" t="str">
        <f>IFERROR(_xlfn.XLOOKUP(A802,'BASE SQL PLANTIO'!B:B,'BASE SQL PLANTIO'!T:T,"verificar",0),"")</f>
        <v/>
      </c>
      <c r="I802" s="77" t="str">
        <f>IF(_xlfn.MINIFS('BASE SQL PLANTIO'!E:E,'BASE SQL PLANTIO'!B:B,VOOS!A802)=0/1/1900,"",_xlfn.MINIFS('BASE SQL PLANTIO'!E:E,'BASE SQL PLANTIO'!B:B,VOOS!A802))</f>
        <v/>
      </c>
      <c r="J802" s="26"/>
      <c r="K802" s="34" t="str">
        <f t="shared" si="37"/>
        <v/>
      </c>
      <c r="L802" s="35" t="str">
        <f t="shared" si="38"/>
        <v/>
      </c>
      <c r="M802" s="14"/>
      <c r="N802" s="16"/>
    </row>
    <row r="803" spans="1:14" ht="15.6" x14ac:dyDescent="0.3">
      <c r="A803" s="13" t="str">
        <f t="shared" si="36"/>
        <v>-</v>
      </c>
      <c r="B803" s="27"/>
      <c r="C803" s="26"/>
      <c r="D803" s="26"/>
      <c r="E803" s="26"/>
      <c r="F803" s="26"/>
      <c r="G803" s="34">
        <f>SUMIFS('BASE EXEC. Q.L'!N:N,'BASE EXEC. Q.L'!B:B,VOOS!A803)</f>
        <v>0</v>
      </c>
      <c r="H803" s="15" t="str">
        <f>IFERROR(_xlfn.XLOOKUP(A803,'BASE SQL PLANTIO'!B:B,'BASE SQL PLANTIO'!T:T,"verificar",0),"")</f>
        <v/>
      </c>
      <c r="I803" s="77" t="str">
        <f>IF(_xlfn.MINIFS('BASE SQL PLANTIO'!E:E,'BASE SQL PLANTIO'!B:B,VOOS!A803)=0/1/1900,"",_xlfn.MINIFS('BASE SQL PLANTIO'!E:E,'BASE SQL PLANTIO'!B:B,VOOS!A803))</f>
        <v/>
      </c>
      <c r="J803" s="26"/>
      <c r="K803" s="34" t="str">
        <f t="shared" si="37"/>
        <v/>
      </c>
      <c r="L803" s="35" t="str">
        <f t="shared" si="38"/>
        <v/>
      </c>
      <c r="M803" s="14"/>
      <c r="N803" s="16"/>
    </row>
    <row r="804" spans="1:14" ht="15.6" x14ac:dyDescent="0.3">
      <c r="A804" s="13" t="str">
        <f t="shared" si="36"/>
        <v>-</v>
      </c>
      <c r="B804" s="27"/>
      <c r="C804" s="26"/>
      <c r="D804" s="26"/>
      <c r="E804" s="26"/>
      <c r="F804" s="26"/>
      <c r="G804" s="34">
        <f>SUMIFS('BASE EXEC. Q.L'!N:N,'BASE EXEC. Q.L'!B:B,VOOS!A804)</f>
        <v>0</v>
      </c>
      <c r="H804" s="15" t="str">
        <f>IFERROR(_xlfn.XLOOKUP(A804,'BASE SQL PLANTIO'!B:B,'BASE SQL PLANTIO'!T:T,"verificar",0),"")</f>
        <v/>
      </c>
      <c r="I804" s="77" t="str">
        <f>IF(_xlfn.MINIFS('BASE SQL PLANTIO'!E:E,'BASE SQL PLANTIO'!B:B,VOOS!A804)=0/1/1900,"",_xlfn.MINIFS('BASE SQL PLANTIO'!E:E,'BASE SQL PLANTIO'!B:B,VOOS!A804))</f>
        <v/>
      </c>
      <c r="J804" s="26"/>
      <c r="K804" s="34" t="str">
        <f t="shared" si="37"/>
        <v/>
      </c>
      <c r="L804" s="35" t="str">
        <f t="shared" si="38"/>
        <v/>
      </c>
      <c r="M804" s="14"/>
      <c r="N804" s="16"/>
    </row>
    <row r="805" spans="1:14" ht="15.6" x14ac:dyDescent="0.3">
      <c r="A805" s="13" t="str">
        <f t="shared" si="36"/>
        <v>-</v>
      </c>
      <c r="B805" s="27"/>
      <c r="C805" s="26"/>
      <c r="D805" s="26"/>
      <c r="E805" s="26"/>
      <c r="F805" s="26"/>
      <c r="G805" s="34">
        <f>SUMIFS('BASE EXEC. Q.L'!N:N,'BASE EXEC. Q.L'!B:B,VOOS!A805)</f>
        <v>0</v>
      </c>
      <c r="H805" s="15" t="str">
        <f>IFERROR(_xlfn.XLOOKUP(A805,'BASE SQL PLANTIO'!B:B,'BASE SQL PLANTIO'!T:T,"verificar",0),"")</f>
        <v/>
      </c>
      <c r="I805" s="77" t="str">
        <f>IF(_xlfn.MINIFS('BASE SQL PLANTIO'!E:E,'BASE SQL PLANTIO'!B:B,VOOS!A805)=0/1/1900,"",_xlfn.MINIFS('BASE SQL PLANTIO'!E:E,'BASE SQL PLANTIO'!B:B,VOOS!A805))</f>
        <v/>
      </c>
      <c r="J805" s="26"/>
      <c r="K805" s="34" t="str">
        <f t="shared" si="37"/>
        <v/>
      </c>
      <c r="L805" s="35" t="str">
        <f t="shared" si="38"/>
        <v/>
      </c>
      <c r="M805" s="14"/>
      <c r="N805" s="16"/>
    </row>
    <row r="806" spans="1:14" ht="15.6" x14ac:dyDescent="0.3">
      <c r="A806" s="13" t="str">
        <f t="shared" si="36"/>
        <v>-</v>
      </c>
      <c r="B806" s="27"/>
      <c r="C806" s="26"/>
      <c r="D806" s="26"/>
      <c r="E806" s="26"/>
      <c r="F806" s="26"/>
      <c r="G806" s="34">
        <f>SUMIFS('BASE EXEC. Q.L'!N:N,'BASE EXEC. Q.L'!B:B,VOOS!A806)</f>
        <v>0</v>
      </c>
      <c r="H806" s="15" t="str">
        <f>IFERROR(_xlfn.XLOOKUP(A806,'BASE SQL PLANTIO'!B:B,'BASE SQL PLANTIO'!T:T,"verificar",0),"")</f>
        <v/>
      </c>
      <c r="I806" s="77" t="str">
        <f>IF(_xlfn.MINIFS('BASE SQL PLANTIO'!E:E,'BASE SQL PLANTIO'!B:B,VOOS!A806)=0/1/1900,"",_xlfn.MINIFS('BASE SQL PLANTIO'!E:E,'BASE SQL PLANTIO'!B:B,VOOS!A806))</f>
        <v/>
      </c>
      <c r="J806" s="26"/>
      <c r="K806" s="34" t="str">
        <f t="shared" si="37"/>
        <v/>
      </c>
      <c r="L806" s="35" t="str">
        <f t="shared" si="38"/>
        <v/>
      </c>
      <c r="M806" s="14"/>
      <c r="N806" s="16"/>
    </row>
    <row r="807" spans="1:14" ht="15.6" x14ac:dyDescent="0.3">
      <c r="A807" s="13" t="str">
        <f t="shared" si="36"/>
        <v>-</v>
      </c>
      <c r="B807" s="27"/>
      <c r="C807" s="26"/>
      <c r="D807" s="26"/>
      <c r="E807" s="26"/>
      <c r="F807" s="26"/>
      <c r="G807" s="34">
        <f>SUMIFS('BASE EXEC. Q.L'!N:N,'BASE EXEC. Q.L'!B:B,VOOS!A807)</f>
        <v>0</v>
      </c>
      <c r="H807" s="15" t="str">
        <f>IFERROR(_xlfn.XLOOKUP(A807,'BASE SQL PLANTIO'!B:B,'BASE SQL PLANTIO'!T:T,"verificar",0),"")</f>
        <v/>
      </c>
      <c r="I807" s="77" t="str">
        <f>IF(_xlfn.MINIFS('BASE SQL PLANTIO'!E:E,'BASE SQL PLANTIO'!B:B,VOOS!A807)=0/1/1900,"",_xlfn.MINIFS('BASE SQL PLANTIO'!E:E,'BASE SQL PLANTIO'!B:B,VOOS!A807))</f>
        <v/>
      </c>
      <c r="J807" s="26"/>
      <c r="K807" s="34" t="str">
        <f t="shared" si="37"/>
        <v/>
      </c>
      <c r="L807" s="35" t="str">
        <f t="shared" si="38"/>
        <v/>
      </c>
      <c r="M807" s="14"/>
      <c r="N807" s="16"/>
    </row>
    <row r="808" spans="1:14" ht="15.6" x14ac:dyDescent="0.3">
      <c r="A808" s="13" t="str">
        <f t="shared" si="36"/>
        <v>-</v>
      </c>
      <c r="B808" s="25"/>
      <c r="C808" s="25"/>
      <c r="D808" s="25"/>
      <c r="E808" s="25"/>
      <c r="F808" s="31"/>
      <c r="G808" s="34">
        <f>SUMIFS('BASE EXEC. Q.L'!N:N,'BASE EXEC. Q.L'!B:B,VOOS!A808)</f>
        <v>0</v>
      </c>
      <c r="H808" s="15" t="str">
        <f>IFERROR(_xlfn.XLOOKUP(A808,'BASE SQL PLANTIO'!B:B,'BASE SQL PLANTIO'!T:T,"verificar",0),"")</f>
        <v/>
      </c>
      <c r="I808" s="77" t="str">
        <f>IF(_xlfn.MINIFS('BASE SQL PLANTIO'!E:E,'BASE SQL PLANTIO'!B:B,VOOS!A808)=0/1/1900,"",_xlfn.MINIFS('BASE SQL PLANTIO'!E:E,'BASE SQL PLANTIO'!B:B,VOOS!A808))</f>
        <v/>
      </c>
      <c r="J808" s="26"/>
      <c r="K808" s="34" t="str">
        <f t="shared" si="37"/>
        <v/>
      </c>
      <c r="L808" s="35" t="str">
        <f t="shared" si="38"/>
        <v/>
      </c>
      <c r="M808" s="14"/>
      <c r="N808" s="15"/>
    </row>
    <row r="809" spans="1:14" ht="15.6" x14ac:dyDescent="0.3">
      <c r="A809" s="13" t="str">
        <f t="shared" si="36"/>
        <v>-</v>
      </c>
      <c r="B809" s="25"/>
      <c r="C809" s="25"/>
      <c r="D809" s="25"/>
      <c r="E809" s="25"/>
      <c r="F809" s="31"/>
      <c r="G809" s="34">
        <f>SUMIFS('BASE EXEC. Q.L'!N:N,'BASE EXEC. Q.L'!B:B,VOOS!A809)</f>
        <v>0</v>
      </c>
      <c r="H809" s="15" t="str">
        <f>IFERROR(_xlfn.XLOOKUP(A809,'BASE SQL PLANTIO'!B:B,'BASE SQL PLANTIO'!T:T,"verificar",0),"")</f>
        <v/>
      </c>
      <c r="I809" s="77" t="str">
        <f>IF(_xlfn.MINIFS('BASE SQL PLANTIO'!E:E,'BASE SQL PLANTIO'!B:B,VOOS!A809)=0/1/1900,"",_xlfn.MINIFS('BASE SQL PLANTIO'!E:E,'BASE SQL PLANTIO'!B:B,VOOS!A809))</f>
        <v/>
      </c>
      <c r="J809" s="26"/>
      <c r="K809" s="34" t="str">
        <f t="shared" si="37"/>
        <v/>
      </c>
      <c r="L809" s="35" t="str">
        <f t="shared" si="38"/>
        <v/>
      </c>
      <c r="M809" s="14"/>
      <c r="N809" s="16"/>
    </row>
    <row r="810" spans="1:14" ht="15.6" x14ac:dyDescent="0.3">
      <c r="A810" s="13" t="str">
        <f t="shared" si="36"/>
        <v>-</v>
      </c>
      <c r="B810" s="27"/>
      <c r="C810" s="26"/>
      <c r="D810" s="26"/>
      <c r="E810" s="26"/>
      <c r="F810" s="26"/>
      <c r="G810" s="34">
        <f>SUMIFS('BASE EXEC. Q.L'!N:N,'BASE EXEC. Q.L'!B:B,VOOS!A810)</f>
        <v>0</v>
      </c>
      <c r="H810" s="15" t="str">
        <f>IFERROR(_xlfn.XLOOKUP(A810,'BASE SQL PLANTIO'!B:B,'BASE SQL PLANTIO'!T:T,"verificar",0),"")</f>
        <v/>
      </c>
      <c r="I810" s="77" t="str">
        <f>IF(_xlfn.MINIFS('BASE SQL PLANTIO'!E:E,'BASE SQL PLANTIO'!B:B,VOOS!A810)=0/1/1900,"",_xlfn.MINIFS('BASE SQL PLANTIO'!E:E,'BASE SQL PLANTIO'!B:B,VOOS!A810))</f>
        <v/>
      </c>
      <c r="J810" s="26"/>
      <c r="K810" s="34" t="str">
        <f t="shared" si="37"/>
        <v/>
      </c>
      <c r="L810" s="35" t="str">
        <f t="shared" si="38"/>
        <v/>
      </c>
      <c r="M810" s="14"/>
      <c r="N810" s="16"/>
    </row>
    <row r="811" spans="1:14" ht="15.6" x14ac:dyDescent="0.3">
      <c r="A811" s="13" t="str">
        <f t="shared" si="36"/>
        <v>-</v>
      </c>
      <c r="B811" s="27"/>
      <c r="C811" s="26"/>
      <c r="D811" s="26"/>
      <c r="E811" s="26"/>
      <c r="F811" s="26"/>
      <c r="G811" s="34">
        <f>SUMIFS('BASE EXEC. Q.L'!N:N,'BASE EXEC. Q.L'!B:B,VOOS!A811)</f>
        <v>0</v>
      </c>
      <c r="H811" s="15" t="str">
        <f>IFERROR(_xlfn.XLOOKUP(A811,'BASE SQL PLANTIO'!B:B,'BASE SQL PLANTIO'!T:T,"verificar",0),"")</f>
        <v/>
      </c>
      <c r="I811" s="77" t="str">
        <f>IF(_xlfn.MINIFS('BASE SQL PLANTIO'!E:E,'BASE SQL PLANTIO'!B:B,VOOS!A811)=0/1/1900,"",_xlfn.MINIFS('BASE SQL PLANTIO'!E:E,'BASE SQL PLANTIO'!B:B,VOOS!A811))</f>
        <v/>
      </c>
      <c r="J811" s="26"/>
      <c r="K811" s="34" t="str">
        <f t="shared" si="37"/>
        <v/>
      </c>
      <c r="L811" s="35" t="str">
        <f t="shared" si="38"/>
        <v/>
      </c>
      <c r="M811" s="14"/>
      <c r="N811" s="16"/>
    </row>
    <row r="812" spans="1:14" ht="15.6" x14ac:dyDescent="0.3">
      <c r="A812" s="13" t="str">
        <f t="shared" si="36"/>
        <v>-</v>
      </c>
      <c r="B812" s="27"/>
      <c r="C812" s="26"/>
      <c r="D812" s="26"/>
      <c r="E812" s="26"/>
      <c r="F812" s="26"/>
      <c r="G812" s="34">
        <f>SUMIFS('BASE EXEC. Q.L'!N:N,'BASE EXEC. Q.L'!B:B,VOOS!A812)</f>
        <v>0</v>
      </c>
      <c r="H812" s="15" t="str">
        <f>IFERROR(_xlfn.XLOOKUP(A812,'BASE SQL PLANTIO'!B:B,'BASE SQL PLANTIO'!T:T,"verificar",0),"")</f>
        <v/>
      </c>
      <c r="I812" s="77" t="str">
        <f>IF(_xlfn.MINIFS('BASE SQL PLANTIO'!E:E,'BASE SQL PLANTIO'!B:B,VOOS!A812)=0/1/1900,"",_xlfn.MINIFS('BASE SQL PLANTIO'!E:E,'BASE SQL PLANTIO'!B:B,VOOS!A812))</f>
        <v/>
      </c>
      <c r="J812" s="26"/>
      <c r="K812" s="34" t="str">
        <f t="shared" si="37"/>
        <v/>
      </c>
      <c r="L812" s="35" t="str">
        <f t="shared" si="38"/>
        <v/>
      </c>
      <c r="M812" s="14"/>
      <c r="N812" s="16"/>
    </row>
    <row r="813" spans="1:14" ht="15.6" x14ac:dyDescent="0.3">
      <c r="A813" s="13" t="str">
        <f t="shared" si="36"/>
        <v>-</v>
      </c>
      <c r="B813" s="25"/>
      <c r="C813" s="25"/>
      <c r="D813" s="25"/>
      <c r="E813" s="25"/>
      <c r="F813" s="31"/>
      <c r="G813" s="34">
        <f>SUMIFS('BASE EXEC. Q.L'!N:N,'BASE EXEC. Q.L'!B:B,VOOS!A813)</f>
        <v>0</v>
      </c>
      <c r="H813" s="15" t="str">
        <f>IFERROR(_xlfn.XLOOKUP(A813,'BASE SQL PLANTIO'!B:B,'BASE SQL PLANTIO'!T:T,"verificar",0),"")</f>
        <v/>
      </c>
      <c r="I813" s="77" t="str">
        <f>IF(_xlfn.MINIFS('BASE SQL PLANTIO'!E:E,'BASE SQL PLANTIO'!B:B,VOOS!A813)=0/1/1900,"",_xlfn.MINIFS('BASE SQL PLANTIO'!E:E,'BASE SQL PLANTIO'!B:B,VOOS!A813))</f>
        <v/>
      </c>
      <c r="J813" s="26"/>
      <c r="K813" s="34" t="str">
        <f t="shared" si="37"/>
        <v/>
      </c>
      <c r="L813" s="35" t="str">
        <f t="shared" si="38"/>
        <v/>
      </c>
      <c r="M813" s="14"/>
      <c r="N813" s="16"/>
    </row>
    <row r="814" spans="1:14" ht="15.6" x14ac:dyDescent="0.3">
      <c r="A814" s="13" t="str">
        <f t="shared" si="36"/>
        <v>-</v>
      </c>
      <c r="B814" s="25"/>
      <c r="C814" s="25"/>
      <c r="D814" s="25"/>
      <c r="E814" s="25"/>
      <c r="F814" s="31"/>
      <c r="G814" s="34">
        <f>SUMIFS('BASE EXEC. Q.L'!N:N,'BASE EXEC. Q.L'!B:B,VOOS!A814)</f>
        <v>0</v>
      </c>
      <c r="H814" s="15" t="str">
        <f>IFERROR(_xlfn.XLOOKUP(A814,'BASE SQL PLANTIO'!B:B,'BASE SQL PLANTIO'!T:T,"verificar",0),"")</f>
        <v/>
      </c>
      <c r="I814" s="77" t="str">
        <f>IF(_xlfn.MINIFS('BASE SQL PLANTIO'!E:E,'BASE SQL PLANTIO'!B:B,VOOS!A814)=0/1/1900,"",_xlfn.MINIFS('BASE SQL PLANTIO'!E:E,'BASE SQL PLANTIO'!B:B,VOOS!A814))</f>
        <v/>
      </c>
      <c r="J814" s="26"/>
      <c r="K814" s="34" t="str">
        <f t="shared" si="37"/>
        <v/>
      </c>
      <c r="L814" s="35" t="str">
        <f t="shared" si="38"/>
        <v/>
      </c>
      <c r="M814" s="14"/>
      <c r="N814" s="16"/>
    </row>
    <row r="815" spans="1:14" ht="15.6" x14ac:dyDescent="0.3">
      <c r="A815" s="13" t="str">
        <f t="shared" si="36"/>
        <v>-</v>
      </c>
      <c r="B815" s="25"/>
      <c r="C815" s="25"/>
      <c r="D815" s="25"/>
      <c r="E815" s="25"/>
      <c r="F815" s="31"/>
      <c r="G815" s="34">
        <f>SUMIFS('BASE EXEC. Q.L'!N:N,'BASE EXEC. Q.L'!B:B,VOOS!A815)</f>
        <v>0</v>
      </c>
      <c r="H815" s="15" t="str">
        <f>IFERROR(_xlfn.XLOOKUP(A815,'BASE SQL PLANTIO'!B:B,'BASE SQL PLANTIO'!T:T,"verificar",0),"")</f>
        <v/>
      </c>
      <c r="I815" s="77" t="str">
        <f>IF(_xlfn.MINIFS('BASE SQL PLANTIO'!E:E,'BASE SQL PLANTIO'!B:B,VOOS!A815)=0/1/1900,"",_xlfn.MINIFS('BASE SQL PLANTIO'!E:E,'BASE SQL PLANTIO'!B:B,VOOS!A815))</f>
        <v/>
      </c>
      <c r="J815" s="26"/>
      <c r="K815" s="34" t="str">
        <f t="shared" si="37"/>
        <v/>
      </c>
      <c r="L815" s="35" t="str">
        <f t="shared" si="38"/>
        <v/>
      </c>
      <c r="M815" s="14"/>
      <c r="N815" s="16"/>
    </row>
    <row r="816" spans="1:14" ht="15.6" x14ac:dyDescent="0.3">
      <c r="A816" s="13" t="str">
        <f t="shared" si="36"/>
        <v>-</v>
      </c>
      <c r="B816" s="27"/>
      <c r="C816" s="26"/>
      <c r="D816" s="26"/>
      <c r="E816" s="26"/>
      <c r="F816" s="26"/>
      <c r="G816" s="34">
        <f>SUMIFS('BASE EXEC. Q.L'!N:N,'BASE EXEC. Q.L'!B:B,VOOS!A816)</f>
        <v>0</v>
      </c>
      <c r="H816" s="15" t="str">
        <f>IFERROR(_xlfn.XLOOKUP(A816,'BASE SQL PLANTIO'!B:B,'BASE SQL PLANTIO'!T:T,"verificar",0),"")</f>
        <v/>
      </c>
      <c r="I816" s="77" t="str">
        <f>IF(_xlfn.MINIFS('BASE SQL PLANTIO'!E:E,'BASE SQL PLANTIO'!B:B,VOOS!A816)=0/1/1900,"",_xlfn.MINIFS('BASE SQL PLANTIO'!E:E,'BASE SQL PLANTIO'!B:B,VOOS!A816))</f>
        <v/>
      </c>
      <c r="J816" s="26"/>
      <c r="K816" s="34" t="str">
        <f t="shared" si="37"/>
        <v/>
      </c>
      <c r="L816" s="35" t="str">
        <f t="shared" si="38"/>
        <v/>
      </c>
      <c r="M816" s="14"/>
      <c r="N816" s="16"/>
    </row>
    <row r="817" spans="1:14" ht="15.6" x14ac:dyDescent="0.3">
      <c r="A817" s="13" t="str">
        <f t="shared" si="36"/>
        <v>-</v>
      </c>
      <c r="B817" s="27"/>
      <c r="C817" s="26"/>
      <c r="D817" s="26"/>
      <c r="E817" s="26"/>
      <c r="F817" s="26"/>
      <c r="G817" s="34">
        <f>SUMIFS('BASE EXEC. Q.L'!N:N,'BASE EXEC. Q.L'!B:B,VOOS!A817)</f>
        <v>0</v>
      </c>
      <c r="H817" s="15" t="str">
        <f>IFERROR(_xlfn.XLOOKUP(A817,'BASE SQL PLANTIO'!B:B,'BASE SQL PLANTIO'!T:T,"verificar",0),"")</f>
        <v/>
      </c>
      <c r="I817" s="77" t="str">
        <f>IF(_xlfn.MINIFS('BASE SQL PLANTIO'!E:E,'BASE SQL PLANTIO'!B:B,VOOS!A817)=0/1/1900,"",_xlfn.MINIFS('BASE SQL PLANTIO'!E:E,'BASE SQL PLANTIO'!B:B,VOOS!A817))</f>
        <v/>
      </c>
      <c r="J817" s="26"/>
      <c r="K817" s="34" t="str">
        <f t="shared" si="37"/>
        <v/>
      </c>
      <c r="L817" s="35" t="str">
        <f t="shared" si="38"/>
        <v/>
      </c>
      <c r="M817" s="14"/>
      <c r="N817" s="16"/>
    </row>
    <row r="818" spans="1:14" ht="15.6" x14ac:dyDescent="0.3">
      <c r="A818" s="13" t="str">
        <f t="shared" si="36"/>
        <v>-</v>
      </c>
      <c r="B818" s="27"/>
      <c r="C818" s="26"/>
      <c r="D818" s="26"/>
      <c r="E818" s="26"/>
      <c r="F818" s="26"/>
      <c r="G818" s="34">
        <f>SUMIFS('BASE EXEC. Q.L'!N:N,'BASE EXEC. Q.L'!B:B,VOOS!A818)</f>
        <v>0</v>
      </c>
      <c r="H818" s="15" t="str">
        <f>IFERROR(_xlfn.XLOOKUP(A818,'BASE SQL PLANTIO'!B:B,'BASE SQL PLANTIO'!T:T,"verificar",0),"")</f>
        <v/>
      </c>
      <c r="I818" s="77" t="str">
        <f>IF(_xlfn.MINIFS('BASE SQL PLANTIO'!E:E,'BASE SQL PLANTIO'!B:B,VOOS!A818)=0/1/1900,"",_xlfn.MINIFS('BASE SQL PLANTIO'!E:E,'BASE SQL PLANTIO'!B:B,VOOS!A818))</f>
        <v/>
      </c>
      <c r="J818" s="26"/>
      <c r="K818" s="34" t="str">
        <f t="shared" si="37"/>
        <v/>
      </c>
      <c r="L818" s="35" t="str">
        <f t="shared" si="38"/>
        <v/>
      </c>
      <c r="M818" s="14"/>
      <c r="N818" s="15"/>
    </row>
    <row r="819" spans="1:14" ht="15.6" x14ac:dyDescent="0.3">
      <c r="A819" s="13" t="str">
        <f t="shared" si="36"/>
        <v>-</v>
      </c>
      <c r="B819" s="27"/>
      <c r="C819" s="26"/>
      <c r="D819" s="26"/>
      <c r="E819" s="26"/>
      <c r="F819" s="26"/>
      <c r="G819" s="34">
        <f>SUMIFS('BASE EXEC. Q.L'!N:N,'BASE EXEC. Q.L'!B:B,VOOS!A819)</f>
        <v>0</v>
      </c>
      <c r="H819" s="15" t="str">
        <f>IFERROR(_xlfn.XLOOKUP(A819,'BASE SQL PLANTIO'!B:B,'BASE SQL PLANTIO'!T:T,"verificar",0),"")</f>
        <v/>
      </c>
      <c r="I819" s="77" t="str">
        <f>IF(_xlfn.MINIFS('BASE SQL PLANTIO'!E:E,'BASE SQL PLANTIO'!B:B,VOOS!A819)=0/1/1900,"",_xlfn.MINIFS('BASE SQL PLANTIO'!E:E,'BASE SQL PLANTIO'!B:B,VOOS!A819))</f>
        <v/>
      </c>
      <c r="J819" s="26"/>
      <c r="K819" s="34" t="str">
        <f t="shared" si="37"/>
        <v/>
      </c>
      <c r="L819" s="35" t="str">
        <f t="shared" si="38"/>
        <v/>
      </c>
      <c r="M819" s="14"/>
      <c r="N819" s="16"/>
    </row>
    <row r="820" spans="1:14" ht="15.6" x14ac:dyDescent="0.3">
      <c r="A820" s="13" t="str">
        <f t="shared" si="36"/>
        <v>-</v>
      </c>
      <c r="B820" s="27"/>
      <c r="C820" s="26"/>
      <c r="D820" s="26"/>
      <c r="E820" s="26"/>
      <c r="F820" s="26"/>
      <c r="G820" s="34">
        <f>SUMIFS('BASE EXEC. Q.L'!N:N,'BASE EXEC. Q.L'!B:B,VOOS!A820)</f>
        <v>0</v>
      </c>
      <c r="H820" s="15" t="str">
        <f>IFERROR(_xlfn.XLOOKUP(A820,'BASE SQL PLANTIO'!B:B,'BASE SQL PLANTIO'!T:T,"verificar",0),"")</f>
        <v/>
      </c>
      <c r="I820" s="77" t="str">
        <f>IF(_xlfn.MINIFS('BASE SQL PLANTIO'!E:E,'BASE SQL PLANTIO'!B:B,VOOS!A820)=0/1/1900,"",_xlfn.MINIFS('BASE SQL PLANTIO'!E:E,'BASE SQL PLANTIO'!B:B,VOOS!A820))</f>
        <v/>
      </c>
      <c r="J820" s="26"/>
      <c r="K820" s="34" t="str">
        <f t="shared" si="37"/>
        <v/>
      </c>
      <c r="L820" s="35" t="str">
        <f t="shared" si="38"/>
        <v/>
      </c>
      <c r="M820" s="14"/>
      <c r="N820" s="16"/>
    </row>
    <row r="821" spans="1:14" ht="15.6" x14ac:dyDescent="0.3">
      <c r="A821" s="13" t="str">
        <f t="shared" si="36"/>
        <v>-</v>
      </c>
      <c r="B821" s="27"/>
      <c r="C821" s="26"/>
      <c r="D821" s="26"/>
      <c r="E821" s="26"/>
      <c r="F821" s="26"/>
      <c r="G821" s="34">
        <f>SUMIFS('BASE EXEC. Q.L'!N:N,'BASE EXEC. Q.L'!B:B,VOOS!A821)</f>
        <v>0</v>
      </c>
      <c r="H821" s="15" t="str">
        <f>IFERROR(_xlfn.XLOOKUP(A821,'BASE SQL PLANTIO'!B:B,'BASE SQL PLANTIO'!T:T,"verificar",0),"")</f>
        <v/>
      </c>
      <c r="I821" s="77" t="str">
        <f>IF(_xlfn.MINIFS('BASE SQL PLANTIO'!E:E,'BASE SQL PLANTIO'!B:B,VOOS!A821)=0/1/1900,"",_xlfn.MINIFS('BASE SQL PLANTIO'!E:E,'BASE SQL PLANTIO'!B:B,VOOS!A821))</f>
        <v/>
      </c>
      <c r="J821" s="26"/>
      <c r="K821" s="34" t="str">
        <f t="shared" si="37"/>
        <v/>
      </c>
      <c r="L821" s="35" t="str">
        <f t="shared" si="38"/>
        <v/>
      </c>
      <c r="M821" s="14"/>
      <c r="N821" s="16"/>
    </row>
    <row r="822" spans="1:14" ht="15.6" x14ac:dyDescent="0.3">
      <c r="A822" s="13" t="str">
        <f t="shared" si="36"/>
        <v>-</v>
      </c>
      <c r="B822" s="27"/>
      <c r="C822" s="22"/>
      <c r="D822" s="23"/>
      <c r="E822" s="23"/>
      <c r="F822" s="22"/>
      <c r="G822" s="34">
        <f>SUMIFS('BASE EXEC. Q.L'!N:N,'BASE EXEC. Q.L'!B:B,VOOS!A822)</f>
        <v>0</v>
      </c>
      <c r="H822" s="15" t="str">
        <f>IFERROR(_xlfn.XLOOKUP(A822,'BASE SQL PLANTIO'!B:B,'BASE SQL PLANTIO'!T:T,"verificar",0),"")</f>
        <v/>
      </c>
      <c r="I822" s="77" t="str">
        <f>IF(_xlfn.MINIFS('BASE SQL PLANTIO'!E:E,'BASE SQL PLANTIO'!B:B,VOOS!A822)=0/1/1900,"",_xlfn.MINIFS('BASE SQL PLANTIO'!E:E,'BASE SQL PLANTIO'!B:B,VOOS!A822))</f>
        <v/>
      </c>
      <c r="J822" s="22"/>
      <c r="K822" s="34" t="str">
        <f t="shared" si="37"/>
        <v/>
      </c>
      <c r="L822" s="35" t="str">
        <f t="shared" si="38"/>
        <v/>
      </c>
      <c r="M822" s="14"/>
      <c r="N822" s="16"/>
    </row>
    <row r="823" spans="1:14" ht="15.6" x14ac:dyDescent="0.3">
      <c r="A823" s="13" t="str">
        <f t="shared" si="36"/>
        <v>-</v>
      </c>
      <c r="B823" s="27"/>
      <c r="C823" s="26"/>
      <c r="D823" s="26"/>
      <c r="E823" s="26"/>
      <c r="F823" s="26"/>
      <c r="G823" s="34">
        <f>SUMIFS('BASE EXEC. Q.L'!N:N,'BASE EXEC. Q.L'!B:B,VOOS!A823)</f>
        <v>0</v>
      </c>
      <c r="H823" s="15" t="str">
        <f>IFERROR(_xlfn.XLOOKUP(A823,'BASE SQL PLANTIO'!B:B,'BASE SQL PLANTIO'!T:T,"verificar",0),"")</f>
        <v/>
      </c>
      <c r="I823" s="77" t="str">
        <f>IF(_xlfn.MINIFS('BASE SQL PLANTIO'!E:E,'BASE SQL PLANTIO'!B:B,VOOS!A823)=0/1/1900,"",_xlfn.MINIFS('BASE SQL PLANTIO'!E:E,'BASE SQL PLANTIO'!B:B,VOOS!A823))</f>
        <v/>
      </c>
      <c r="J823" s="26"/>
      <c r="K823" s="34" t="str">
        <f t="shared" si="37"/>
        <v/>
      </c>
      <c r="L823" s="35" t="str">
        <f t="shared" si="38"/>
        <v/>
      </c>
      <c r="M823" s="14"/>
      <c r="N823" s="16"/>
    </row>
    <row r="824" spans="1:14" ht="15.6" x14ac:dyDescent="0.3">
      <c r="A824" s="13" t="str">
        <f t="shared" si="36"/>
        <v>-</v>
      </c>
      <c r="B824" s="27"/>
      <c r="C824" s="26"/>
      <c r="D824" s="26"/>
      <c r="E824" s="26"/>
      <c r="F824" s="26"/>
      <c r="G824" s="34">
        <f>SUMIFS('BASE EXEC. Q.L'!N:N,'BASE EXEC. Q.L'!B:B,VOOS!A824)</f>
        <v>0</v>
      </c>
      <c r="H824" s="15" t="str">
        <f>IFERROR(_xlfn.XLOOKUP(A824,'BASE SQL PLANTIO'!B:B,'BASE SQL PLANTIO'!T:T,"verificar",0),"")</f>
        <v/>
      </c>
      <c r="I824" s="77" t="str">
        <f>IF(_xlfn.MINIFS('BASE SQL PLANTIO'!E:E,'BASE SQL PLANTIO'!B:B,VOOS!A824)=0/1/1900,"",_xlfn.MINIFS('BASE SQL PLANTIO'!E:E,'BASE SQL PLANTIO'!B:B,VOOS!A824))</f>
        <v/>
      </c>
      <c r="J824" s="26"/>
      <c r="K824" s="34" t="str">
        <f t="shared" si="37"/>
        <v/>
      </c>
      <c r="L824" s="35" t="str">
        <f t="shared" si="38"/>
        <v/>
      </c>
      <c r="M824" s="14"/>
      <c r="N824" s="16"/>
    </row>
    <row r="825" spans="1:14" ht="15.6" x14ac:dyDescent="0.3">
      <c r="A825" s="13" t="str">
        <f t="shared" si="36"/>
        <v>-</v>
      </c>
      <c r="B825" s="27"/>
      <c r="C825" s="26"/>
      <c r="D825" s="26"/>
      <c r="E825" s="26"/>
      <c r="F825" s="26"/>
      <c r="G825" s="34">
        <f>SUMIFS('BASE EXEC. Q.L'!N:N,'BASE EXEC. Q.L'!B:B,VOOS!A825)</f>
        <v>0</v>
      </c>
      <c r="H825" s="15" t="str">
        <f>IFERROR(_xlfn.XLOOKUP(A825,'BASE SQL PLANTIO'!B:B,'BASE SQL PLANTIO'!T:T,"verificar",0),"")</f>
        <v/>
      </c>
      <c r="I825" s="77" t="str">
        <f>IF(_xlfn.MINIFS('BASE SQL PLANTIO'!E:E,'BASE SQL PLANTIO'!B:B,VOOS!A825)=0/1/1900,"",_xlfn.MINIFS('BASE SQL PLANTIO'!E:E,'BASE SQL PLANTIO'!B:B,VOOS!A825))</f>
        <v/>
      </c>
      <c r="J825" s="26"/>
      <c r="K825" s="34" t="str">
        <f t="shared" si="37"/>
        <v/>
      </c>
      <c r="L825" s="35" t="str">
        <f t="shared" si="38"/>
        <v/>
      </c>
      <c r="M825" s="14"/>
      <c r="N825" s="16"/>
    </row>
    <row r="826" spans="1:14" ht="15.6" x14ac:dyDescent="0.3">
      <c r="A826" s="13" t="str">
        <f t="shared" si="36"/>
        <v>-</v>
      </c>
      <c r="B826" s="27"/>
      <c r="C826" s="26"/>
      <c r="D826" s="26"/>
      <c r="E826" s="26"/>
      <c r="F826" s="26"/>
      <c r="G826" s="34">
        <f>SUMIFS('BASE EXEC. Q.L'!N:N,'BASE EXEC. Q.L'!B:B,VOOS!A826)</f>
        <v>0</v>
      </c>
      <c r="H826" s="15" t="str">
        <f>IFERROR(_xlfn.XLOOKUP(A826,'BASE SQL PLANTIO'!B:B,'BASE SQL PLANTIO'!T:T,"verificar",0),"")</f>
        <v/>
      </c>
      <c r="I826" s="77" t="str">
        <f>IF(_xlfn.MINIFS('BASE SQL PLANTIO'!E:E,'BASE SQL PLANTIO'!B:B,VOOS!A826)=0/1/1900,"",_xlfn.MINIFS('BASE SQL PLANTIO'!E:E,'BASE SQL PLANTIO'!B:B,VOOS!A826))</f>
        <v/>
      </c>
      <c r="J826" s="26"/>
      <c r="K826" s="34" t="str">
        <f t="shared" si="37"/>
        <v/>
      </c>
      <c r="L826" s="35" t="str">
        <f t="shared" si="38"/>
        <v/>
      </c>
      <c r="M826" s="14"/>
      <c r="N826" s="16"/>
    </row>
    <row r="827" spans="1:14" ht="15.6" x14ac:dyDescent="0.3">
      <c r="A827" s="13" t="str">
        <f t="shared" si="36"/>
        <v>-</v>
      </c>
      <c r="B827" s="27"/>
      <c r="C827" s="26"/>
      <c r="D827" s="26"/>
      <c r="E827" s="26"/>
      <c r="F827" s="26"/>
      <c r="G827" s="34">
        <f>SUMIFS('BASE EXEC. Q.L'!N:N,'BASE EXEC. Q.L'!B:B,VOOS!A827)</f>
        <v>0</v>
      </c>
      <c r="H827" s="15" t="str">
        <f>IFERROR(_xlfn.XLOOKUP(A827,'BASE SQL PLANTIO'!B:B,'BASE SQL PLANTIO'!T:T,"verificar",0),"")</f>
        <v/>
      </c>
      <c r="I827" s="77" t="str">
        <f>IF(_xlfn.MINIFS('BASE SQL PLANTIO'!E:E,'BASE SQL PLANTIO'!B:B,VOOS!A827)=0/1/1900,"",_xlfn.MINIFS('BASE SQL PLANTIO'!E:E,'BASE SQL PLANTIO'!B:B,VOOS!A827))</f>
        <v/>
      </c>
      <c r="J827" s="26"/>
      <c r="K827" s="34" t="str">
        <f t="shared" si="37"/>
        <v/>
      </c>
      <c r="L827" s="35" t="str">
        <f t="shared" si="38"/>
        <v/>
      </c>
      <c r="M827" s="14"/>
      <c r="N827" s="16"/>
    </row>
    <row r="828" spans="1:14" ht="15.6" x14ac:dyDescent="0.3">
      <c r="A828" s="13" t="str">
        <f t="shared" si="36"/>
        <v>-</v>
      </c>
      <c r="B828" s="27"/>
      <c r="C828" s="26"/>
      <c r="D828" s="26"/>
      <c r="E828" s="26"/>
      <c r="F828" s="26"/>
      <c r="G828" s="34">
        <f>SUMIFS('BASE EXEC. Q.L'!N:N,'BASE EXEC. Q.L'!B:B,VOOS!A828)</f>
        <v>0</v>
      </c>
      <c r="H828" s="15" t="str">
        <f>IFERROR(_xlfn.XLOOKUP(A828,'BASE SQL PLANTIO'!B:B,'BASE SQL PLANTIO'!T:T,"verificar",0),"")</f>
        <v/>
      </c>
      <c r="I828" s="77" t="str">
        <f>IF(_xlfn.MINIFS('BASE SQL PLANTIO'!E:E,'BASE SQL PLANTIO'!B:B,VOOS!A828)=0/1/1900,"",_xlfn.MINIFS('BASE SQL PLANTIO'!E:E,'BASE SQL PLANTIO'!B:B,VOOS!A828))</f>
        <v/>
      </c>
      <c r="J828" s="26"/>
      <c r="K828" s="34" t="str">
        <f t="shared" si="37"/>
        <v/>
      </c>
      <c r="L828" s="35" t="str">
        <f t="shared" si="38"/>
        <v/>
      </c>
      <c r="M828" s="14"/>
      <c r="N828" s="16"/>
    </row>
    <row r="829" spans="1:14" ht="15.6" x14ac:dyDescent="0.3">
      <c r="A829" s="13" t="str">
        <f t="shared" si="36"/>
        <v>-</v>
      </c>
      <c r="B829" s="27"/>
      <c r="C829" s="26"/>
      <c r="D829" s="26"/>
      <c r="E829" s="26"/>
      <c r="F829" s="26"/>
      <c r="G829" s="34">
        <f>SUMIFS('BASE EXEC. Q.L'!N:N,'BASE EXEC. Q.L'!B:B,VOOS!A829)</f>
        <v>0</v>
      </c>
      <c r="H829" s="15" t="str">
        <f>IFERROR(_xlfn.XLOOKUP(A829,'BASE SQL PLANTIO'!B:B,'BASE SQL PLANTIO'!T:T,"verificar",0),"")</f>
        <v/>
      </c>
      <c r="I829" s="77" t="str">
        <f>IF(_xlfn.MINIFS('BASE SQL PLANTIO'!E:E,'BASE SQL PLANTIO'!B:B,VOOS!A829)=0/1/1900,"",_xlfn.MINIFS('BASE SQL PLANTIO'!E:E,'BASE SQL PLANTIO'!B:B,VOOS!A829))</f>
        <v/>
      </c>
      <c r="J829" s="26"/>
      <c r="K829" s="34" t="str">
        <f t="shared" si="37"/>
        <v/>
      </c>
      <c r="L829" s="35" t="str">
        <f t="shared" si="38"/>
        <v/>
      </c>
      <c r="M829" s="14"/>
      <c r="N829" s="16"/>
    </row>
    <row r="830" spans="1:14" ht="15.6" x14ac:dyDescent="0.3">
      <c r="A830" s="13" t="str">
        <f t="shared" si="36"/>
        <v>-</v>
      </c>
      <c r="B830" s="27"/>
      <c r="C830" s="26"/>
      <c r="D830" s="26"/>
      <c r="E830" s="26"/>
      <c r="F830" s="26"/>
      <c r="G830" s="34">
        <f>SUMIFS('BASE EXEC. Q.L'!N:N,'BASE EXEC. Q.L'!B:B,VOOS!A830)</f>
        <v>0</v>
      </c>
      <c r="H830" s="15" t="str">
        <f>IFERROR(_xlfn.XLOOKUP(A830,'BASE SQL PLANTIO'!B:B,'BASE SQL PLANTIO'!T:T,"verificar",0),"")</f>
        <v/>
      </c>
      <c r="I830" s="77" t="str">
        <f>IF(_xlfn.MINIFS('BASE SQL PLANTIO'!E:E,'BASE SQL PLANTIO'!B:B,VOOS!A830)=0/1/1900,"",_xlfn.MINIFS('BASE SQL PLANTIO'!E:E,'BASE SQL PLANTIO'!B:B,VOOS!A830))</f>
        <v/>
      </c>
      <c r="J830" s="26"/>
      <c r="K830" s="34" t="str">
        <f t="shared" si="37"/>
        <v/>
      </c>
      <c r="L830" s="35" t="str">
        <f t="shared" si="38"/>
        <v/>
      </c>
      <c r="M830" s="14"/>
      <c r="N830" s="15"/>
    </row>
    <row r="831" spans="1:14" ht="15.6" x14ac:dyDescent="0.3">
      <c r="A831" s="13" t="str">
        <f t="shared" si="36"/>
        <v>-</v>
      </c>
      <c r="B831" s="25"/>
      <c r="C831" s="25"/>
      <c r="D831" s="25"/>
      <c r="E831" s="25"/>
      <c r="F831" s="31"/>
      <c r="G831" s="34">
        <f>SUMIFS('BASE EXEC. Q.L'!N:N,'BASE EXEC. Q.L'!B:B,VOOS!A831)</f>
        <v>0</v>
      </c>
      <c r="H831" s="15" t="str">
        <f>IFERROR(_xlfn.XLOOKUP(A831,'BASE SQL PLANTIO'!B:B,'BASE SQL PLANTIO'!T:T,"verificar",0),"")</f>
        <v/>
      </c>
      <c r="I831" s="77" t="str">
        <f>IF(_xlfn.MINIFS('BASE SQL PLANTIO'!E:E,'BASE SQL PLANTIO'!B:B,VOOS!A831)=0/1/1900,"",_xlfn.MINIFS('BASE SQL PLANTIO'!E:E,'BASE SQL PLANTIO'!B:B,VOOS!A831))</f>
        <v/>
      </c>
      <c r="J831" s="26"/>
      <c r="K831" s="34" t="str">
        <f t="shared" si="37"/>
        <v/>
      </c>
      <c r="L831" s="35" t="str">
        <f t="shared" si="38"/>
        <v/>
      </c>
      <c r="M831" s="14"/>
      <c r="N831" s="16"/>
    </row>
    <row r="832" spans="1:14" ht="15.6" x14ac:dyDescent="0.3">
      <c r="A832" s="13" t="str">
        <f t="shared" si="36"/>
        <v>-</v>
      </c>
      <c r="B832" s="25"/>
      <c r="C832" s="25"/>
      <c r="D832" s="25"/>
      <c r="E832" s="25"/>
      <c r="F832" s="31"/>
      <c r="G832" s="34">
        <f>SUMIFS('BASE EXEC. Q.L'!N:N,'BASE EXEC. Q.L'!B:B,VOOS!A832)</f>
        <v>0</v>
      </c>
      <c r="H832" s="15" t="str">
        <f>IFERROR(_xlfn.XLOOKUP(A832,'BASE SQL PLANTIO'!B:B,'BASE SQL PLANTIO'!T:T,"verificar",0),"")</f>
        <v/>
      </c>
      <c r="I832" s="77" t="str">
        <f>IF(_xlfn.MINIFS('BASE SQL PLANTIO'!E:E,'BASE SQL PLANTIO'!B:B,VOOS!A832)=0/1/1900,"",_xlfn.MINIFS('BASE SQL PLANTIO'!E:E,'BASE SQL PLANTIO'!B:B,VOOS!A832))</f>
        <v/>
      </c>
      <c r="J832" s="26"/>
      <c r="K832" s="34" t="str">
        <f t="shared" si="37"/>
        <v/>
      </c>
      <c r="L832" s="35" t="str">
        <f t="shared" si="38"/>
        <v/>
      </c>
      <c r="M832" s="14"/>
      <c r="N832" s="16"/>
    </row>
    <row r="833" spans="1:14" ht="15.6" x14ac:dyDescent="0.3">
      <c r="A833" s="13" t="str">
        <f t="shared" si="36"/>
        <v>-</v>
      </c>
      <c r="B833" s="27"/>
      <c r="C833" s="26"/>
      <c r="D833" s="26"/>
      <c r="E833" s="26"/>
      <c r="F833" s="26"/>
      <c r="G833" s="34">
        <f>SUMIFS('BASE EXEC. Q.L'!N:N,'BASE EXEC. Q.L'!B:B,VOOS!A833)</f>
        <v>0</v>
      </c>
      <c r="H833" s="15" t="str">
        <f>IFERROR(_xlfn.XLOOKUP(A833,'BASE SQL PLANTIO'!B:B,'BASE SQL PLANTIO'!T:T,"verificar",0),"")</f>
        <v/>
      </c>
      <c r="I833" s="77" t="str">
        <f>IF(_xlfn.MINIFS('BASE SQL PLANTIO'!E:E,'BASE SQL PLANTIO'!B:B,VOOS!A833)=0/1/1900,"",_xlfn.MINIFS('BASE SQL PLANTIO'!E:E,'BASE SQL PLANTIO'!B:B,VOOS!A833))</f>
        <v/>
      </c>
      <c r="J833" s="26"/>
      <c r="K833" s="34" t="str">
        <f t="shared" si="37"/>
        <v/>
      </c>
      <c r="L833" s="35" t="str">
        <f t="shared" si="38"/>
        <v/>
      </c>
      <c r="M833" s="14"/>
      <c r="N833" s="16"/>
    </row>
    <row r="834" spans="1:14" ht="15.6" x14ac:dyDescent="0.3">
      <c r="A834" s="13" t="str">
        <f t="shared" si="36"/>
        <v>-</v>
      </c>
      <c r="B834" s="27"/>
      <c r="C834" s="26"/>
      <c r="D834" s="26"/>
      <c r="E834" s="26"/>
      <c r="F834" s="26"/>
      <c r="G834" s="34">
        <f>SUMIFS('BASE EXEC. Q.L'!N:N,'BASE EXEC. Q.L'!B:B,VOOS!A834)</f>
        <v>0</v>
      </c>
      <c r="H834" s="15" t="str">
        <f>IFERROR(_xlfn.XLOOKUP(A834,'BASE SQL PLANTIO'!B:B,'BASE SQL PLANTIO'!T:T,"verificar",0),"")</f>
        <v/>
      </c>
      <c r="I834" s="77" t="str">
        <f>IF(_xlfn.MINIFS('BASE SQL PLANTIO'!E:E,'BASE SQL PLANTIO'!B:B,VOOS!A834)=0/1/1900,"",_xlfn.MINIFS('BASE SQL PLANTIO'!E:E,'BASE SQL PLANTIO'!B:B,VOOS!A834))</f>
        <v/>
      </c>
      <c r="J834" s="26"/>
      <c r="K834" s="34" t="str">
        <f t="shared" si="37"/>
        <v/>
      </c>
      <c r="L834" s="35" t="str">
        <f t="shared" si="38"/>
        <v/>
      </c>
      <c r="M834" s="14"/>
      <c r="N834" s="16"/>
    </row>
    <row r="835" spans="1:14" ht="15.6" x14ac:dyDescent="0.3">
      <c r="A835" s="13" t="str">
        <f t="shared" si="36"/>
        <v>-</v>
      </c>
      <c r="B835" s="27"/>
      <c r="C835" s="26"/>
      <c r="D835" s="26"/>
      <c r="E835" s="26"/>
      <c r="F835" s="26"/>
      <c r="G835" s="34">
        <f>SUMIFS('BASE EXEC. Q.L'!N:N,'BASE EXEC. Q.L'!B:B,VOOS!A835)</f>
        <v>0</v>
      </c>
      <c r="H835" s="15" t="str">
        <f>IFERROR(_xlfn.XLOOKUP(A835,'BASE SQL PLANTIO'!B:B,'BASE SQL PLANTIO'!T:T,"verificar",0),"")</f>
        <v/>
      </c>
      <c r="I835" s="77" t="str">
        <f>IF(_xlfn.MINIFS('BASE SQL PLANTIO'!E:E,'BASE SQL PLANTIO'!B:B,VOOS!A835)=0/1/1900,"",_xlfn.MINIFS('BASE SQL PLANTIO'!E:E,'BASE SQL PLANTIO'!B:B,VOOS!A835))</f>
        <v/>
      </c>
      <c r="J835" s="26"/>
      <c r="K835" s="34" t="str">
        <f t="shared" si="37"/>
        <v/>
      </c>
      <c r="L835" s="35" t="str">
        <f t="shared" si="38"/>
        <v/>
      </c>
      <c r="M835" s="14"/>
      <c r="N835" s="16"/>
    </row>
    <row r="836" spans="1:14" ht="15.6" x14ac:dyDescent="0.3">
      <c r="A836" s="13" t="str">
        <f t="shared" si="36"/>
        <v>-</v>
      </c>
      <c r="B836" s="27"/>
      <c r="C836" s="26"/>
      <c r="D836" s="26"/>
      <c r="E836" s="26"/>
      <c r="F836" s="26"/>
      <c r="G836" s="34">
        <f>SUMIFS('BASE EXEC. Q.L'!N:N,'BASE EXEC. Q.L'!B:B,VOOS!A836)</f>
        <v>0</v>
      </c>
      <c r="H836" s="15" t="str">
        <f>IFERROR(_xlfn.XLOOKUP(A836,'BASE SQL PLANTIO'!B:B,'BASE SQL PLANTIO'!T:T,"verificar",0),"")</f>
        <v/>
      </c>
      <c r="I836" s="77" t="str">
        <f>IF(_xlfn.MINIFS('BASE SQL PLANTIO'!E:E,'BASE SQL PLANTIO'!B:B,VOOS!A836)=0/1/1900,"",_xlfn.MINIFS('BASE SQL PLANTIO'!E:E,'BASE SQL PLANTIO'!B:B,VOOS!A836))</f>
        <v/>
      </c>
      <c r="J836" s="26"/>
      <c r="K836" s="34" t="str">
        <f t="shared" si="37"/>
        <v/>
      </c>
      <c r="L836" s="35" t="str">
        <f t="shared" si="38"/>
        <v/>
      </c>
      <c r="M836" s="14"/>
      <c r="N836" s="16"/>
    </row>
    <row r="837" spans="1:14" ht="15.6" x14ac:dyDescent="0.3">
      <c r="A837" s="13" t="str">
        <f t="shared" ref="A837:A900" si="39">CONCATENATE(B837,"-",E837)</f>
        <v>-</v>
      </c>
      <c r="B837" s="27"/>
      <c r="C837" s="26"/>
      <c r="D837" s="26"/>
      <c r="E837" s="26"/>
      <c r="F837" s="26"/>
      <c r="G837" s="34">
        <f>SUMIFS('BASE EXEC. Q.L'!N:N,'BASE EXEC. Q.L'!B:B,VOOS!A837)</f>
        <v>0</v>
      </c>
      <c r="H837" s="15" t="str">
        <f>IFERROR(_xlfn.XLOOKUP(A837,'BASE SQL PLANTIO'!B:B,'BASE SQL PLANTIO'!T:T,"verificar",0),"")</f>
        <v/>
      </c>
      <c r="I837" s="77" t="str">
        <f>IF(_xlfn.MINIFS('BASE SQL PLANTIO'!E:E,'BASE SQL PLANTIO'!B:B,VOOS!A837)=0/1/1900,"",_xlfn.MINIFS('BASE SQL PLANTIO'!E:E,'BASE SQL PLANTIO'!B:B,VOOS!A837))</f>
        <v/>
      </c>
      <c r="J837" s="26"/>
      <c r="K837" s="34" t="str">
        <f t="shared" ref="K837:K900" si="40">IF(I837="","",$K$3-I837)</f>
        <v/>
      </c>
      <c r="L837" s="35" t="str">
        <f t="shared" ref="L837:L900" si="41">K837</f>
        <v/>
      </c>
      <c r="M837" s="14"/>
      <c r="N837" s="16"/>
    </row>
    <row r="838" spans="1:14" ht="15.6" x14ac:dyDescent="0.3">
      <c r="A838" s="13" t="str">
        <f t="shared" si="39"/>
        <v>-</v>
      </c>
      <c r="B838" s="25"/>
      <c r="C838" s="25"/>
      <c r="D838" s="25"/>
      <c r="E838" s="25"/>
      <c r="F838" s="31"/>
      <c r="G838" s="34">
        <f>SUMIFS('BASE EXEC. Q.L'!N:N,'BASE EXEC. Q.L'!B:B,VOOS!A838)</f>
        <v>0</v>
      </c>
      <c r="H838" s="15" t="str">
        <f>IFERROR(_xlfn.XLOOKUP(A838,'BASE SQL PLANTIO'!B:B,'BASE SQL PLANTIO'!T:T,"verificar",0),"")</f>
        <v/>
      </c>
      <c r="I838" s="77" t="str">
        <f>IF(_xlfn.MINIFS('BASE SQL PLANTIO'!E:E,'BASE SQL PLANTIO'!B:B,VOOS!A838)=0/1/1900,"",_xlfn.MINIFS('BASE SQL PLANTIO'!E:E,'BASE SQL PLANTIO'!B:B,VOOS!A838))</f>
        <v/>
      </c>
      <c r="J838" s="26"/>
      <c r="K838" s="34" t="str">
        <f t="shared" si="40"/>
        <v/>
      </c>
      <c r="L838" s="35" t="str">
        <f t="shared" si="41"/>
        <v/>
      </c>
      <c r="M838" s="14"/>
      <c r="N838" s="16"/>
    </row>
    <row r="839" spans="1:14" ht="15.6" x14ac:dyDescent="0.3">
      <c r="A839" s="13" t="str">
        <f t="shared" si="39"/>
        <v>-</v>
      </c>
      <c r="B839" s="25"/>
      <c r="C839" s="25"/>
      <c r="D839" s="25"/>
      <c r="E839" s="25"/>
      <c r="F839" s="31"/>
      <c r="G839" s="34">
        <f>SUMIFS('BASE EXEC. Q.L'!N:N,'BASE EXEC. Q.L'!B:B,VOOS!A839)</f>
        <v>0</v>
      </c>
      <c r="H839" s="15" t="str">
        <f>IFERROR(_xlfn.XLOOKUP(A839,'BASE SQL PLANTIO'!B:B,'BASE SQL PLANTIO'!T:T,"verificar",0),"")</f>
        <v/>
      </c>
      <c r="I839" s="77" t="str">
        <f>IF(_xlfn.MINIFS('BASE SQL PLANTIO'!E:E,'BASE SQL PLANTIO'!B:B,VOOS!A839)=0/1/1900,"",_xlfn.MINIFS('BASE SQL PLANTIO'!E:E,'BASE SQL PLANTIO'!B:B,VOOS!A839))</f>
        <v/>
      </c>
      <c r="J839" s="26"/>
      <c r="K839" s="34" t="str">
        <f t="shared" si="40"/>
        <v/>
      </c>
      <c r="L839" s="35" t="str">
        <f t="shared" si="41"/>
        <v/>
      </c>
      <c r="M839" s="14"/>
      <c r="N839" s="16"/>
    </row>
    <row r="840" spans="1:14" ht="15.6" x14ac:dyDescent="0.3">
      <c r="A840" s="13" t="str">
        <f t="shared" si="39"/>
        <v>-</v>
      </c>
      <c r="B840" s="25"/>
      <c r="C840" s="25"/>
      <c r="D840" s="25"/>
      <c r="E840" s="25"/>
      <c r="F840" s="31"/>
      <c r="G840" s="34">
        <f>SUMIFS('BASE EXEC. Q.L'!N:N,'BASE EXEC. Q.L'!B:B,VOOS!A840)</f>
        <v>0</v>
      </c>
      <c r="H840" s="15" t="str">
        <f>IFERROR(_xlfn.XLOOKUP(A840,'BASE SQL PLANTIO'!B:B,'BASE SQL PLANTIO'!T:T,"verificar",0),"")</f>
        <v/>
      </c>
      <c r="I840" s="77" t="str">
        <f>IF(_xlfn.MINIFS('BASE SQL PLANTIO'!E:E,'BASE SQL PLANTIO'!B:B,VOOS!A840)=0/1/1900,"",_xlfn.MINIFS('BASE SQL PLANTIO'!E:E,'BASE SQL PLANTIO'!B:B,VOOS!A840))</f>
        <v/>
      </c>
      <c r="J840" s="26"/>
      <c r="K840" s="34" t="str">
        <f t="shared" si="40"/>
        <v/>
      </c>
      <c r="L840" s="35" t="str">
        <f t="shared" si="41"/>
        <v/>
      </c>
      <c r="M840" s="14"/>
      <c r="N840" s="16"/>
    </row>
    <row r="841" spans="1:14" ht="15.6" x14ac:dyDescent="0.3">
      <c r="A841" s="13" t="str">
        <f t="shared" si="39"/>
        <v>-</v>
      </c>
      <c r="B841" s="27"/>
      <c r="C841" s="26"/>
      <c r="D841" s="26"/>
      <c r="E841" s="26"/>
      <c r="F841" s="26"/>
      <c r="G841" s="34">
        <f>SUMIFS('BASE EXEC. Q.L'!N:N,'BASE EXEC. Q.L'!B:B,VOOS!A841)</f>
        <v>0</v>
      </c>
      <c r="H841" s="15" t="str">
        <f>IFERROR(_xlfn.XLOOKUP(A841,'BASE SQL PLANTIO'!B:B,'BASE SQL PLANTIO'!T:T,"verificar",0),"")</f>
        <v/>
      </c>
      <c r="I841" s="77" t="str">
        <f>IF(_xlfn.MINIFS('BASE SQL PLANTIO'!E:E,'BASE SQL PLANTIO'!B:B,VOOS!A841)=0/1/1900,"",_xlfn.MINIFS('BASE SQL PLANTIO'!E:E,'BASE SQL PLANTIO'!B:B,VOOS!A841))</f>
        <v/>
      </c>
      <c r="J841" s="26"/>
      <c r="K841" s="34" t="str">
        <f t="shared" si="40"/>
        <v/>
      </c>
      <c r="L841" s="35" t="str">
        <f t="shared" si="41"/>
        <v/>
      </c>
      <c r="M841" s="14"/>
      <c r="N841" s="16"/>
    </row>
    <row r="842" spans="1:14" ht="15.6" x14ac:dyDescent="0.3">
      <c r="A842" s="13" t="str">
        <f t="shared" si="39"/>
        <v>-</v>
      </c>
      <c r="B842" s="27"/>
      <c r="C842" s="26"/>
      <c r="D842" s="26"/>
      <c r="E842" s="26"/>
      <c r="F842" s="26"/>
      <c r="G842" s="34">
        <f>SUMIFS('BASE EXEC. Q.L'!N:N,'BASE EXEC. Q.L'!B:B,VOOS!A842)</f>
        <v>0</v>
      </c>
      <c r="H842" s="15" t="str">
        <f>IFERROR(_xlfn.XLOOKUP(A842,'BASE SQL PLANTIO'!B:B,'BASE SQL PLANTIO'!T:T,"verificar",0),"")</f>
        <v/>
      </c>
      <c r="I842" s="77" t="str">
        <f>IF(_xlfn.MINIFS('BASE SQL PLANTIO'!E:E,'BASE SQL PLANTIO'!B:B,VOOS!A842)=0/1/1900,"",_xlfn.MINIFS('BASE SQL PLANTIO'!E:E,'BASE SQL PLANTIO'!B:B,VOOS!A842))</f>
        <v/>
      </c>
      <c r="J842" s="26"/>
      <c r="K842" s="34" t="str">
        <f t="shared" si="40"/>
        <v/>
      </c>
      <c r="L842" s="35" t="str">
        <f t="shared" si="41"/>
        <v/>
      </c>
      <c r="M842" s="14"/>
      <c r="N842" s="15"/>
    </row>
    <row r="843" spans="1:14" ht="15.6" x14ac:dyDescent="0.3">
      <c r="A843" s="13" t="str">
        <f t="shared" si="39"/>
        <v>-</v>
      </c>
      <c r="B843" s="27"/>
      <c r="C843" s="26"/>
      <c r="D843" s="26"/>
      <c r="E843" s="26"/>
      <c r="F843" s="26"/>
      <c r="G843" s="34">
        <f>SUMIFS('BASE EXEC. Q.L'!N:N,'BASE EXEC. Q.L'!B:B,VOOS!A843)</f>
        <v>0</v>
      </c>
      <c r="H843" s="15" t="str">
        <f>IFERROR(_xlfn.XLOOKUP(A843,'BASE SQL PLANTIO'!B:B,'BASE SQL PLANTIO'!T:T,"verificar",0),"")</f>
        <v/>
      </c>
      <c r="I843" s="77" t="str">
        <f>IF(_xlfn.MINIFS('BASE SQL PLANTIO'!E:E,'BASE SQL PLANTIO'!B:B,VOOS!A843)=0/1/1900,"",_xlfn.MINIFS('BASE SQL PLANTIO'!E:E,'BASE SQL PLANTIO'!B:B,VOOS!A843))</f>
        <v/>
      </c>
      <c r="J843" s="26"/>
      <c r="K843" s="34" t="str">
        <f t="shared" si="40"/>
        <v/>
      </c>
      <c r="L843" s="35" t="str">
        <f t="shared" si="41"/>
        <v/>
      </c>
      <c r="M843" s="14"/>
      <c r="N843" s="16"/>
    </row>
    <row r="844" spans="1:14" ht="15.6" x14ac:dyDescent="0.3">
      <c r="A844" s="13" t="str">
        <f t="shared" si="39"/>
        <v>-</v>
      </c>
      <c r="B844" s="27"/>
      <c r="C844" s="26"/>
      <c r="D844" s="26"/>
      <c r="E844" s="26"/>
      <c r="F844" s="26"/>
      <c r="G844" s="34">
        <f>SUMIFS('BASE EXEC. Q.L'!N:N,'BASE EXEC. Q.L'!B:B,VOOS!A844)</f>
        <v>0</v>
      </c>
      <c r="H844" s="15" t="str">
        <f>IFERROR(_xlfn.XLOOKUP(A844,'BASE SQL PLANTIO'!B:B,'BASE SQL PLANTIO'!T:T,"verificar",0),"")</f>
        <v/>
      </c>
      <c r="I844" s="77" t="str">
        <f>IF(_xlfn.MINIFS('BASE SQL PLANTIO'!E:E,'BASE SQL PLANTIO'!B:B,VOOS!A844)=0/1/1900,"",_xlfn.MINIFS('BASE SQL PLANTIO'!E:E,'BASE SQL PLANTIO'!B:B,VOOS!A844))</f>
        <v/>
      </c>
      <c r="J844" s="26"/>
      <c r="K844" s="34" t="str">
        <f t="shared" si="40"/>
        <v/>
      </c>
      <c r="L844" s="35" t="str">
        <f t="shared" si="41"/>
        <v/>
      </c>
      <c r="M844" s="14"/>
      <c r="N844" s="16"/>
    </row>
    <row r="845" spans="1:14" ht="15.6" x14ac:dyDescent="0.3">
      <c r="A845" s="13" t="str">
        <f t="shared" si="39"/>
        <v>-</v>
      </c>
      <c r="B845" s="27"/>
      <c r="C845" s="26"/>
      <c r="D845" s="26"/>
      <c r="E845" s="26"/>
      <c r="F845" s="26"/>
      <c r="G845" s="34">
        <f>SUMIFS('BASE EXEC. Q.L'!N:N,'BASE EXEC. Q.L'!B:B,VOOS!A845)</f>
        <v>0</v>
      </c>
      <c r="H845" s="15" t="str">
        <f>IFERROR(_xlfn.XLOOKUP(A845,'BASE SQL PLANTIO'!B:B,'BASE SQL PLANTIO'!T:T,"verificar",0),"")</f>
        <v/>
      </c>
      <c r="I845" s="77" t="str">
        <f>IF(_xlfn.MINIFS('BASE SQL PLANTIO'!E:E,'BASE SQL PLANTIO'!B:B,VOOS!A845)=0/1/1900,"",_xlfn.MINIFS('BASE SQL PLANTIO'!E:E,'BASE SQL PLANTIO'!B:B,VOOS!A845))</f>
        <v/>
      </c>
      <c r="J845" s="26"/>
      <c r="K845" s="34" t="str">
        <f t="shared" si="40"/>
        <v/>
      </c>
      <c r="L845" s="35" t="str">
        <f t="shared" si="41"/>
        <v/>
      </c>
      <c r="M845" s="14"/>
      <c r="N845" s="16"/>
    </row>
    <row r="846" spans="1:14" ht="15.6" x14ac:dyDescent="0.3">
      <c r="A846" s="13" t="str">
        <f t="shared" si="39"/>
        <v>-</v>
      </c>
      <c r="B846" s="27"/>
      <c r="C846" s="22"/>
      <c r="D846" s="23"/>
      <c r="E846" s="23"/>
      <c r="F846" s="22"/>
      <c r="G846" s="34">
        <f>SUMIFS('BASE EXEC. Q.L'!N:N,'BASE EXEC. Q.L'!B:B,VOOS!A846)</f>
        <v>0</v>
      </c>
      <c r="H846" s="15" t="str">
        <f>IFERROR(_xlfn.XLOOKUP(A846,'BASE SQL PLANTIO'!B:B,'BASE SQL PLANTIO'!T:T,"verificar",0),"")</f>
        <v/>
      </c>
      <c r="I846" s="77" t="str">
        <f>IF(_xlfn.MINIFS('BASE SQL PLANTIO'!E:E,'BASE SQL PLANTIO'!B:B,VOOS!A846)=0/1/1900,"",_xlfn.MINIFS('BASE SQL PLANTIO'!E:E,'BASE SQL PLANTIO'!B:B,VOOS!A846))</f>
        <v/>
      </c>
      <c r="J846" s="22"/>
      <c r="K846" s="34" t="str">
        <f t="shared" si="40"/>
        <v/>
      </c>
      <c r="L846" s="35" t="str">
        <f t="shared" si="41"/>
        <v/>
      </c>
      <c r="M846" s="14"/>
      <c r="N846" s="16"/>
    </row>
    <row r="847" spans="1:14" ht="15.6" x14ac:dyDescent="0.3">
      <c r="A847" s="13" t="str">
        <f t="shared" si="39"/>
        <v>-</v>
      </c>
      <c r="B847" s="27"/>
      <c r="C847" s="26"/>
      <c r="D847" s="26"/>
      <c r="E847" s="26"/>
      <c r="F847" s="26"/>
      <c r="G847" s="34">
        <f>SUMIFS('BASE EXEC. Q.L'!N:N,'BASE EXEC. Q.L'!B:B,VOOS!A847)</f>
        <v>0</v>
      </c>
      <c r="H847" s="15" t="str">
        <f>IFERROR(_xlfn.XLOOKUP(A847,'BASE SQL PLANTIO'!B:B,'BASE SQL PLANTIO'!T:T,"verificar",0),"")</f>
        <v/>
      </c>
      <c r="I847" s="77" t="str">
        <f>IF(_xlfn.MINIFS('BASE SQL PLANTIO'!E:E,'BASE SQL PLANTIO'!B:B,VOOS!A847)=0/1/1900,"",_xlfn.MINIFS('BASE SQL PLANTIO'!E:E,'BASE SQL PLANTIO'!B:B,VOOS!A847))</f>
        <v/>
      </c>
      <c r="J847" s="26"/>
      <c r="K847" s="34" t="str">
        <f t="shared" si="40"/>
        <v/>
      </c>
      <c r="L847" s="35" t="str">
        <f t="shared" si="41"/>
        <v/>
      </c>
      <c r="M847" s="14"/>
      <c r="N847" s="16"/>
    </row>
    <row r="848" spans="1:14" ht="15.6" x14ac:dyDescent="0.3">
      <c r="A848" s="13" t="str">
        <f t="shared" si="39"/>
        <v>-</v>
      </c>
      <c r="B848" s="27"/>
      <c r="C848" s="26"/>
      <c r="D848" s="26"/>
      <c r="E848" s="26"/>
      <c r="F848" s="26"/>
      <c r="G848" s="34">
        <f>SUMIFS('BASE EXEC. Q.L'!N:N,'BASE EXEC. Q.L'!B:B,VOOS!A848)</f>
        <v>0</v>
      </c>
      <c r="H848" s="15" t="str">
        <f>IFERROR(_xlfn.XLOOKUP(A848,'BASE SQL PLANTIO'!B:B,'BASE SQL PLANTIO'!T:T,"verificar",0),"")</f>
        <v/>
      </c>
      <c r="I848" s="77" t="str">
        <f>IF(_xlfn.MINIFS('BASE SQL PLANTIO'!E:E,'BASE SQL PLANTIO'!B:B,VOOS!A848)=0/1/1900,"",_xlfn.MINIFS('BASE SQL PLANTIO'!E:E,'BASE SQL PLANTIO'!B:B,VOOS!A848))</f>
        <v/>
      </c>
      <c r="J848" s="26"/>
      <c r="K848" s="34" t="str">
        <f t="shared" si="40"/>
        <v/>
      </c>
      <c r="L848" s="35" t="str">
        <f t="shared" si="41"/>
        <v/>
      </c>
      <c r="M848" s="14"/>
      <c r="N848" s="16"/>
    </row>
    <row r="849" spans="1:14" ht="15.6" x14ac:dyDescent="0.3">
      <c r="A849" s="13" t="str">
        <f t="shared" si="39"/>
        <v>-</v>
      </c>
      <c r="B849" s="27"/>
      <c r="C849" s="26"/>
      <c r="D849" s="26"/>
      <c r="E849" s="26"/>
      <c r="F849" s="26"/>
      <c r="G849" s="34">
        <f>SUMIFS('BASE EXEC. Q.L'!N:N,'BASE EXEC. Q.L'!B:B,VOOS!A849)</f>
        <v>0</v>
      </c>
      <c r="H849" s="15" t="str">
        <f>IFERROR(_xlfn.XLOOKUP(A849,'BASE SQL PLANTIO'!B:B,'BASE SQL PLANTIO'!T:T,"verificar",0),"")</f>
        <v/>
      </c>
      <c r="I849" s="77" t="str">
        <f>IF(_xlfn.MINIFS('BASE SQL PLANTIO'!E:E,'BASE SQL PLANTIO'!B:B,VOOS!A849)=0/1/1900,"",_xlfn.MINIFS('BASE SQL PLANTIO'!E:E,'BASE SQL PLANTIO'!B:B,VOOS!A849))</f>
        <v/>
      </c>
      <c r="J849" s="26"/>
      <c r="K849" s="34" t="str">
        <f t="shared" si="40"/>
        <v/>
      </c>
      <c r="L849" s="35" t="str">
        <f t="shared" si="41"/>
        <v/>
      </c>
      <c r="M849" s="14"/>
      <c r="N849" s="16"/>
    </row>
    <row r="850" spans="1:14" ht="15.6" x14ac:dyDescent="0.3">
      <c r="A850" s="13" t="str">
        <f t="shared" si="39"/>
        <v>-</v>
      </c>
      <c r="B850" s="27"/>
      <c r="C850" s="26"/>
      <c r="D850" s="26"/>
      <c r="E850" s="26"/>
      <c r="F850" s="26"/>
      <c r="G850" s="34">
        <f>SUMIFS('BASE EXEC. Q.L'!N:N,'BASE EXEC. Q.L'!B:B,VOOS!A850)</f>
        <v>0</v>
      </c>
      <c r="H850" s="15" t="str">
        <f>IFERROR(_xlfn.XLOOKUP(A850,'BASE SQL PLANTIO'!B:B,'BASE SQL PLANTIO'!T:T,"verificar",0),"")</f>
        <v/>
      </c>
      <c r="I850" s="77" t="str">
        <f>IF(_xlfn.MINIFS('BASE SQL PLANTIO'!E:E,'BASE SQL PLANTIO'!B:B,VOOS!A850)=0/1/1900,"",_xlfn.MINIFS('BASE SQL PLANTIO'!E:E,'BASE SQL PLANTIO'!B:B,VOOS!A850))</f>
        <v/>
      </c>
      <c r="J850" s="26"/>
      <c r="K850" s="34" t="str">
        <f t="shared" si="40"/>
        <v/>
      </c>
      <c r="L850" s="35" t="str">
        <f t="shared" si="41"/>
        <v/>
      </c>
      <c r="M850" s="14"/>
      <c r="N850" s="16"/>
    </row>
    <row r="851" spans="1:14" ht="15.6" x14ac:dyDescent="0.3">
      <c r="A851" s="13" t="str">
        <f t="shared" si="39"/>
        <v>-</v>
      </c>
      <c r="B851" s="27"/>
      <c r="C851" s="26"/>
      <c r="D851" s="26"/>
      <c r="E851" s="26"/>
      <c r="F851" s="26"/>
      <c r="G851" s="34">
        <f>SUMIFS('BASE EXEC. Q.L'!N:N,'BASE EXEC. Q.L'!B:B,VOOS!A851)</f>
        <v>0</v>
      </c>
      <c r="H851" s="15" t="str">
        <f>IFERROR(_xlfn.XLOOKUP(A851,'BASE SQL PLANTIO'!B:B,'BASE SQL PLANTIO'!T:T,"verificar",0),"")</f>
        <v/>
      </c>
      <c r="I851" s="77" t="str">
        <f>IF(_xlfn.MINIFS('BASE SQL PLANTIO'!E:E,'BASE SQL PLANTIO'!B:B,VOOS!A851)=0/1/1900,"",_xlfn.MINIFS('BASE SQL PLANTIO'!E:E,'BASE SQL PLANTIO'!B:B,VOOS!A851))</f>
        <v/>
      </c>
      <c r="J851" s="26"/>
      <c r="K851" s="34" t="str">
        <f t="shared" si="40"/>
        <v/>
      </c>
      <c r="L851" s="35" t="str">
        <f t="shared" si="41"/>
        <v/>
      </c>
      <c r="M851" s="14"/>
      <c r="N851" s="16"/>
    </row>
    <row r="852" spans="1:14" ht="15.6" x14ac:dyDescent="0.3">
      <c r="A852" s="13" t="str">
        <f t="shared" si="39"/>
        <v>-</v>
      </c>
      <c r="B852" s="27"/>
      <c r="C852" s="26"/>
      <c r="D852" s="26"/>
      <c r="E852" s="26"/>
      <c r="F852" s="26"/>
      <c r="G852" s="34">
        <f>SUMIFS('BASE EXEC. Q.L'!N:N,'BASE EXEC. Q.L'!B:B,VOOS!A852)</f>
        <v>0</v>
      </c>
      <c r="H852" s="15" t="str">
        <f>IFERROR(_xlfn.XLOOKUP(A852,'BASE SQL PLANTIO'!B:B,'BASE SQL PLANTIO'!T:T,"verificar",0),"")</f>
        <v/>
      </c>
      <c r="I852" s="77" t="str">
        <f>IF(_xlfn.MINIFS('BASE SQL PLANTIO'!E:E,'BASE SQL PLANTIO'!B:B,VOOS!A852)=0/1/1900,"",_xlfn.MINIFS('BASE SQL PLANTIO'!E:E,'BASE SQL PLANTIO'!B:B,VOOS!A852))</f>
        <v/>
      </c>
      <c r="J852" s="26"/>
      <c r="K852" s="34" t="str">
        <f t="shared" si="40"/>
        <v/>
      </c>
      <c r="L852" s="35" t="str">
        <f t="shared" si="41"/>
        <v/>
      </c>
      <c r="M852" s="14"/>
      <c r="N852" s="15"/>
    </row>
    <row r="853" spans="1:14" ht="15.6" x14ac:dyDescent="0.3">
      <c r="A853" s="13" t="str">
        <f t="shared" si="39"/>
        <v>-</v>
      </c>
      <c r="B853" s="27"/>
      <c r="C853" s="26"/>
      <c r="D853" s="26"/>
      <c r="E853" s="26"/>
      <c r="F853" s="26"/>
      <c r="G853" s="34">
        <f>SUMIFS('BASE EXEC. Q.L'!N:N,'BASE EXEC. Q.L'!B:B,VOOS!A853)</f>
        <v>0</v>
      </c>
      <c r="H853" s="15" t="str">
        <f>IFERROR(_xlfn.XLOOKUP(A853,'BASE SQL PLANTIO'!B:B,'BASE SQL PLANTIO'!T:T,"verificar",0),"")</f>
        <v/>
      </c>
      <c r="I853" s="77" t="str">
        <f>IF(_xlfn.MINIFS('BASE SQL PLANTIO'!E:E,'BASE SQL PLANTIO'!B:B,VOOS!A853)=0/1/1900,"",_xlfn.MINIFS('BASE SQL PLANTIO'!E:E,'BASE SQL PLANTIO'!B:B,VOOS!A853))</f>
        <v/>
      </c>
      <c r="J853" s="26"/>
      <c r="K853" s="34" t="str">
        <f t="shared" si="40"/>
        <v/>
      </c>
      <c r="L853" s="35" t="str">
        <f t="shared" si="41"/>
        <v/>
      </c>
      <c r="M853" s="14"/>
      <c r="N853" s="16"/>
    </row>
    <row r="854" spans="1:14" ht="15.6" x14ac:dyDescent="0.3">
      <c r="A854" s="13" t="str">
        <f t="shared" si="39"/>
        <v>-</v>
      </c>
      <c r="B854" s="25"/>
      <c r="C854" s="25"/>
      <c r="D854" s="25"/>
      <c r="E854" s="25"/>
      <c r="F854" s="31"/>
      <c r="G854" s="34">
        <f>SUMIFS('BASE EXEC. Q.L'!N:N,'BASE EXEC. Q.L'!B:B,VOOS!A854)</f>
        <v>0</v>
      </c>
      <c r="H854" s="15" t="str">
        <f>IFERROR(_xlfn.XLOOKUP(A854,'BASE SQL PLANTIO'!B:B,'BASE SQL PLANTIO'!T:T,"verificar",0),"")</f>
        <v/>
      </c>
      <c r="I854" s="77" t="str">
        <f>IF(_xlfn.MINIFS('BASE SQL PLANTIO'!E:E,'BASE SQL PLANTIO'!B:B,VOOS!A854)=0/1/1900,"",_xlfn.MINIFS('BASE SQL PLANTIO'!E:E,'BASE SQL PLANTIO'!B:B,VOOS!A854))</f>
        <v/>
      </c>
      <c r="J854" s="26"/>
      <c r="K854" s="34" t="str">
        <f t="shared" si="40"/>
        <v/>
      </c>
      <c r="L854" s="35" t="str">
        <f t="shared" si="41"/>
        <v/>
      </c>
      <c r="M854" s="14"/>
      <c r="N854" s="16"/>
    </row>
    <row r="855" spans="1:14" ht="15.6" x14ac:dyDescent="0.3">
      <c r="A855" s="13" t="str">
        <f t="shared" si="39"/>
        <v>-</v>
      </c>
      <c r="B855" s="25"/>
      <c r="C855" s="25"/>
      <c r="D855" s="25"/>
      <c r="E855" s="25"/>
      <c r="F855" s="31"/>
      <c r="G855" s="34">
        <f>SUMIFS('BASE EXEC. Q.L'!N:N,'BASE EXEC. Q.L'!B:B,VOOS!A855)</f>
        <v>0</v>
      </c>
      <c r="H855" s="15" t="str">
        <f>IFERROR(_xlfn.XLOOKUP(A855,'BASE SQL PLANTIO'!B:B,'BASE SQL PLANTIO'!T:T,"verificar",0),"")</f>
        <v/>
      </c>
      <c r="I855" s="77" t="str">
        <f>IF(_xlfn.MINIFS('BASE SQL PLANTIO'!E:E,'BASE SQL PLANTIO'!B:B,VOOS!A855)=0/1/1900,"",_xlfn.MINIFS('BASE SQL PLANTIO'!E:E,'BASE SQL PLANTIO'!B:B,VOOS!A855))</f>
        <v/>
      </c>
      <c r="J855" s="26"/>
      <c r="K855" s="34" t="str">
        <f t="shared" si="40"/>
        <v/>
      </c>
      <c r="L855" s="35" t="str">
        <f t="shared" si="41"/>
        <v/>
      </c>
      <c r="M855" s="14"/>
      <c r="N855" s="16"/>
    </row>
    <row r="856" spans="1:14" ht="15.6" x14ac:dyDescent="0.3">
      <c r="A856" s="13" t="str">
        <f t="shared" si="39"/>
        <v>-</v>
      </c>
      <c r="B856" s="27"/>
      <c r="C856" s="26"/>
      <c r="D856" s="26"/>
      <c r="E856" s="26"/>
      <c r="F856" s="26"/>
      <c r="G856" s="34">
        <f>SUMIFS('BASE EXEC. Q.L'!N:N,'BASE EXEC. Q.L'!B:B,VOOS!A856)</f>
        <v>0</v>
      </c>
      <c r="H856" s="15" t="str">
        <f>IFERROR(_xlfn.XLOOKUP(A856,'BASE SQL PLANTIO'!B:B,'BASE SQL PLANTIO'!T:T,"verificar",0),"")</f>
        <v/>
      </c>
      <c r="I856" s="77" t="str">
        <f>IF(_xlfn.MINIFS('BASE SQL PLANTIO'!E:E,'BASE SQL PLANTIO'!B:B,VOOS!A856)=0/1/1900,"",_xlfn.MINIFS('BASE SQL PLANTIO'!E:E,'BASE SQL PLANTIO'!B:B,VOOS!A856))</f>
        <v/>
      </c>
      <c r="J856" s="26"/>
      <c r="K856" s="34" t="str">
        <f t="shared" si="40"/>
        <v/>
      </c>
      <c r="L856" s="35" t="str">
        <f t="shared" si="41"/>
        <v/>
      </c>
      <c r="M856" s="14"/>
      <c r="N856" s="16"/>
    </row>
    <row r="857" spans="1:14" ht="15.6" x14ac:dyDescent="0.3">
      <c r="A857" s="13" t="str">
        <f t="shared" si="39"/>
        <v>-</v>
      </c>
      <c r="B857" s="27"/>
      <c r="C857" s="26"/>
      <c r="D857" s="26"/>
      <c r="E857" s="26"/>
      <c r="F857" s="26"/>
      <c r="G857" s="34">
        <f>SUMIFS('BASE EXEC. Q.L'!N:N,'BASE EXEC. Q.L'!B:B,VOOS!A857)</f>
        <v>0</v>
      </c>
      <c r="H857" s="15" t="str">
        <f>IFERROR(_xlfn.XLOOKUP(A857,'BASE SQL PLANTIO'!B:B,'BASE SQL PLANTIO'!T:T,"verificar",0),"")</f>
        <v/>
      </c>
      <c r="I857" s="77" t="str">
        <f>IF(_xlfn.MINIFS('BASE SQL PLANTIO'!E:E,'BASE SQL PLANTIO'!B:B,VOOS!A857)=0/1/1900,"",_xlfn.MINIFS('BASE SQL PLANTIO'!E:E,'BASE SQL PLANTIO'!B:B,VOOS!A857))</f>
        <v/>
      </c>
      <c r="J857" s="26"/>
      <c r="K857" s="34" t="str">
        <f t="shared" si="40"/>
        <v/>
      </c>
      <c r="L857" s="35" t="str">
        <f t="shared" si="41"/>
        <v/>
      </c>
      <c r="M857" s="14"/>
      <c r="N857" s="16"/>
    </row>
    <row r="858" spans="1:14" ht="15.6" x14ac:dyDescent="0.3">
      <c r="A858" s="13" t="str">
        <f t="shared" si="39"/>
        <v>-</v>
      </c>
      <c r="B858" s="27"/>
      <c r="C858" s="26"/>
      <c r="D858" s="26"/>
      <c r="E858" s="26"/>
      <c r="F858" s="26"/>
      <c r="G858" s="34">
        <f>SUMIFS('BASE EXEC. Q.L'!N:N,'BASE EXEC. Q.L'!B:B,VOOS!A858)</f>
        <v>0</v>
      </c>
      <c r="H858" s="15" t="str">
        <f>IFERROR(_xlfn.XLOOKUP(A858,'BASE SQL PLANTIO'!B:B,'BASE SQL PLANTIO'!T:T,"verificar",0),"")</f>
        <v/>
      </c>
      <c r="I858" s="77" t="str">
        <f>IF(_xlfn.MINIFS('BASE SQL PLANTIO'!E:E,'BASE SQL PLANTIO'!B:B,VOOS!A858)=0/1/1900,"",_xlfn.MINIFS('BASE SQL PLANTIO'!E:E,'BASE SQL PLANTIO'!B:B,VOOS!A858))</f>
        <v/>
      </c>
      <c r="J858" s="26"/>
      <c r="K858" s="34" t="str">
        <f t="shared" si="40"/>
        <v/>
      </c>
      <c r="L858" s="35" t="str">
        <f t="shared" si="41"/>
        <v/>
      </c>
      <c r="M858" s="14"/>
      <c r="N858" s="16"/>
    </row>
    <row r="859" spans="1:14" ht="15.6" x14ac:dyDescent="0.3">
      <c r="A859" s="13" t="str">
        <f t="shared" si="39"/>
        <v>-</v>
      </c>
      <c r="B859" s="27"/>
      <c r="C859" s="26"/>
      <c r="D859" s="26"/>
      <c r="E859" s="26"/>
      <c r="F859" s="26"/>
      <c r="G859" s="34">
        <f>SUMIFS('BASE EXEC. Q.L'!N:N,'BASE EXEC. Q.L'!B:B,VOOS!A859)</f>
        <v>0</v>
      </c>
      <c r="H859" s="15" t="str">
        <f>IFERROR(_xlfn.XLOOKUP(A859,'BASE SQL PLANTIO'!B:B,'BASE SQL PLANTIO'!T:T,"verificar",0),"")</f>
        <v/>
      </c>
      <c r="I859" s="77" t="str">
        <f>IF(_xlfn.MINIFS('BASE SQL PLANTIO'!E:E,'BASE SQL PLANTIO'!B:B,VOOS!A859)=0/1/1900,"",_xlfn.MINIFS('BASE SQL PLANTIO'!E:E,'BASE SQL PLANTIO'!B:B,VOOS!A859))</f>
        <v/>
      </c>
      <c r="J859" s="26"/>
      <c r="K859" s="34" t="str">
        <f t="shared" si="40"/>
        <v/>
      </c>
      <c r="L859" s="35" t="str">
        <f t="shared" si="41"/>
        <v/>
      </c>
      <c r="M859" s="14"/>
      <c r="N859" s="16"/>
    </row>
    <row r="860" spans="1:14" ht="15.6" x14ac:dyDescent="0.3">
      <c r="A860" s="13" t="str">
        <f t="shared" si="39"/>
        <v>-</v>
      </c>
      <c r="B860" s="27"/>
      <c r="C860" s="26"/>
      <c r="D860" s="26"/>
      <c r="E860" s="26"/>
      <c r="F860" s="26"/>
      <c r="G860" s="34">
        <f>SUMIFS('BASE EXEC. Q.L'!N:N,'BASE EXEC. Q.L'!B:B,VOOS!A860)</f>
        <v>0</v>
      </c>
      <c r="H860" s="15" t="str">
        <f>IFERROR(_xlfn.XLOOKUP(A860,'BASE SQL PLANTIO'!B:B,'BASE SQL PLANTIO'!T:T,"verificar",0),"")</f>
        <v/>
      </c>
      <c r="I860" s="77" t="str">
        <f>IF(_xlfn.MINIFS('BASE SQL PLANTIO'!E:E,'BASE SQL PLANTIO'!B:B,VOOS!A860)=0/1/1900,"",_xlfn.MINIFS('BASE SQL PLANTIO'!E:E,'BASE SQL PLANTIO'!B:B,VOOS!A860))</f>
        <v/>
      </c>
      <c r="J860" s="26"/>
      <c r="K860" s="34" t="str">
        <f t="shared" si="40"/>
        <v/>
      </c>
      <c r="L860" s="35" t="str">
        <f t="shared" si="41"/>
        <v/>
      </c>
      <c r="M860" s="14"/>
      <c r="N860" s="16"/>
    </row>
    <row r="861" spans="1:14" ht="15.6" x14ac:dyDescent="0.3">
      <c r="A861" s="13" t="str">
        <f t="shared" si="39"/>
        <v>-</v>
      </c>
      <c r="B861" s="25"/>
      <c r="C861" s="25"/>
      <c r="D861" s="25"/>
      <c r="E861" s="25"/>
      <c r="F861" s="31"/>
      <c r="G861" s="34">
        <f>SUMIFS('BASE EXEC. Q.L'!N:N,'BASE EXEC. Q.L'!B:B,VOOS!A861)</f>
        <v>0</v>
      </c>
      <c r="H861" s="15" t="str">
        <f>IFERROR(_xlfn.XLOOKUP(A861,'BASE SQL PLANTIO'!B:B,'BASE SQL PLANTIO'!T:T,"verificar",0),"")</f>
        <v/>
      </c>
      <c r="I861" s="77" t="str">
        <f>IF(_xlfn.MINIFS('BASE SQL PLANTIO'!E:E,'BASE SQL PLANTIO'!B:B,VOOS!A861)=0/1/1900,"",_xlfn.MINIFS('BASE SQL PLANTIO'!E:E,'BASE SQL PLANTIO'!B:B,VOOS!A861))</f>
        <v/>
      </c>
      <c r="J861" s="26"/>
      <c r="K861" s="34" t="str">
        <f t="shared" si="40"/>
        <v/>
      </c>
      <c r="L861" s="35" t="str">
        <f t="shared" si="41"/>
        <v/>
      </c>
      <c r="M861" s="14"/>
      <c r="N861" s="16"/>
    </row>
    <row r="862" spans="1:14" ht="15.6" x14ac:dyDescent="0.3">
      <c r="A862" s="13" t="str">
        <f t="shared" si="39"/>
        <v>-</v>
      </c>
      <c r="B862" s="25"/>
      <c r="C862" s="25"/>
      <c r="D862" s="25"/>
      <c r="E862" s="25"/>
      <c r="F862" s="31"/>
      <c r="G862" s="34">
        <f>SUMIFS('BASE EXEC. Q.L'!N:N,'BASE EXEC. Q.L'!B:B,VOOS!A862)</f>
        <v>0</v>
      </c>
      <c r="H862" s="15" t="str">
        <f>IFERROR(_xlfn.XLOOKUP(A862,'BASE SQL PLANTIO'!B:B,'BASE SQL PLANTIO'!T:T,"verificar",0),"")</f>
        <v/>
      </c>
      <c r="I862" s="77" t="str">
        <f>IF(_xlfn.MINIFS('BASE SQL PLANTIO'!E:E,'BASE SQL PLANTIO'!B:B,VOOS!A862)=0/1/1900,"",_xlfn.MINIFS('BASE SQL PLANTIO'!E:E,'BASE SQL PLANTIO'!B:B,VOOS!A862))</f>
        <v/>
      </c>
      <c r="J862" s="26"/>
      <c r="K862" s="34" t="str">
        <f t="shared" si="40"/>
        <v/>
      </c>
      <c r="L862" s="35" t="str">
        <f t="shared" si="41"/>
        <v/>
      </c>
      <c r="M862" s="14"/>
      <c r="N862" s="16"/>
    </row>
    <row r="863" spans="1:14" ht="15.6" x14ac:dyDescent="0.3">
      <c r="A863" s="13" t="str">
        <f t="shared" si="39"/>
        <v>-</v>
      </c>
      <c r="B863" s="25"/>
      <c r="C863" s="25"/>
      <c r="D863" s="25"/>
      <c r="E863" s="25"/>
      <c r="F863" s="31"/>
      <c r="G863" s="34">
        <f>SUMIFS('BASE EXEC. Q.L'!N:N,'BASE EXEC. Q.L'!B:B,VOOS!A863)</f>
        <v>0</v>
      </c>
      <c r="H863" s="15" t="str">
        <f>IFERROR(_xlfn.XLOOKUP(A863,'BASE SQL PLANTIO'!B:B,'BASE SQL PLANTIO'!T:T,"verificar",0),"")</f>
        <v/>
      </c>
      <c r="I863" s="77" t="str">
        <f>IF(_xlfn.MINIFS('BASE SQL PLANTIO'!E:E,'BASE SQL PLANTIO'!B:B,VOOS!A863)=0/1/1900,"",_xlfn.MINIFS('BASE SQL PLANTIO'!E:E,'BASE SQL PLANTIO'!B:B,VOOS!A863))</f>
        <v/>
      </c>
      <c r="J863" s="26"/>
      <c r="K863" s="34" t="str">
        <f t="shared" si="40"/>
        <v/>
      </c>
      <c r="L863" s="35" t="str">
        <f t="shared" si="41"/>
        <v/>
      </c>
      <c r="M863" s="14"/>
      <c r="N863" s="16"/>
    </row>
    <row r="864" spans="1:14" ht="15.6" x14ac:dyDescent="0.3">
      <c r="A864" s="13" t="str">
        <f t="shared" si="39"/>
        <v>-</v>
      </c>
      <c r="B864" s="27"/>
      <c r="C864" s="26"/>
      <c r="D864" s="26"/>
      <c r="E864" s="26"/>
      <c r="F864" s="26"/>
      <c r="G864" s="34">
        <f>SUMIFS('BASE EXEC. Q.L'!N:N,'BASE EXEC. Q.L'!B:B,VOOS!A864)</f>
        <v>0</v>
      </c>
      <c r="H864" s="15" t="str">
        <f>IFERROR(_xlfn.XLOOKUP(A864,'BASE SQL PLANTIO'!B:B,'BASE SQL PLANTIO'!T:T,"verificar",0),"")</f>
        <v/>
      </c>
      <c r="I864" s="77" t="str">
        <f>IF(_xlfn.MINIFS('BASE SQL PLANTIO'!E:E,'BASE SQL PLANTIO'!B:B,VOOS!A864)=0/1/1900,"",_xlfn.MINIFS('BASE SQL PLANTIO'!E:E,'BASE SQL PLANTIO'!B:B,VOOS!A864))</f>
        <v/>
      </c>
      <c r="J864" s="26"/>
      <c r="K864" s="34" t="str">
        <f t="shared" si="40"/>
        <v/>
      </c>
      <c r="L864" s="35" t="str">
        <f t="shared" si="41"/>
        <v/>
      </c>
      <c r="M864" s="14"/>
      <c r="N864" s="15"/>
    </row>
    <row r="865" spans="1:14" ht="15.6" x14ac:dyDescent="0.3">
      <c r="A865" s="13" t="str">
        <f t="shared" si="39"/>
        <v>-</v>
      </c>
      <c r="B865" s="27"/>
      <c r="C865" s="26"/>
      <c r="D865" s="26"/>
      <c r="E865" s="26"/>
      <c r="F865" s="26"/>
      <c r="G865" s="34">
        <f>SUMIFS('BASE EXEC. Q.L'!N:N,'BASE EXEC. Q.L'!B:B,VOOS!A865)</f>
        <v>0</v>
      </c>
      <c r="H865" s="15" t="str">
        <f>IFERROR(_xlfn.XLOOKUP(A865,'BASE SQL PLANTIO'!B:B,'BASE SQL PLANTIO'!T:T,"verificar",0),"")</f>
        <v/>
      </c>
      <c r="I865" s="77" t="str">
        <f>IF(_xlfn.MINIFS('BASE SQL PLANTIO'!E:E,'BASE SQL PLANTIO'!B:B,VOOS!A865)=0/1/1900,"",_xlfn.MINIFS('BASE SQL PLANTIO'!E:E,'BASE SQL PLANTIO'!B:B,VOOS!A865))</f>
        <v/>
      </c>
      <c r="J865" s="26"/>
      <c r="K865" s="34" t="str">
        <f t="shared" si="40"/>
        <v/>
      </c>
      <c r="L865" s="35" t="str">
        <f t="shared" si="41"/>
        <v/>
      </c>
      <c r="M865" s="14"/>
      <c r="N865" s="16"/>
    </row>
    <row r="866" spans="1:14" ht="15.6" x14ac:dyDescent="0.3">
      <c r="A866" s="13" t="str">
        <f t="shared" si="39"/>
        <v>-</v>
      </c>
      <c r="B866" s="27"/>
      <c r="C866" s="26"/>
      <c r="D866" s="26"/>
      <c r="E866" s="26"/>
      <c r="F866" s="26"/>
      <c r="G866" s="34">
        <f>SUMIFS('BASE EXEC. Q.L'!N:N,'BASE EXEC. Q.L'!B:B,VOOS!A866)</f>
        <v>0</v>
      </c>
      <c r="H866" s="15" t="str">
        <f>IFERROR(_xlfn.XLOOKUP(A866,'BASE SQL PLANTIO'!B:B,'BASE SQL PLANTIO'!T:T,"verificar",0),"")</f>
        <v/>
      </c>
      <c r="I866" s="77" t="str">
        <f>IF(_xlfn.MINIFS('BASE SQL PLANTIO'!E:E,'BASE SQL PLANTIO'!B:B,VOOS!A866)=0/1/1900,"",_xlfn.MINIFS('BASE SQL PLANTIO'!E:E,'BASE SQL PLANTIO'!B:B,VOOS!A866))</f>
        <v/>
      </c>
      <c r="J866" s="26"/>
      <c r="K866" s="34" t="str">
        <f t="shared" si="40"/>
        <v/>
      </c>
      <c r="L866" s="35" t="str">
        <f t="shared" si="41"/>
        <v/>
      </c>
      <c r="M866" s="14"/>
      <c r="N866" s="16"/>
    </row>
    <row r="867" spans="1:14" ht="15.6" x14ac:dyDescent="0.3">
      <c r="A867" s="13" t="str">
        <f t="shared" si="39"/>
        <v>-</v>
      </c>
      <c r="B867" s="27"/>
      <c r="C867" s="26"/>
      <c r="D867" s="26"/>
      <c r="E867" s="26"/>
      <c r="F867" s="26"/>
      <c r="G867" s="34">
        <f>SUMIFS('BASE EXEC. Q.L'!N:N,'BASE EXEC. Q.L'!B:B,VOOS!A867)</f>
        <v>0</v>
      </c>
      <c r="H867" s="15" t="str">
        <f>IFERROR(_xlfn.XLOOKUP(A867,'BASE SQL PLANTIO'!B:B,'BASE SQL PLANTIO'!T:T,"verificar",0),"")</f>
        <v/>
      </c>
      <c r="I867" s="77" t="str">
        <f>IF(_xlfn.MINIFS('BASE SQL PLANTIO'!E:E,'BASE SQL PLANTIO'!B:B,VOOS!A867)=0/1/1900,"",_xlfn.MINIFS('BASE SQL PLANTIO'!E:E,'BASE SQL PLANTIO'!B:B,VOOS!A867))</f>
        <v/>
      </c>
      <c r="J867" s="26"/>
      <c r="K867" s="34" t="str">
        <f t="shared" si="40"/>
        <v/>
      </c>
      <c r="L867" s="35" t="str">
        <f t="shared" si="41"/>
        <v/>
      </c>
      <c r="M867" s="14"/>
      <c r="N867" s="16"/>
    </row>
    <row r="868" spans="1:14" ht="15.6" x14ac:dyDescent="0.3">
      <c r="A868" s="13" t="str">
        <f t="shared" si="39"/>
        <v>-</v>
      </c>
      <c r="B868" s="27"/>
      <c r="C868" s="26"/>
      <c r="D868" s="26"/>
      <c r="E868" s="26"/>
      <c r="F868" s="26"/>
      <c r="G868" s="34">
        <f>SUMIFS('BASE EXEC. Q.L'!N:N,'BASE EXEC. Q.L'!B:B,VOOS!A868)</f>
        <v>0</v>
      </c>
      <c r="H868" s="15" t="str">
        <f>IFERROR(_xlfn.XLOOKUP(A868,'BASE SQL PLANTIO'!B:B,'BASE SQL PLANTIO'!T:T,"verificar",0),"")</f>
        <v/>
      </c>
      <c r="I868" s="77" t="str">
        <f>IF(_xlfn.MINIFS('BASE SQL PLANTIO'!E:E,'BASE SQL PLANTIO'!B:B,VOOS!A868)=0/1/1900,"",_xlfn.MINIFS('BASE SQL PLANTIO'!E:E,'BASE SQL PLANTIO'!B:B,VOOS!A868))</f>
        <v/>
      </c>
      <c r="J868" s="26"/>
      <c r="K868" s="34" t="str">
        <f t="shared" si="40"/>
        <v/>
      </c>
      <c r="L868" s="35" t="str">
        <f t="shared" si="41"/>
        <v/>
      </c>
      <c r="M868" s="14"/>
      <c r="N868" s="16"/>
    </row>
    <row r="869" spans="1:14" ht="15.6" x14ac:dyDescent="0.3">
      <c r="A869" s="13" t="str">
        <f t="shared" si="39"/>
        <v>-</v>
      </c>
      <c r="B869" s="27"/>
      <c r="C869" s="26"/>
      <c r="D869" s="26"/>
      <c r="E869" s="26"/>
      <c r="F869" s="26"/>
      <c r="G869" s="34">
        <f>SUMIFS('BASE EXEC. Q.L'!N:N,'BASE EXEC. Q.L'!B:B,VOOS!A869)</f>
        <v>0</v>
      </c>
      <c r="H869" s="15" t="str">
        <f>IFERROR(_xlfn.XLOOKUP(A869,'BASE SQL PLANTIO'!B:B,'BASE SQL PLANTIO'!T:T,"verificar",0),"")</f>
        <v/>
      </c>
      <c r="I869" s="77" t="str">
        <f>IF(_xlfn.MINIFS('BASE SQL PLANTIO'!E:E,'BASE SQL PLANTIO'!B:B,VOOS!A869)=0/1/1900,"",_xlfn.MINIFS('BASE SQL PLANTIO'!E:E,'BASE SQL PLANTIO'!B:B,VOOS!A869))</f>
        <v/>
      </c>
      <c r="J869" s="26"/>
      <c r="K869" s="34" t="str">
        <f t="shared" si="40"/>
        <v/>
      </c>
      <c r="L869" s="35" t="str">
        <f t="shared" si="41"/>
        <v/>
      </c>
      <c r="M869" s="14"/>
      <c r="N869" s="16"/>
    </row>
    <row r="870" spans="1:14" ht="15.6" x14ac:dyDescent="0.3">
      <c r="A870" s="13" t="str">
        <f t="shared" si="39"/>
        <v>-</v>
      </c>
      <c r="B870" s="27"/>
      <c r="C870" s="22"/>
      <c r="D870" s="23"/>
      <c r="E870" s="23"/>
      <c r="F870" s="22"/>
      <c r="G870" s="34">
        <f>SUMIFS('BASE EXEC. Q.L'!N:N,'BASE EXEC. Q.L'!B:B,VOOS!A870)</f>
        <v>0</v>
      </c>
      <c r="H870" s="15" t="str">
        <f>IFERROR(_xlfn.XLOOKUP(A870,'BASE SQL PLANTIO'!B:B,'BASE SQL PLANTIO'!T:T,"verificar",0),"")</f>
        <v/>
      </c>
      <c r="I870" s="77" t="str">
        <f>IF(_xlfn.MINIFS('BASE SQL PLANTIO'!E:E,'BASE SQL PLANTIO'!B:B,VOOS!A870)=0/1/1900,"",_xlfn.MINIFS('BASE SQL PLANTIO'!E:E,'BASE SQL PLANTIO'!B:B,VOOS!A870))</f>
        <v/>
      </c>
      <c r="J870" s="22"/>
      <c r="K870" s="34" t="str">
        <f t="shared" si="40"/>
        <v/>
      </c>
      <c r="L870" s="35" t="str">
        <f t="shared" si="41"/>
        <v/>
      </c>
      <c r="M870" s="14"/>
      <c r="N870" s="16"/>
    </row>
    <row r="871" spans="1:14" ht="15.6" x14ac:dyDescent="0.3">
      <c r="A871" s="13" t="str">
        <f t="shared" si="39"/>
        <v>-</v>
      </c>
      <c r="B871" s="27"/>
      <c r="C871" s="26"/>
      <c r="D871" s="26"/>
      <c r="E871" s="26"/>
      <c r="F871" s="26"/>
      <c r="G871" s="34">
        <f>SUMIFS('BASE EXEC. Q.L'!N:N,'BASE EXEC. Q.L'!B:B,VOOS!A871)</f>
        <v>0</v>
      </c>
      <c r="H871" s="15" t="str">
        <f>IFERROR(_xlfn.XLOOKUP(A871,'BASE SQL PLANTIO'!B:B,'BASE SQL PLANTIO'!T:T,"verificar",0),"")</f>
        <v/>
      </c>
      <c r="I871" s="77" t="str">
        <f>IF(_xlfn.MINIFS('BASE SQL PLANTIO'!E:E,'BASE SQL PLANTIO'!B:B,VOOS!A871)=0/1/1900,"",_xlfn.MINIFS('BASE SQL PLANTIO'!E:E,'BASE SQL PLANTIO'!B:B,VOOS!A871))</f>
        <v/>
      </c>
      <c r="J871" s="26"/>
      <c r="K871" s="34" t="str">
        <f t="shared" si="40"/>
        <v/>
      </c>
      <c r="L871" s="35" t="str">
        <f t="shared" si="41"/>
        <v/>
      </c>
      <c r="M871" s="14"/>
      <c r="N871" s="16"/>
    </row>
    <row r="872" spans="1:14" ht="15.6" x14ac:dyDescent="0.3">
      <c r="A872" s="13" t="str">
        <f t="shared" si="39"/>
        <v>-</v>
      </c>
      <c r="B872" s="27"/>
      <c r="C872" s="26"/>
      <c r="D872" s="26"/>
      <c r="E872" s="26"/>
      <c r="F872" s="26"/>
      <c r="G872" s="34">
        <f>SUMIFS('BASE EXEC. Q.L'!N:N,'BASE EXEC. Q.L'!B:B,VOOS!A872)</f>
        <v>0</v>
      </c>
      <c r="H872" s="15" t="str">
        <f>IFERROR(_xlfn.XLOOKUP(A872,'BASE SQL PLANTIO'!B:B,'BASE SQL PLANTIO'!T:T,"verificar",0),"")</f>
        <v/>
      </c>
      <c r="I872" s="77" t="str">
        <f>IF(_xlfn.MINIFS('BASE SQL PLANTIO'!E:E,'BASE SQL PLANTIO'!B:B,VOOS!A872)=0/1/1900,"",_xlfn.MINIFS('BASE SQL PLANTIO'!E:E,'BASE SQL PLANTIO'!B:B,VOOS!A872))</f>
        <v/>
      </c>
      <c r="J872" s="26"/>
      <c r="K872" s="34" t="str">
        <f t="shared" si="40"/>
        <v/>
      </c>
      <c r="L872" s="35" t="str">
        <f t="shared" si="41"/>
        <v/>
      </c>
      <c r="M872" s="14"/>
      <c r="N872" s="16"/>
    </row>
    <row r="873" spans="1:14" ht="15.6" x14ac:dyDescent="0.3">
      <c r="A873" s="13" t="str">
        <f t="shared" si="39"/>
        <v>-</v>
      </c>
      <c r="B873" s="27"/>
      <c r="C873" s="26"/>
      <c r="D873" s="26"/>
      <c r="E873" s="26"/>
      <c r="F873" s="26"/>
      <c r="G873" s="34">
        <f>SUMIFS('BASE EXEC. Q.L'!N:N,'BASE EXEC. Q.L'!B:B,VOOS!A873)</f>
        <v>0</v>
      </c>
      <c r="H873" s="15" t="str">
        <f>IFERROR(_xlfn.XLOOKUP(A873,'BASE SQL PLANTIO'!B:B,'BASE SQL PLANTIO'!T:T,"verificar",0),"")</f>
        <v/>
      </c>
      <c r="I873" s="77" t="str">
        <f>IF(_xlfn.MINIFS('BASE SQL PLANTIO'!E:E,'BASE SQL PLANTIO'!B:B,VOOS!A873)=0/1/1900,"",_xlfn.MINIFS('BASE SQL PLANTIO'!E:E,'BASE SQL PLANTIO'!B:B,VOOS!A873))</f>
        <v/>
      </c>
      <c r="J873" s="26"/>
      <c r="K873" s="34" t="str">
        <f t="shared" si="40"/>
        <v/>
      </c>
      <c r="L873" s="35" t="str">
        <f t="shared" si="41"/>
        <v/>
      </c>
      <c r="M873" s="14"/>
      <c r="N873" s="16"/>
    </row>
    <row r="874" spans="1:14" ht="15.6" x14ac:dyDescent="0.3">
      <c r="A874" s="13" t="str">
        <f t="shared" si="39"/>
        <v>-</v>
      </c>
      <c r="B874" s="27"/>
      <c r="C874" s="26"/>
      <c r="D874" s="26"/>
      <c r="E874" s="26"/>
      <c r="F874" s="26"/>
      <c r="G874" s="34">
        <f>SUMIFS('BASE EXEC. Q.L'!N:N,'BASE EXEC. Q.L'!B:B,VOOS!A874)</f>
        <v>0</v>
      </c>
      <c r="H874" s="15" t="str">
        <f>IFERROR(_xlfn.XLOOKUP(A874,'BASE SQL PLANTIO'!B:B,'BASE SQL PLANTIO'!T:T,"verificar",0),"")</f>
        <v/>
      </c>
      <c r="I874" s="77" t="str">
        <f>IF(_xlfn.MINIFS('BASE SQL PLANTIO'!E:E,'BASE SQL PLANTIO'!B:B,VOOS!A874)=0/1/1900,"",_xlfn.MINIFS('BASE SQL PLANTIO'!E:E,'BASE SQL PLANTIO'!B:B,VOOS!A874))</f>
        <v/>
      </c>
      <c r="J874" s="26"/>
      <c r="K874" s="34" t="str">
        <f t="shared" si="40"/>
        <v/>
      </c>
      <c r="L874" s="35" t="str">
        <f t="shared" si="41"/>
        <v/>
      </c>
      <c r="M874" s="14"/>
      <c r="N874" s="16"/>
    </row>
    <row r="875" spans="1:14" ht="15.6" x14ac:dyDescent="0.3">
      <c r="A875" s="13" t="str">
        <f t="shared" si="39"/>
        <v>-</v>
      </c>
      <c r="B875" s="27"/>
      <c r="C875" s="26"/>
      <c r="D875" s="26"/>
      <c r="E875" s="26"/>
      <c r="F875" s="26"/>
      <c r="G875" s="34">
        <f>SUMIFS('BASE EXEC. Q.L'!N:N,'BASE EXEC. Q.L'!B:B,VOOS!A875)</f>
        <v>0</v>
      </c>
      <c r="H875" s="15" t="str">
        <f>IFERROR(_xlfn.XLOOKUP(A875,'BASE SQL PLANTIO'!B:B,'BASE SQL PLANTIO'!T:T,"verificar",0),"")</f>
        <v/>
      </c>
      <c r="I875" s="77" t="str">
        <f>IF(_xlfn.MINIFS('BASE SQL PLANTIO'!E:E,'BASE SQL PLANTIO'!B:B,VOOS!A875)=0/1/1900,"",_xlfn.MINIFS('BASE SQL PLANTIO'!E:E,'BASE SQL PLANTIO'!B:B,VOOS!A875))</f>
        <v/>
      </c>
      <c r="J875" s="26"/>
      <c r="K875" s="34" t="str">
        <f t="shared" si="40"/>
        <v/>
      </c>
      <c r="L875" s="35" t="str">
        <f t="shared" si="41"/>
        <v/>
      </c>
      <c r="M875" s="14"/>
      <c r="N875" s="16"/>
    </row>
    <row r="876" spans="1:14" ht="15.6" x14ac:dyDescent="0.3">
      <c r="A876" s="13" t="str">
        <f t="shared" si="39"/>
        <v>-</v>
      </c>
      <c r="B876" s="27"/>
      <c r="C876" s="26"/>
      <c r="D876" s="26"/>
      <c r="E876" s="26"/>
      <c r="F876" s="26"/>
      <c r="G876" s="34">
        <f>SUMIFS('BASE EXEC. Q.L'!N:N,'BASE EXEC. Q.L'!B:B,VOOS!A876)</f>
        <v>0</v>
      </c>
      <c r="H876" s="15" t="str">
        <f>IFERROR(_xlfn.XLOOKUP(A876,'BASE SQL PLANTIO'!B:B,'BASE SQL PLANTIO'!T:T,"verificar",0),"")</f>
        <v/>
      </c>
      <c r="I876" s="77" t="str">
        <f>IF(_xlfn.MINIFS('BASE SQL PLANTIO'!E:E,'BASE SQL PLANTIO'!B:B,VOOS!A876)=0/1/1900,"",_xlfn.MINIFS('BASE SQL PLANTIO'!E:E,'BASE SQL PLANTIO'!B:B,VOOS!A876))</f>
        <v/>
      </c>
      <c r="J876" s="26"/>
      <c r="K876" s="34" t="str">
        <f t="shared" si="40"/>
        <v/>
      </c>
      <c r="L876" s="35" t="str">
        <f t="shared" si="41"/>
        <v/>
      </c>
      <c r="M876" s="14"/>
      <c r="N876" s="15"/>
    </row>
    <row r="877" spans="1:14" ht="15.6" x14ac:dyDescent="0.3">
      <c r="A877" s="13" t="str">
        <f t="shared" si="39"/>
        <v>-</v>
      </c>
      <c r="B877" s="25"/>
      <c r="C877" s="25"/>
      <c r="D877" s="25"/>
      <c r="E877" s="25"/>
      <c r="F877" s="31"/>
      <c r="G877" s="34">
        <f>SUMIFS('BASE EXEC. Q.L'!N:N,'BASE EXEC. Q.L'!B:B,VOOS!A877)</f>
        <v>0</v>
      </c>
      <c r="H877" s="15" t="str">
        <f>IFERROR(_xlfn.XLOOKUP(A877,'BASE SQL PLANTIO'!B:B,'BASE SQL PLANTIO'!T:T,"verificar",0),"")</f>
        <v/>
      </c>
      <c r="I877" s="77" t="str">
        <f>IF(_xlfn.MINIFS('BASE SQL PLANTIO'!E:E,'BASE SQL PLANTIO'!B:B,VOOS!A877)=0/1/1900,"",_xlfn.MINIFS('BASE SQL PLANTIO'!E:E,'BASE SQL PLANTIO'!B:B,VOOS!A877))</f>
        <v/>
      </c>
      <c r="J877" s="26"/>
      <c r="K877" s="34" t="str">
        <f t="shared" si="40"/>
        <v/>
      </c>
      <c r="L877" s="35" t="str">
        <f t="shared" si="41"/>
        <v/>
      </c>
      <c r="M877" s="14"/>
      <c r="N877" s="16"/>
    </row>
    <row r="878" spans="1:14" ht="15.6" x14ac:dyDescent="0.3">
      <c r="A878" s="13" t="str">
        <f t="shared" si="39"/>
        <v>-</v>
      </c>
      <c r="B878" s="25"/>
      <c r="C878" s="25"/>
      <c r="D878" s="25"/>
      <c r="E878" s="25"/>
      <c r="F878" s="31"/>
      <c r="G878" s="34">
        <f>SUMIFS('BASE EXEC. Q.L'!N:N,'BASE EXEC. Q.L'!B:B,VOOS!A878)</f>
        <v>0</v>
      </c>
      <c r="H878" s="15" t="str">
        <f>IFERROR(_xlfn.XLOOKUP(A878,'BASE SQL PLANTIO'!B:B,'BASE SQL PLANTIO'!T:T,"verificar",0),"")</f>
        <v/>
      </c>
      <c r="I878" s="77" t="str">
        <f>IF(_xlfn.MINIFS('BASE SQL PLANTIO'!E:E,'BASE SQL PLANTIO'!B:B,VOOS!A878)=0/1/1900,"",_xlfn.MINIFS('BASE SQL PLANTIO'!E:E,'BASE SQL PLANTIO'!B:B,VOOS!A878))</f>
        <v/>
      </c>
      <c r="J878" s="26"/>
      <c r="K878" s="34" t="str">
        <f t="shared" si="40"/>
        <v/>
      </c>
      <c r="L878" s="35" t="str">
        <f t="shared" si="41"/>
        <v/>
      </c>
      <c r="M878" s="14"/>
      <c r="N878" s="16"/>
    </row>
    <row r="879" spans="1:14" ht="15.6" x14ac:dyDescent="0.3">
      <c r="A879" s="13" t="str">
        <f t="shared" si="39"/>
        <v>-</v>
      </c>
      <c r="B879" s="27"/>
      <c r="C879" s="26"/>
      <c r="D879" s="26"/>
      <c r="E879" s="26"/>
      <c r="F879" s="26"/>
      <c r="G879" s="34">
        <f>SUMIFS('BASE EXEC. Q.L'!N:N,'BASE EXEC. Q.L'!B:B,VOOS!A879)</f>
        <v>0</v>
      </c>
      <c r="H879" s="15" t="str">
        <f>IFERROR(_xlfn.XLOOKUP(A879,'BASE SQL PLANTIO'!B:B,'BASE SQL PLANTIO'!T:T,"verificar",0),"")</f>
        <v/>
      </c>
      <c r="I879" s="77" t="str">
        <f>IF(_xlfn.MINIFS('BASE SQL PLANTIO'!E:E,'BASE SQL PLANTIO'!B:B,VOOS!A879)=0/1/1900,"",_xlfn.MINIFS('BASE SQL PLANTIO'!E:E,'BASE SQL PLANTIO'!B:B,VOOS!A879))</f>
        <v/>
      </c>
      <c r="J879" s="26"/>
      <c r="K879" s="34" t="str">
        <f t="shared" si="40"/>
        <v/>
      </c>
      <c r="L879" s="35" t="str">
        <f t="shared" si="41"/>
        <v/>
      </c>
      <c r="M879" s="14"/>
      <c r="N879" s="16"/>
    </row>
    <row r="880" spans="1:14" ht="15.6" x14ac:dyDescent="0.3">
      <c r="A880" s="13" t="str">
        <f t="shared" si="39"/>
        <v>-</v>
      </c>
      <c r="B880" s="27"/>
      <c r="C880" s="26"/>
      <c r="D880" s="26"/>
      <c r="E880" s="26"/>
      <c r="F880" s="26"/>
      <c r="G880" s="34">
        <f>SUMIFS('BASE EXEC. Q.L'!N:N,'BASE EXEC. Q.L'!B:B,VOOS!A880)</f>
        <v>0</v>
      </c>
      <c r="H880" s="15" t="str">
        <f>IFERROR(_xlfn.XLOOKUP(A880,'BASE SQL PLANTIO'!B:B,'BASE SQL PLANTIO'!T:T,"verificar",0),"")</f>
        <v/>
      </c>
      <c r="I880" s="77" t="str">
        <f>IF(_xlfn.MINIFS('BASE SQL PLANTIO'!E:E,'BASE SQL PLANTIO'!B:B,VOOS!A880)=0/1/1900,"",_xlfn.MINIFS('BASE SQL PLANTIO'!E:E,'BASE SQL PLANTIO'!B:B,VOOS!A880))</f>
        <v/>
      </c>
      <c r="J880" s="26"/>
      <c r="K880" s="34" t="str">
        <f t="shared" si="40"/>
        <v/>
      </c>
      <c r="L880" s="35" t="str">
        <f t="shared" si="41"/>
        <v/>
      </c>
      <c r="M880" s="14"/>
      <c r="N880" s="16"/>
    </row>
    <row r="881" spans="1:14" ht="15.6" x14ac:dyDescent="0.3">
      <c r="A881" s="13" t="str">
        <f t="shared" si="39"/>
        <v>-</v>
      </c>
      <c r="B881" s="27"/>
      <c r="C881" s="26"/>
      <c r="D881" s="26"/>
      <c r="E881" s="26"/>
      <c r="F881" s="26"/>
      <c r="G881" s="34">
        <f>SUMIFS('BASE EXEC. Q.L'!N:N,'BASE EXEC. Q.L'!B:B,VOOS!A881)</f>
        <v>0</v>
      </c>
      <c r="H881" s="15" t="str">
        <f>IFERROR(_xlfn.XLOOKUP(A881,'BASE SQL PLANTIO'!B:B,'BASE SQL PLANTIO'!T:T,"verificar",0),"")</f>
        <v/>
      </c>
      <c r="I881" s="77" t="str">
        <f>IF(_xlfn.MINIFS('BASE SQL PLANTIO'!E:E,'BASE SQL PLANTIO'!B:B,VOOS!A881)=0/1/1900,"",_xlfn.MINIFS('BASE SQL PLANTIO'!E:E,'BASE SQL PLANTIO'!B:B,VOOS!A881))</f>
        <v/>
      </c>
      <c r="J881" s="26"/>
      <c r="K881" s="34" t="str">
        <f t="shared" si="40"/>
        <v/>
      </c>
      <c r="L881" s="35" t="str">
        <f t="shared" si="41"/>
        <v/>
      </c>
      <c r="M881" s="14"/>
      <c r="N881" s="16"/>
    </row>
    <row r="882" spans="1:14" ht="15.6" x14ac:dyDescent="0.3">
      <c r="A882" s="13" t="str">
        <f t="shared" si="39"/>
        <v>-</v>
      </c>
      <c r="B882" s="27"/>
      <c r="C882" s="26"/>
      <c r="D882" s="26"/>
      <c r="E882" s="26"/>
      <c r="F882" s="26"/>
      <c r="G882" s="34">
        <f>SUMIFS('BASE EXEC. Q.L'!N:N,'BASE EXEC. Q.L'!B:B,VOOS!A882)</f>
        <v>0</v>
      </c>
      <c r="H882" s="15" t="str">
        <f>IFERROR(_xlfn.XLOOKUP(A882,'BASE SQL PLANTIO'!B:B,'BASE SQL PLANTIO'!T:T,"verificar",0),"")</f>
        <v/>
      </c>
      <c r="I882" s="77" t="str">
        <f>IF(_xlfn.MINIFS('BASE SQL PLANTIO'!E:E,'BASE SQL PLANTIO'!B:B,VOOS!A882)=0/1/1900,"",_xlfn.MINIFS('BASE SQL PLANTIO'!E:E,'BASE SQL PLANTIO'!B:B,VOOS!A882))</f>
        <v/>
      </c>
      <c r="J882" s="26"/>
      <c r="K882" s="34" t="str">
        <f t="shared" si="40"/>
        <v/>
      </c>
      <c r="L882" s="35" t="str">
        <f t="shared" si="41"/>
        <v/>
      </c>
      <c r="M882" s="14"/>
      <c r="N882" s="16"/>
    </row>
    <row r="883" spans="1:14" ht="15.6" x14ac:dyDescent="0.3">
      <c r="A883" s="13" t="str">
        <f t="shared" si="39"/>
        <v>-</v>
      </c>
      <c r="B883" s="27"/>
      <c r="C883" s="26"/>
      <c r="D883" s="26"/>
      <c r="E883" s="26"/>
      <c r="F883" s="26"/>
      <c r="G883" s="34">
        <f>SUMIFS('BASE EXEC. Q.L'!N:N,'BASE EXEC. Q.L'!B:B,VOOS!A883)</f>
        <v>0</v>
      </c>
      <c r="H883" s="15" t="str">
        <f>IFERROR(_xlfn.XLOOKUP(A883,'BASE SQL PLANTIO'!B:B,'BASE SQL PLANTIO'!T:T,"verificar",0),"")</f>
        <v/>
      </c>
      <c r="I883" s="77" t="str">
        <f>IF(_xlfn.MINIFS('BASE SQL PLANTIO'!E:E,'BASE SQL PLANTIO'!B:B,VOOS!A883)=0/1/1900,"",_xlfn.MINIFS('BASE SQL PLANTIO'!E:E,'BASE SQL PLANTIO'!B:B,VOOS!A883))</f>
        <v/>
      </c>
      <c r="J883" s="26"/>
      <c r="K883" s="34" t="str">
        <f t="shared" si="40"/>
        <v/>
      </c>
      <c r="L883" s="35" t="str">
        <f t="shared" si="41"/>
        <v/>
      </c>
      <c r="M883" s="14"/>
      <c r="N883" s="16"/>
    </row>
    <row r="884" spans="1:14" ht="15.6" x14ac:dyDescent="0.3">
      <c r="A884" s="13" t="str">
        <f t="shared" si="39"/>
        <v>-</v>
      </c>
      <c r="B884" s="25"/>
      <c r="C884" s="25"/>
      <c r="D884" s="25"/>
      <c r="E884" s="25"/>
      <c r="F884" s="31"/>
      <c r="G884" s="34">
        <f>SUMIFS('BASE EXEC. Q.L'!N:N,'BASE EXEC. Q.L'!B:B,VOOS!A884)</f>
        <v>0</v>
      </c>
      <c r="H884" s="15" t="str">
        <f>IFERROR(_xlfn.XLOOKUP(A884,'BASE SQL PLANTIO'!B:B,'BASE SQL PLANTIO'!T:T,"verificar",0),"")</f>
        <v/>
      </c>
      <c r="I884" s="77" t="str">
        <f>IF(_xlfn.MINIFS('BASE SQL PLANTIO'!E:E,'BASE SQL PLANTIO'!B:B,VOOS!A884)=0/1/1900,"",_xlfn.MINIFS('BASE SQL PLANTIO'!E:E,'BASE SQL PLANTIO'!B:B,VOOS!A884))</f>
        <v/>
      </c>
      <c r="J884" s="26"/>
      <c r="K884" s="34" t="str">
        <f t="shared" si="40"/>
        <v/>
      </c>
      <c r="L884" s="35" t="str">
        <f t="shared" si="41"/>
        <v/>
      </c>
      <c r="M884" s="14"/>
      <c r="N884" s="16"/>
    </row>
    <row r="885" spans="1:14" ht="15.6" x14ac:dyDescent="0.3">
      <c r="A885" s="13" t="str">
        <f t="shared" si="39"/>
        <v>-</v>
      </c>
      <c r="B885" s="25"/>
      <c r="C885" s="25"/>
      <c r="D885" s="25"/>
      <c r="E885" s="25"/>
      <c r="F885" s="31"/>
      <c r="G885" s="34">
        <f>SUMIFS('BASE EXEC. Q.L'!N:N,'BASE EXEC. Q.L'!B:B,VOOS!A885)</f>
        <v>0</v>
      </c>
      <c r="H885" s="15" t="str">
        <f>IFERROR(_xlfn.XLOOKUP(A885,'BASE SQL PLANTIO'!B:B,'BASE SQL PLANTIO'!T:T,"verificar",0),"")</f>
        <v/>
      </c>
      <c r="I885" s="77" t="str">
        <f>IF(_xlfn.MINIFS('BASE SQL PLANTIO'!E:E,'BASE SQL PLANTIO'!B:B,VOOS!A885)=0/1/1900,"",_xlfn.MINIFS('BASE SQL PLANTIO'!E:E,'BASE SQL PLANTIO'!B:B,VOOS!A885))</f>
        <v/>
      </c>
      <c r="J885" s="26"/>
      <c r="K885" s="34" t="str">
        <f t="shared" si="40"/>
        <v/>
      </c>
      <c r="L885" s="35" t="str">
        <f t="shared" si="41"/>
        <v/>
      </c>
      <c r="M885" s="14"/>
      <c r="N885" s="16"/>
    </row>
    <row r="886" spans="1:14" ht="15.6" x14ac:dyDescent="0.3">
      <c r="A886" s="13" t="str">
        <f t="shared" si="39"/>
        <v>-</v>
      </c>
      <c r="B886" s="25"/>
      <c r="C886" s="25"/>
      <c r="D886" s="25"/>
      <c r="E886" s="25"/>
      <c r="F886" s="31"/>
      <c r="G886" s="34">
        <f>SUMIFS('BASE EXEC. Q.L'!N:N,'BASE EXEC. Q.L'!B:B,VOOS!A886)</f>
        <v>0</v>
      </c>
      <c r="H886" s="15" t="str">
        <f>IFERROR(_xlfn.XLOOKUP(A886,'BASE SQL PLANTIO'!B:B,'BASE SQL PLANTIO'!T:T,"verificar",0),"")</f>
        <v/>
      </c>
      <c r="I886" s="77" t="str">
        <f>IF(_xlfn.MINIFS('BASE SQL PLANTIO'!E:E,'BASE SQL PLANTIO'!B:B,VOOS!A886)=0/1/1900,"",_xlfn.MINIFS('BASE SQL PLANTIO'!E:E,'BASE SQL PLANTIO'!B:B,VOOS!A886))</f>
        <v/>
      </c>
      <c r="J886" s="26"/>
      <c r="K886" s="34" t="str">
        <f t="shared" si="40"/>
        <v/>
      </c>
      <c r="L886" s="35" t="str">
        <f t="shared" si="41"/>
        <v/>
      </c>
      <c r="M886" s="14"/>
      <c r="N886" s="16"/>
    </row>
    <row r="887" spans="1:14" ht="15.6" x14ac:dyDescent="0.3">
      <c r="A887" s="13" t="str">
        <f t="shared" si="39"/>
        <v>-</v>
      </c>
      <c r="B887" s="27"/>
      <c r="C887" s="26"/>
      <c r="D887" s="26"/>
      <c r="E887" s="26"/>
      <c r="F887" s="26"/>
      <c r="G887" s="34">
        <f>SUMIFS('BASE EXEC. Q.L'!N:N,'BASE EXEC. Q.L'!B:B,VOOS!A887)</f>
        <v>0</v>
      </c>
      <c r="H887" s="15" t="str">
        <f>IFERROR(_xlfn.XLOOKUP(A887,'BASE SQL PLANTIO'!B:B,'BASE SQL PLANTIO'!T:T,"verificar",0),"")</f>
        <v/>
      </c>
      <c r="I887" s="77" t="str">
        <f>IF(_xlfn.MINIFS('BASE SQL PLANTIO'!E:E,'BASE SQL PLANTIO'!B:B,VOOS!A887)=0/1/1900,"",_xlfn.MINIFS('BASE SQL PLANTIO'!E:E,'BASE SQL PLANTIO'!B:B,VOOS!A887))</f>
        <v/>
      </c>
      <c r="J887" s="26"/>
      <c r="K887" s="34" t="str">
        <f t="shared" si="40"/>
        <v/>
      </c>
      <c r="L887" s="35" t="str">
        <f t="shared" si="41"/>
        <v/>
      </c>
      <c r="M887" s="14"/>
      <c r="N887" s="16"/>
    </row>
    <row r="888" spans="1:14" ht="15.6" x14ac:dyDescent="0.3">
      <c r="A888" s="13" t="str">
        <f t="shared" si="39"/>
        <v>-</v>
      </c>
      <c r="B888" s="27"/>
      <c r="C888" s="26"/>
      <c r="D888" s="26"/>
      <c r="E888" s="26"/>
      <c r="F888" s="26"/>
      <c r="G888" s="34">
        <f>SUMIFS('BASE EXEC. Q.L'!N:N,'BASE EXEC. Q.L'!B:B,VOOS!A888)</f>
        <v>0</v>
      </c>
      <c r="H888" s="15" t="str">
        <f>IFERROR(_xlfn.XLOOKUP(A888,'BASE SQL PLANTIO'!B:B,'BASE SQL PLANTIO'!T:T,"verificar",0),"")</f>
        <v/>
      </c>
      <c r="I888" s="77" t="str">
        <f>IF(_xlfn.MINIFS('BASE SQL PLANTIO'!E:E,'BASE SQL PLANTIO'!B:B,VOOS!A888)=0/1/1900,"",_xlfn.MINIFS('BASE SQL PLANTIO'!E:E,'BASE SQL PLANTIO'!B:B,VOOS!A888))</f>
        <v/>
      </c>
      <c r="J888" s="26"/>
      <c r="K888" s="34" t="str">
        <f t="shared" si="40"/>
        <v/>
      </c>
      <c r="L888" s="35" t="str">
        <f t="shared" si="41"/>
        <v/>
      </c>
      <c r="M888" s="14"/>
      <c r="N888" s="15"/>
    </row>
    <row r="889" spans="1:14" ht="15.6" x14ac:dyDescent="0.3">
      <c r="A889" s="13" t="str">
        <f t="shared" si="39"/>
        <v>-</v>
      </c>
      <c r="B889" s="27"/>
      <c r="C889" s="26"/>
      <c r="D889" s="26"/>
      <c r="E889" s="26"/>
      <c r="F889" s="26"/>
      <c r="G889" s="34">
        <f>SUMIFS('BASE EXEC. Q.L'!N:N,'BASE EXEC. Q.L'!B:B,VOOS!A889)</f>
        <v>0</v>
      </c>
      <c r="H889" s="15" t="str">
        <f>IFERROR(_xlfn.XLOOKUP(A889,'BASE SQL PLANTIO'!B:B,'BASE SQL PLANTIO'!T:T,"verificar",0),"")</f>
        <v/>
      </c>
      <c r="I889" s="77" t="str">
        <f>IF(_xlfn.MINIFS('BASE SQL PLANTIO'!E:E,'BASE SQL PLANTIO'!B:B,VOOS!A889)=0/1/1900,"",_xlfn.MINIFS('BASE SQL PLANTIO'!E:E,'BASE SQL PLANTIO'!B:B,VOOS!A889))</f>
        <v/>
      </c>
      <c r="J889" s="26"/>
      <c r="K889" s="34" t="str">
        <f t="shared" si="40"/>
        <v/>
      </c>
      <c r="L889" s="35" t="str">
        <f t="shared" si="41"/>
        <v/>
      </c>
      <c r="M889" s="14"/>
      <c r="N889" s="16"/>
    </row>
    <row r="890" spans="1:14" ht="15.6" x14ac:dyDescent="0.3">
      <c r="A890" s="13" t="str">
        <f t="shared" si="39"/>
        <v>-</v>
      </c>
      <c r="B890" s="27"/>
      <c r="C890" s="26"/>
      <c r="D890" s="26"/>
      <c r="E890" s="26"/>
      <c r="F890" s="26"/>
      <c r="G890" s="34">
        <f>SUMIFS('BASE EXEC. Q.L'!N:N,'BASE EXEC. Q.L'!B:B,VOOS!A890)</f>
        <v>0</v>
      </c>
      <c r="H890" s="15" t="str">
        <f>IFERROR(_xlfn.XLOOKUP(A890,'BASE SQL PLANTIO'!B:B,'BASE SQL PLANTIO'!T:T,"verificar",0),"")</f>
        <v/>
      </c>
      <c r="I890" s="77" t="str">
        <f>IF(_xlfn.MINIFS('BASE SQL PLANTIO'!E:E,'BASE SQL PLANTIO'!B:B,VOOS!A890)=0/1/1900,"",_xlfn.MINIFS('BASE SQL PLANTIO'!E:E,'BASE SQL PLANTIO'!B:B,VOOS!A890))</f>
        <v/>
      </c>
      <c r="J890" s="26"/>
      <c r="K890" s="34" t="str">
        <f t="shared" si="40"/>
        <v/>
      </c>
      <c r="L890" s="35" t="str">
        <f t="shared" si="41"/>
        <v/>
      </c>
      <c r="M890" s="14"/>
      <c r="N890" s="16"/>
    </row>
    <row r="891" spans="1:14" ht="15.6" x14ac:dyDescent="0.3">
      <c r="A891" s="13" t="str">
        <f t="shared" si="39"/>
        <v>-</v>
      </c>
      <c r="B891" s="27"/>
      <c r="C891" s="26"/>
      <c r="D891" s="26"/>
      <c r="E891" s="26"/>
      <c r="F891" s="26"/>
      <c r="G891" s="34">
        <f>SUMIFS('BASE EXEC. Q.L'!N:N,'BASE EXEC. Q.L'!B:B,VOOS!A891)</f>
        <v>0</v>
      </c>
      <c r="H891" s="15" t="str">
        <f>IFERROR(_xlfn.XLOOKUP(A891,'BASE SQL PLANTIO'!B:B,'BASE SQL PLANTIO'!T:T,"verificar",0),"")</f>
        <v/>
      </c>
      <c r="I891" s="77" t="str">
        <f>IF(_xlfn.MINIFS('BASE SQL PLANTIO'!E:E,'BASE SQL PLANTIO'!B:B,VOOS!A891)=0/1/1900,"",_xlfn.MINIFS('BASE SQL PLANTIO'!E:E,'BASE SQL PLANTIO'!B:B,VOOS!A891))</f>
        <v/>
      </c>
      <c r="J891" s="26"/>
      <c r="K891" s="34" t="str">
        <f t="shared" si="40"/>
        <v/>
      </c>
      <c r="L891" s="35" t="str">
        <f t="shared" si="41"/>
        <v/>
      </c>
      <c r="M891" s="14"/>
      <c r="N891" s="16"/>
    </row>
    <row r="892" spans="1:14" ht="15.6" x14ac:dyDescent="0.3">
      <c r="A892" s="13" t="str">
        <f t="shared" si="39"/>
        <v>-</v>
      </c>
      <c r="B892" s="27"/>
      <c r="C892" s="26"/>
      <c r="D892" s="26"/>
      <c r="E892" s="26"/>
      <c r="F892" s="26"/>
      <c r="G892" s="34">
        <f>SUMIFS('BASE EXEC. Q.L'!N:N,'BASE EXEC. Q.L'!B:B,VOOS!A892)</f>
        <v>0</v>
      </c>
      <c r="H892" s="15" t="str">
        <f>IFERROR(_xlfn.XLOOKUP(A892,'BASE SQL PLANTIO'!B:B,'BASE SQL PLANTIO'!T:T,"verificar",0),"")</f>
        <v/>
      </c>
      <c r="I892" s="77" t="str">
        <f>IF(_xlfn.MINIFS('BASE SQL PLANTIO'!E:E,'BASE SQL PLANTIO'!B:B,VOOS!A892)=0/1/1900,"",_xlfn.MINIFS('BASE SQL PLANTIO'!E:E,'BASE SQL PLANTIO'!B:B,VOOS!A892))</f>
        <v/>
      </c>
      <c r="J892" s="26"/>
      <c r="K892" s="34" t="str">
        <f t="shared" si="40"/>
        <v/>
      </c>
      <c r="L892" s="35" t="str">
        <f t="shared" si="41"/>
        <v/>
      </c>
      <c r="M892" s="14"/>
      <c r="N892" s="16"/>
    </row>
    <row r="893" spans="1:14" ht="15.6" x14ac:dyDescent="0.3">
      <c r="A893" s="13" t="str">
        <f t="shared" si="39"/>
        <v>-</v>
      </c>
      <c r="B893" s="27"/>
      <c r="C893" s="26"/>
      <c r="D893" s="26"/>
      <c r="E893" s="26"/>
      <c r="F893" s="26"/>
      <c r="G893" s="34">
        <f>SUMIFS('BASE EXEC. Q.L'!N:N,'BASE EXEC. Q.L'!B:B,VOOS!A893)</f>
        <v>0</v>
      </c>
      <c r="H893" s="15" t="str">
        <f>IFERROR(_xlfn.XLOOKUP(A893,'BASE SQL PLANTIO'!B:B,'BASE SQL PLANTIO'!T:T,"verificar",0),"")</f>
        <v/>
      </c>
      <c r="I893" s="77" t="str">
        <f>IF(_xlfn.MINIFS('BASE SQL PLANTIO'!E:E,'BASE SQL PLANTIO'!B:B,VOOS!A893)=0/1/1900,"",_xlfn.MINIFS('BASE SQL PLANTIO'!E:E,'BASE SQL PLANTIO'!B:B,VOOS!A893))</f>
        <v/>
      </c>
      <c r="J893" s="26"/>
      <c r="K893" s="34" t="str">
        <f t="shared" si="40"/>
        <v/>
      </c>
      <c r="L893" s="35" t="str">
        <f t="shared" si="41"/>
        <v/>
      </c>
      <c r="M893" s="14"/>
      <c r="N893" s="16"/>
    </row>
    <row r="894" spans="1:14" ht="15.6" x14ac:dyDescent="0.3">
      <c r="A894" s="13" t="str">
        <f t="shared" si="39"/>
        <v>-</v>
      </c>
      <c r="B894" s="27"/>
      <c r="C894" s="22"/>
      <c r="D894" s="23"/>
      <c r="E894" s="23"/>
      <c r="F894" s="22"/>
      <c r="G894" s="34">
        <f>SUMIFS('BASE EXEC. Q.L'!N:N,'BASE EXEC. Q.L'!B:B,VOOS!A894)</f>
        <v>0</v>
      </c>
      <c r="H894" s="15" t="str">
        <f>IFERROR(_xlfn.XLOOKUP(A894,'BASE SQL PLANTIO'!B:B,'BASE SQL PLANTIO'!T:T,"verificar",0),"")</f>
        <v/>
      </c>
      <c r="I894" s="77" t="str">
        <f>IF(_xlfn.MINIFS('BASE SQL PLANTIO'!E:E,'BASE SQL PLANTIO'!B:B,VOOS!A894)=0/1/1900,"",_xlfn.MINIFS('BASE SQL PLANTIO'!E:E,'BASE SQL PLANTIO'!B:B,VOOS!A894))</f>
        <v/>
      </c>
      <c r="J894" s="22"/>
      <c r="K894" s="34" t="str">
        <f t="shared" si="40"/>
        <v/>
      </c>
      <c r="L894" s="35" t="str">
        <f t="shared" si="41"/>
        <v/>
      </c>
      <c r="M894" s="14"/>
      <c r="N894" s="16"/>
    </row>
    <row r="895" spans="1:14" ht="15.6" x14ac:dyDescent="0.3">
      <c r="A895" s="13" t="str">
        <f t="shared" si="39"/>
        <v>-</v>
      </c>
      <c r="B895" s="27"/>
      <c r="C895" s="26"/>
      <c r="D895" s="26"/>
      <c r="E895" s="26"/>
      <c r="F895" s="26"/>
      <c r="G895" s="34">
        <f>SUMIFS('BASE EXEC. Q.L'!N:N,'BASE EXEC. Q.L'!B:B,VOOS!A895)</f>
        <v>0</v>
      </c>
      <c r="H895" s="15" t="str">
        <f>IFERROR(_xlfn.XLOOKUP(A895,'BASE SQL PLANTIO'!B:B,'BASE SQL PLANTIO'!T:T,"verificar",0),"")</f>
        <v/>
      </c>
      <c r="I895" s="77" t="str">
        <f>IF(_xlfn.MINIFS('BASE SQL PLANTIO'!E:E,'BASE SQL PLANTIO'!B:B,VOOS!A895)=0/1/1900,"",_xlfn.MINIFS('BASE SQL PLANTIO'!E:E,'BASE SQL PLANTIO'!B:B,VOOS!A895))</f>
        <v/>
      </c>
      <c r="J895" s="26"/>
      <c r="K895" s="34" t="str">
        <f t="shared" si="40"/>
        <v/>
      </c>
      <c r="L895" s="35" t="str">
        <f t="shared" si="41"/>
        <v/>
      </c>
      <c r="M895" s="14"/>
      <c r="N895" s="16"/>
    </row>
    <row r="896" spans="1:14" ht="15.6" x14ac:dyDescent="0.3">
      <c r="A896" s="13" t="str">
        <f t="shared" si="39"/>
        <v>-</v>
      </c>
      <c r="B896" s="27"/>
      <c r="C896" s="26"/>
      <c r="D896" s="26"/>
      <c r="E896" s="26"/>
      <c r="F896" s="26"/>
      <c r="G896" s="34">
        <f>SUMIFS('BASE EXEC. Q.L'!N:N,'BASE EXEC. Q.L'!B:B,VOOS!A896)</f>
        <v>0</v>
      </c>
      <c r="H896" s="15" t="str">
        <f>IFERROR(_xlfn.XLOOKUP(A896,'BASE SQL PLANTIO'!B:B,'BASE SQL PLANTIO'!T:T,"verificar",0),"")</f>
        <v/>
      </c>
      <c r="I896" s="77" t="str">
        <f>IF(_xlfn.MINIFS('BASE SQL PLANTIO'!E:E,'BASE SQL PLANTIO'!B:B,VOOS!A896)=0/1/1900,"",_xlfn.MINIFS('BASE SQL PLANTIO'!E:E,'BASE SQL PLANTIO'!B:B,VOOS!A896))</f>
        <v/>
      </c>
      <c r="J896" s="26"/>
      <c r="K896" s="34" t="str">
        <f t="shared" si="40"/>
        <v/>
      </c>
      <c r="L896" s="35" t="str">
        <f t="shared" si="41"/>
        <v/>
      </c>
      <c r="M896" s="14"/>
      <c r="N896" s="16"/>
    </row>
    <row r="897" spans="1:14" ht="15.6" x14ac:dyDescent="0.3">
      <c r="A897" s="13" t="str">
        <f t="shared" si="39"/>
        <v>-</v>
      </c>
      <c r="B897" s="27"/>
      <c r="C897" s="26"/>
      <c r="D897" s="26"/>
      <c r="E897" s="26"/>
      <c r="F897" s="26"/>
      <c r="G897" s="34">
        <f>SUMIFS('BASE EXEC. Q.L'!N:N,'BASE EXEC. Q.L'!B:B,VOOS!A897)</f>
        <v>0</v>
      </c>
      <c r="H897" s="15" t="str">
        <f>IFERROR(_xlfn.XLOOKUP(A897,'BASE SQL PLANTIO'!B:B,'BASE SQL PLANTIO'!T:T,"verificar",0),"")</f>
        <v/>
      </c>
      <c r="I897" s="77" t="str">
        <f>IF(_xlfn.MINIFS('BASE SQL PLANTIO'!E:E,'BASE SQL PLANTIO'!B:B,VOOS!A897)=0/1/1900,"",_xlfn.MINIFS('BASE SQL PLANTIO'!E:E,'BASE SQL PLANTIO'!B:B,VOOS!A897))</f>
        <v/>
      </c>
      <c r="J897" s="26"/>
      <c r="K897" s="34" t="str">
        <f t="shared" si="40"/>
        <v/>
      </c>
      <c r="L897" s="35" t="str">
        <f t="shared" si="41"/>
        <v/>
      </c>
      <c r="M897" s="14"/>
      <c r="N897" s="16"/>
    </row>
    <row r="898" spans="1:14" ht="15.6" x14ac:dyDescent="0.3">
      <c r="A898" s="13" t="str">
        <f t="shared" si="39"/>
        <v>-</v>
      </c>
      <c r="B898" s="27"/>
      <c r="C898" s="26"/>
      <c r="D898" s="26"/>
      <c r="E898" s="26"/>
      <c r="F898" s="26"/>
      <c r="G898" s="34">
        <f>SUMIFS('BASE EXEC. Q.L'!N:N,'BASE EXEC. Q.L'!B:B,VOOS!A898)</f>
        <v>0</v>
      </c>
      <c r="H898" s="15" t="str">
        <f>IFERROR(_xlfn.XLOOKUP(A898,'BASE SQL PLANTIO'!B:B,'BASE SQL PLANTIO'!T:T,"verificar",0),"")</f>
        <v/>
      </c>
      <c r="I898" s="77" t="str">
        <f>IF(_xlfn.MINIFS('BASE SQL PLANTIO'!E:E,'BASE SQL PLANTIO'!B:B,VOOS!A898)=0/1/1900,"",_xlfn.MINIFS('BASE SQL PLANTIO'!E:E,'BASE SQL PLANTIO'!B:B,VOOS!A898))</f>
        <v/>
      </c>
      <c r="J898" s="26"/>
      <c r="K898" s="34" t="str">
        <f t="shared" si="40"/>
        <v/>
      </c>
      <c r="L898" s="35" t="str">
        <f t="shared" si="41"/>
        <v/>
      </c>
      <c r="M898" s="14"/>
      <c r="N898" s="15"/>
    </row>
    <row r="899" spans="1:14" ht="15.6" x14ac:dyDescent="0.3">
      <c r="A899" s="13" t="str">
        <f t="shared" si="39"/>
        <v>-</v>
      </c>
      <c r="B899" s="27"/>
      <c r="C899" s="26"/>
      <c r="D899" s="26"/>
      <c r="E899" s="26"/>
      <c r="F899" s="26"/>
      <c r="G899" s="34">
        <f>SUMIFS('BASE EXEC. Q.L'!N:N,'BASE EXEC. Q.L'!B:B,VOOS!A899)</f>
        <v>0</v>
      </c>
      <c r="H899" s="15" t="str">
        <f>IFERROR(_xlfn.XLOOKUP(A899,'BASE SQL PLANTIO'!B:B,'BASE SQL PLANTIO'!T:T,"verificar",0),"")</f>
        <v/>
      </c>
      <c r="I899" s="77" t="str">
        <f>IF(_xlfn.MINIFS('BASE SQL PLANTIO'!E:E,'BASE SQL PLANTIO'!B:B,VOOS!A899)=0/1/1900,"",_xlfn.MINIFS('BASE SQL PLANTIO'!E:E,'BASE SQL PLANTIO'!B:B,VOOS!A899))</f>
        <v/>
      </c>
      <c r="J899" s="26"/>
      <c r="K899" s="34" t="str">
        <f t="shared" si="40"/>
        <v/>
      </c>
      <c r="L899" s="35" t="str">
        <f t="shared" si="41"/>
        <v/>
      </c>
      <c r="M899" s="14"/>
      <c r="N899" s="16"/>
    </row>
    <row r="900" spans="1:14" ht="15.6" x14ac:dyDescent="0.3">
      <c r="A900" s="13" t="str">
        <f t="shared" si="39"/>
        <v>-</v>
      </c>
      <c r="B900" s="25"/>
      <c r="C900" s="25"/>
      <c r="D900" s="25"/>
      <c r="E900" s="25"/>
      <c r="F900" s="31"/>
      <c r="G900" s="34">
        <f>SUMIFS('BASE EXEC. Q.L'!N:N,'BASE EXEC. Q.L'!B:B,VOOS!A900)</f>
        <v>0</v>
      </c>
      <c r="H900" s="15" t="str">
        <f>IFERROR(_xlfn.XLOOKUP(A900,'BASE SQL PLANTIO'!B:B,'BASE SQL PLANTIO'!T:T,"verificar",0),"")</f>
        <v/>
      </c>
      <c r="I900" s="77" t="str">
        <f>IF(_xlfn.MINIFS('BASE SQL PLANTIO'!E:E,'BASE SQL PLANTIO'!B:B,VOOS!A900)=0/1/1900,"",_xlfn.MINIFS('BASE SQL PLANTIO'!E:E,'BASE SQL PLANTIO'!B:B,VOOS!A900))</f>
        <v/>
      </c>
      <c r="J900" s="26"/>
      <c r="K900" s="34" t="str">
        <f t="shared" si="40"/>
        <v/>
      </c>
      <c r="L900" s="35" t="str">
        <f t="shared" si="41"/>
        <v/>
      </c>
      <c r="M900" s="14"/>
      <c r="N900" s="16"/>
    </row>
    <row r="901" spans="1:14" ht="15.6" x14ac:dyDescent="0.3">
      <c r="A901" s="13" t="str">
        <f t="shared" ref="A901:A964" si="42">CONCATENATE(B901,"-",E901)</f>
        <v>-</v>
      </c>
      <c r="B901" s="25"/>
      <c r="C901" s="25"/>
      <c r="D901" s="25"/>
      <c r="E901" s="25"/>
      <c r="F901" s="31"/>
      <c r="G901" s="34">
        <f>SUMIFS('BASE EXEC. Q.L'!N:N,'BASE EXEC. Q.L'!B:B,VOOS!A901)</f>
        <v>0</v>
      </c>
      <c r="H901" s="15" t="str">
        <f>IFERROR(_xlfn.XLOOKUP(A901,'BASE SQL PLANTIO'!B:B,'BASE SQL PLANTIO'!T:T,"verificar",0),"")</f>
        <v/>
      </c>
      <c r="I901" s="77" t="str">
        <f>IF(_xlfn.MINIFS('BASE SQL PLANTIO'!E:E,'BASE SQL PLANTIO'!B:B,VOOS!A901)=0/1/1900,"",_xlfn.MINIFS('BASE SQL PLANTIO'!E:E,'BASE SQL PLANTIO'!B:B,VOOS!A901))</f>
        <v/>
      </c>
      <c r="J901" s="26"/>
      <c r="K901" s="34" t="str">
        <f t="shared" ref="K901:K964" si="43">IF(I901="","",$K$3-I901)</f>
        <v/>
      </c>
      <c r="L901" s="35" t="str">
        <f t="shared" ref="L901:L964" si="44">K901</f>
        <v/>
      </c>
      <c r="M901" s="14"/>
      <c r="N901" s="16"/>
    </row>
    <row r="902" spans="1:14" ht="15.6" x14ac:dyDescent="0.3">
      <c r="A902" s="13" t="str">
        <f t="shared" si="42"/>
        <v>-</v>
      </c>
      <c r="B902" s="27"/>
      <c r="C902" s="26"/>
      <c r="D902" s="26"/>
      <c r="E902" s="26"/>
      <c r="F902" s="26"/>
      <c r="G902" s="34">
        <f>SUMIFS('BASE EXEC. Q.L'!N:N,'BASE EXEC. Q.L'!B:B,VOOS!A902)</f>
        <v>0</v>
      </c>
      <c r="H902" s="15" t="str">
        <f>IFERROR(_xlfn.XLOOKUP(A902,'BASE SQL PLANTIO'!B:B,'BASE SQL PLANTIO'!T:T,"verificar",0),"")</f>
        <v/>
      </c>
      <c r="I902" s="77" t="str">
        <f>IF(_xlfn.MINIFS('BASE SQL PLANTIO'!E:E,'BASE SQL PLANTIO'!B:B,VOOS!A902)=0/1/1900,"",_xlfn.MINIFS('BASE SQL PLANTIO'!E:E,'BASE SQL PLANTIO'!B:B,VOOS!A902))</f>
        <v/>
      </c>
      <c r="J902" s="26"/>
      <c r="K902" s="34" t="str">
        <f t="shared" si="43"/>
        <v/>
      </c>
      <c r="L902" s="35" t="str">
        <f t="shared" si="44"/>
        <v/>
      </c>
      <c r="M902" s="14"/>
      <c r="N902" s="16"/>
    </row>
    <row r="903" spans="1:14" ht="15.6" x14ac:dyDescent="0.3">
      <c r="A903" s="13" t="str">
        <f t="shared" si="42"/>
        <v>-</v>
      </c>
      <c r="B903" s="27"/>
      <c r="C903" s="26"/>
      <c r="D903" s="26"/>
      <c r="E903" s="26"/>
      <c r="F903" s="26"/>
      <c r="G903" s="34">
        <f>SUMIFS('BASE EXEC. Q.L'!N:N,'BASE EXEC. Q.L'!B:B,VOOS!A903)</f>
        <v>0</v>
      </c>
      <c r="H903" s="15" t="str">
        <f>IFERROR(_xlfn.XLOOKUP(A903,'BASE SQL PLANTIO'!B:B,'BASE SQL PLANTIO'!T:T,"verificar",0),"")</f>
        <v/>
      </c>
      <c r="I903" s="77" t="str">
        <f>IF(_xlfn.MINIFS('BASE SQL PLANTIO'!E:E,'BASE SQL PLANTIO'!B:B,VOOS!A903)=0/1/1900,"",_xlfn.MINIFS('BASE SQL PLANTIO'!E:E,'BASE SQL PLANTIO'!B:B,VOOS!A903))</f>
        <v/>
      </c>
      <c r="J903" s="26"/>
      <c r="K903" s="34" t="str">
        <f t="shared" si="43"/>
        <v/>
      </c>
      <c r="L903" s="35" t="str">
        <f t="shared" si="44"/>
        <v/>
      </c>
      <c r="M903" s="14"/>
      <c r="N903" s="16"/>
    </row>
    <row r="904" spans="1:14" ht="15.6" x14ac:dyDescent="0.3">
      <c r="A904" s="13" t="str">
        <f t="shared" si="42"/>
        <v>-</v>
      </c>
      <c r="B904" s="27"/>
      <c r="C904" s="26"/>
      <c r="D904" s="26"/>
      <c r="E904" s="26"/>
      <c r="F904" s="26"/>
      <c r="G904" s="34">
        <f>SUMIFS('BASE EXEC. Q.L'!N:N,'BASE EXEC. Q.L'!B:B,VOOS!A904)</f>
        <v>0</v>
      </c>
      <c r="H904" s="15" t="str">
        <f>IFERROR(_xlfn.XLOOKUP(A904,'BASE SQL PLANTIO'!B:B,'BASE SQL PLANTIO'!T:T,"verificar",0),"")</f>
        <v/>
      </c>
      <c r="I904" s="77" t="str">
        <f>IF(_xlfn.MINIFS('BASE SQL PLANTIO'!E:E,'BASE SQL PLANTIO'!B:B,VOOS!A904)=0/1/1900,"",_xlfn.MINIFS('BASE SQL PLANTIO'!E:E,'BASE SQL PLANTIO'!B:B,VOOS!A904))</f>
        <v/>
      </c>
      <c r="J904" s="26"/>
      <c r="K904" s="34" t="str">
        <f t="shared" si="43"/>
        <v/>
      </c>
      <c r="L904" s="35" t="str">
        <f t="shared" si="44"/>
        <v/>
      </c>
      <c r="M904" s="14"/>
      <c r="N904" s="16"/>
    </row>
    <row r="905" spans="1:14" ht="15.6" x14ac:dyDescent="0.3">
      <c r="A905" s="13" t="str">
        <f t="shared" si="42"/>
        <v>-</v>
      </c>
      <c r="B905" s="27"/>
      <c r="C905" s="26"/>
      <c r="D905" s="26"/>
      <c r="E905" s="26"/>
      <c r="F905" s="26"/>
      <c r="G905" s="34">
        <f>SUMIFS('BASE EXEC. Q.L'!N:N,'BASE EXEC. Q.L'!B:B,VOOS!A905)</f>
        <v>0</v>
      </c>
      <c r="H905" s="15" t="str">
        <f>IFERROR(_xlfn.XLOOKUP(A905,'BASE SQL PLANTIO'!B:B,'BASE SQL PLANTIO'!T:T,"verificar",0),"")</f>
        <v/>
      </c>
      <c r="I905" s="77" t="str">
        <f>IF(_xlfn.MINIFS('BASE SQL PLANTIO'!E:E,'BASE SQL PLANTIO'!B:B,VOOS!A905)=0/1/1900,"",_xlfn.MINIFS('BASE SQL PLANTIO'!E:E,'BASE SQL PLANTIO'!B:B,VOOS!A905))</f>
        <v/>
      </c>
      <c r="J905" s="26"/>
      <c r="K905" s="34" t="str">
        <f t="shared" si="43"/>
        <v/>
      </c>
      <c r="L905" s="35" t="str">
        <f t="shared" si="44"/>
        <v/>
      </c>
      <c r="M905" s="14"/>
      <c r="N905" s="16"/>
    </row>
    <row r="906" spans="1:14" ht="15.6" x14ac:dyDescent="0.3">
      <c r="A906" s="13" t="str">
        <f t="shared" si="42"/>
        <v>-</v>
      </c>
      <c r="B906" s="25"/>
      <c r="C906" s="25"/>
      <c r="D906" s="25"/>
      <c r="E906" s="25"/>
      <c r="F906" s="31"/>
      <c r="G906" s="34">
        <f>SUMIFS('BASE EXEC. Q.L'!N:N,'BASE EXEC. Q.L'!B:B,VOOS!A906)</f>
        <v>0</v>
      </c>
      <c r="H906" s="15" t="str">
        <f>IFERROR(_xlfn.XLOOKUP(A906,'BASE SQL PLANTIO'!B:B,'BASE SQL PLANTIO'!T:T,"verificar",0),"")</f>
        <v/>
      </c>
      <c r="I906" s="77" t="str">
        <f>IF(_xlfn.MINIFS('BASE SQL PLANTIO'!E:E,'BASE SQL PLANTIO'!B:B,VOOS!A906)=0/1/1900,"",_xlfn.MINIFS('BASE SQL PLANTIO'!E:E,'BASE SQL PLANTIO'!B:B,VOOS!A906))</f>
        <v/>
      </c>
      <c r="J906" s="26"/>
      <c r="K906" s="34" t="str">
        <f t="shared" si="43"/>
        <v/>
      </c>
      <c r="L906" s="35" t="str">
        <f t="shared" si="44"/>
        <v/>
      </c>
      <c r="M906" s="14"/>
      <c r="N906" s="16"/>
    </row>
    <row r="907" spans="1:14" ht="15.6" x14ac:dyDescent="0.3">
      <c r="A907" s="13" t="str">
        <f t="shared" si="42"/>
        <v>-</v>
      </c>
      <c r="B907" s="25"/>
      <c r="C907" s="25"/>
      <c r="D907" s="25"/>
      <c r="E907" s="25"/>
      <c r="F907" s="31"/>
      <c r="G907" s="34">
        <f>SUMIFS('BASE EXEC. Q.L'!N:N,'BASE EXEC. Q.L'!B:B,VOOS!A907)</f>
        <v>0</v>
      </c>
      <c r="H907" s="15" t="str">
        <f>IFERROR(_xlfn.XLOOKUP(A907,'BASE SQL PLANTIO'!B:B,'BASE SQL PLANTIO'!T:T,"verificar",0),"")</f>
        <v/>
      </c>
      <c r="I907" s="77" t="str">
        <f>IF(_xlfn.MINIFS('BASE SQL PLANTIO'!E:E,'BASE SQL PLANTIO'!B:B,VOOS!A907)=0/1/1900,"",_xlfn.MINIFS('BASE SQL PLANTIO'!E:E,'BASE SQL PLANTIO'!B:B,VOOS!A907))</f>
        <v/>
      </c>
      <c r="J907" s="26"/>
      <c r="K907" s="34" t="str">
        <f t="shared" si="43"/>
        <v/>
      </c>
      <c r="L907" s="35" t="str">
        <f t="shared" si="44"/>
        <v/>
      </c>
      <c r="M907" s="14"/>
      <c r="N907" s="16"/>
    </row>
    <row r="908" spans="1:14" ht="15.6" x14ac:dyDescent="0.3">
      <c r="A908" s="13" t="str">
        <f t="shared" si="42"/>
        <v>-</v>
      </c>
      <c r="B908" s="25"/>
      <c r="C908" s="25"/>
      <c r="D908" s="25"/>
      <c r="E908" s="25"/>
      <c r="F908" s="31"/>
      <c r="G908" s="34">
        <f>SUMIFS('BASE EXEC. Q.L'!N:N,'BASE EXEC. Q.L'!B:B,VOOS!A908)</f>
        <v>0</v>
      </c>
      <c r="H908" s="15" t="str">
        <f>IFERROR(_xlfn.XLOOKUP(A908,'BASE SQL PLANTIO'!B:B,'BASE SQL PLANTIO'!T:T,"verificar",0),"")</f>
        <v/>
      </c>
      <c r="I908" s="77" t="str">
        <f>IF(_xlfn.MINIFS('BASE SQL PLANTIO'!E:E,'BASE SQL PLANTIO'!B:B,VOOS!A908)=0/1/1900,"",_xlfn.MINIFS('BASE SQL PLANTIO'!E:E,'BASE SQL PLANTIO'!B:B,VOOS!A908))</f>
        <v/>
      </c>
      <c r="J908" s="26"/>
      <c r="K908" s="34" t="str">
        <f t="shared" si="43"/>
        <v/>
      </c>
      <c r="L908" s="35" t="str">
        <f t="shared" si="44"/>
        <v/>
      </c>
      <c r="M908" s="14"/>
      <c r="N908" s="16"/>
    </row>
    <row r="909" spans="1:14" ht="15.6" x14ac:dyDescent="0.3">
      <c r="A909" s="13" t="str">
        <f t="shared" si="42"/>
        <v>-</v>
      </c>
      <c r="B909" s="27"/>
      <c r="C909" s="26"/>
      <c r="D909" s="26"/>
      <c r="E909" s="26"/>
      <c r="F909" s="26"/>
      <c r="G909" s="34">
        <f>SUMIFS('BASE EXEC. Q.L'!N:N,'BASE EXEC. Q.L'!B:B,VOOS!A909)</f>
        <v>0</v>
      </c>
      <c r="H909" s="15" t="str">
        <f>IFERROR(_xlfn.XLOOKUP(A909,'BASE SQL PLANTIO'!B:B,'BASE SQL PLANTIO'!T:T,"verificar",0),"")</f>
        <v/>
      </c>
      <c r="I909" s="77" t="str">
        <f>IF(_xlfn.MINIFS('BASE SQL PLANTIO'!E:E,'BASE SQL PLANTIO'!B:B,VOOS!A909)=0/1/1900,"",_xlfn.MINIFS('BASE SQL PLANTIO'!E:E,'BASE SQL PLANTIO'!B:B,VOOS!A909))</f>
        <v/>
      </c>
      <c r="J909" s="26"/>
      <c r="K909" s="34" t="str">
        <f t="shared" si="43"/>
        <v/>
      </c>
      <c r="L909" s="35" t="str">
        <f t="shared" si="44"/>
        <v/>
      </c>
      <c r="M909" s="14"/>
      <c r="N909" s="15"/>
    </row>
    <row r="910" spans="1:14" ht="15.6" x14ac:dyDescent="0.3">
      <c r="A910" s="13" t="str">
        <f t="shared" si="42"/>
        <v>-</v>
      </c>
      <c r="B910" s="27"/>
      <c r="C910" s="26"/>
      <c r="D910" s="26"/>
      <c r="E910" s="26"/>
      <c r="F910" s="26"/>
      <c r="G910" s="34">
        <f>SUMIFS('BASE EXEC. Q.L'!N:N,'BASE EXEC. Q.L'!B:B,VOOS!A910)</f>
        <v>0</v>
      </c>
      <c r="H910" s="15" t="str">
        <f>IFERROR(_xlfn.XLOOKUP(A910,'BASE SQL PLANTIO'!B:B,'BASE SQL PLANTIO'!T:T,"verificar",0),"")</f>
        <v/>
      </c>
      <c r="I910" s="77" t="str">
        <f>IF(_xlfn.MINIFS('BASE SQL PLANTIO'!E:E,'BASE SQL PLANTIO'!B:B,VOOS!A910)=0/1/1900,"",_xlfn.MINIFS('BASE SQL PLANTIO'!E:E,'BASE SQL PLANTIO'!B:B,VOOS!A910))</f>
        <v/>
      </c>
      <c r="J910" s="26"/>
      <c r="K910" s="34" t="str">
        <f t="shared" si="43"/>
        <v/>
      </c>
      <c r="L910" s="35" t="str">
        <f t="shared" si="44"/>
        <v/>
      </c>
      <c r="M910" s="14"/>
      <c r="N910" s="16"/>
    </row>
    <row r="911" spans="1:14" ht="15.6" x14ac:dyDescent="0.3">
      <c r="A911" s="13" t="str">
        <f t="shared" si="42"/>
        <v>-</v>
      </c>
      <c r="B911" s="27"/>
      <c r="C911" s="26"/>
      <c r="D911" s="26"/>
      <c r="E911" s="26"/>
      <c r="F911" s="26"/>
      <c r="G911" s="34">
        <f>SUMIFS('BASE EXEC. Q.L'!N:N,'BASE EXEC. Q.L'!B:B,VOOS!A911)</f>
        <v>0</v>
      </c>
      <c r="H911" s="15" t="str">
        <f>IFERROR(_xlfn.XLOOKUP(A911,'BASE SQL PLANTIO'!B:B,'BASE SQL PLANTIO'!T:T,"verificar",0),"")</f>
        <v/>
      </c>
      <c r="I911" s="77" t="str">
        <f>IF(_xlfn.MINIFS('BASE SQL PLANTIO'!E:E,'BASE SQL PLANTIO'!B:B,VOOS!A911)=0/1/1900,"",_xlfn.MINIFS('BASE SQL PLANTIO'!E:E,'BASE SQL PLANTIO'!B:B,VOOS!A911))</f>
        <v/>
      </c>
      <c r="J911" s="26"/>
      <c r="K911" s="34" t="str">
        <f t="shared" si="43"/>
        <v/>
      </c>
      <c r="L911" s="35" t="str">
        <f t="shared" si="44"/>
        <v/>
      </c>
      <c r="M911" s="14"/>
      <c r="N911" s="16"/>
    </row>
    <row r="912" spans="1:14" ht="15.6" x14ac:dyDescent="0.3">
      <c r="A912" s="13" t="str">
        <f t="shared" si="42"/>
        <v>-</v>
      </c>
      <c r="B912" s="27"/>
      <c r="C912" s="26"/>
      <c r="D912" s="26"/>
      <c r="E912" s="26"/>
      <c r="F912" s="26"/>
      <c r="G912" s="34">
        <f>SUMIFS('BASE EXEC. Q.L'!N:N,'BASE EXEC. Q.L'!B:B,VOOS!A912)</f>
        <v>0</v>
      </c>
      <c r="H912" s="15" t="str">
        <f>IFERROR(_xlfn.XLOOKUP(A912,'BASE SQL PLANTIO'!B:B,'BASE SQL PLANTIO'!T:T,"verificar",0),"")</f>
        <v/>
      </c>
      <c r="I912" s="77" t="str">
        <f>IF(_xlfn.MINIFS('BASE SQL PLANTIO'!E:E,'BASE SQL PLANTIO'!B:B,VOOS!A912)=0/1/1900,"",_xlfn.MINIFS('BASE SQL PLANTIO'!E:E,'BASE SQL PLANTIO'!B:B,VOOS!A912))</f>
        <v/>
      </c>
      <c r="J912" s="26"/>
      <c r="K912" s="34" t="str">
        <f t="shared" si="43"/>
        <v/>
      </c>
      <c r="L912" s="35" t="str">
        <f t="shared" si="44"/>
        <v/>
      </c>
      <c r="M912" s="14"/>
      <c r="N912" s="16"/>
    </row>
    <row r="913" spans="1:14" ht="15.6" x14ac:dyDescent="0.3">
      <c r="A913" s="13" t="str">
        <f t="shared" si="42"/>
        <v>-</v>
      </c>
      <c r="B913" s="27"/>
      <c r="C913" s="26"/>
      <c r="D913" s="26"/>
      <c r="E913" s="26"/>
      <c r="F913" s="26"/>
      <c r="G913" s="34">
        <f>SUMIFS('BASE EXEC. Q.L'!N:N,'BASE EXEC. Q.L'!B:B,VOOS!A913)</f>
        <v>0</v>
      </c>
      <c r="H913" s="15" t="str">
        <f>IFERROR(_xlfn.XLOOKUP(A913,'BASE SQL PLANTIO'!B:B,'BASE SQL PLANTIO'!T:T,"verificar",0),"")</f>
        <v/>
      </c>
      <c r="I913" s="77" t="str">
        <f>IF(_xlfn.MINIFS('BASE SQL PLANTIO'!E:E,'BASE SQL PLANTIO'!B:B,VOOS!A913)=0/1/1900,"",_xlfn.MINIFS('BASE SQL PLANTIO'!E:E,'BASE SQL PLANTIO'!B:B,VOOS!A913))</f>
        <v/>
      </c>
      <c r="J913" s="26"/>
      <c r="K913" s="34" t="str">
        <f t="shared" si="43"/>
        <v/>
      </c>
      <c r="L913" s="35" t="str">
        <f t="shared" si="44"/>
        <v/>
      </c>
      <c r="M913" s="14"/>
      <c r="N913" s="16"/>
    </row>
    <row r="914" spans="1:14" ht="15.6" x14ac:dyDescent="0.3">
      <c r="A914" s="13" t="str">
        <f t="shared" si="42"/>
        <v>-</v>
      </c>
      <c r="B914" s="27"/>
      <c r="C914" s="26"/>
      <c r="D914" s="26"/>
      <c r="E914" s="26"/>
      <c r="F914" s="26"/>
      <c r="G914" s="34">
        <f>SUMIFS('BASE EXEC. Q.L'!N:N,'BASE EXEC. Q.L'!B:B,VOOS!A914)</f>
        <v>0</v>
      </c>
      <c r="H914" s="15" t="str">
        <f>IFERROR(_xlfn.XLOOKUP(A914,'BASE SQL PLANTIO'!B:B,'BASE SQL PLANTIO'!T:T,"verificar",0),"")</f>
        <v/>
      </c>
      <c r="I914" s="77" t="str">
        <f>IF(_xlfn.MINIFS('BASE SQL PLANTIO'!E:E,'BASE SQL PLANTIO'!B:B,VOOS!A914)=0/1/1900,"",_xlfn.MINIFS('BASE SQL PLANTIO'!E:E,'BASE SQL PLANTIO'!B:B,VOOS!A914))</f>
        <v/>
      </c>
      <c r="J914" s="26"/>
      <c r="K914" s="34" t="str">
        <f t="shared" si="43"/>
        <v/>
      </c>
      <c r="L914" s="35" t="str">
        <f t="shared" si="44"/>
        <v/>
      </c>
      <c r="M914" s="14"/>
      <c r="N914" s="16"/>
    </row>
    <row r="915" spans="1:14" ht="15.6" x14ac:dyDescent="0.3">
      <c r="A915" s="13" t="str">
        <f t="shared" si="42"/>
        <v>-</v>
      </c>
      <c r="B915" s="27"/>
      <c r="C915" s="26"/>
      <c r="D915" s="26"/>
      <c r="E915" s="26"/>
      <c r="F915" s="26"/>
      <c r="G915" s="34">
        <f>SUMIFS('BASE EXEC. Q.L'!N:N,'BASE EXEC. Q.L'!B:B,VOOS!A915)</f>
        <v>0</v>
      </c>
      <c r="H915" s="15" t="str">
        <f>IFERROR(_xlfn.XLOOKUP(A915,'BASE SQL PLANTIO'!B:B,'BASE SQL PLANTIO'!T:T,"verificar",0),"")</f>
        <v/>
      </c>
      <c r="I915" s="77" t="str">
        <f>IF(_xlfn.MINIFS('BASE SQL PLANTIO'!E:E,'BASE SQL PLANTIO'!B:B,VOOS!A915)=0/1/1900,"",_xlfn.MINIFS('BASE SQL PLANTIO'!E:E,'BASE SQL PLANTIO'!B:B,VOOS!A915))</f>
        <v/>
      </c>
      <c r="J915" s="26"/>
      <c r="K915" s="34" t="str">
        <f t="shared" si="43"/>
        <v/>
      </c>
      <c r="L915" s="35" t="str">
        <f t="shared" si="44"/>
        <v/>
      </c>
      <c r="M915" s="14"/>
      <c r="N915" s="16"/>
    </row>
    <row r="916" spans="1:14" ht="15.6" x14ac:dyDescent="0.3">
      <c r="A916" s="13" t="str">
        <f t="shared" si="42"/>
        <v>-</v>
      </c>
      <c r="B916" s="27"/>
      <c r="C916" s="26"/>
      <c r="D916" s="26"/>
      <c r="E916" s="26"/>
      <c r="F916" s="26"/>
      <c r="G916" s="34">
        <f>SUMIFS('BASE EXEC. Q.L'!N:N,'BASE EXEC. Q.L'!B:B,VOOS!A916)</f>
        <v>0</v>
      </c>
      <c r="H916" s="15" t="str">
        <f>IFERROR(_xlfn.XLOOKUP(A916,'BASE SQL PLANTIO'!B:B,'BASE SQL PLANTIO'!T:T,"verificar",0),"")</f>
        <v/>
      </c>
      <c r="I916" s="77" t="str">
        <f>IF(_xlfn.MINIFS('BASE SQL PLANTIO'!E:E,'BASE SQL PLANTIO'!B:B,VOOS!A916)=0/1/1900,"",_xlfn.MINIFS('BASE SQL PLANTIO'!E:E,'BASE SQL PLANTIO'!B:B,VOOS!A916))</f>
        <v/>
      </c>
      <c r="J916" s="26"/>
      <c r="K916" s="34" t="str">
        <f t="shared" si="43"/>
        <v/>
      </c>
      <c r="L916" s="35" t="str">
        <f t="shared" si="44"/>
        <v/>
      </c>
      <c r="M916" s="14"/>
      <c r="N916" s="16"/>
    </row>
    <row r="917" spans="1:14" ht="15.6" x14ac:dyDescent="0.3">
      <c r="A917" s="13" t="str">
        <f t="shared" si="42"/>
        <v>-</v>
      </c>
      <c r="B917" s="27"/>
      <c r="C917" s="22"/>
      <c r="D917" s="23"/>
      <c r="E917" s="23"/>
      <c r="F917" s="22"/>
      <c r="G917" s="34">
        <f>SUMIFS('BASE EXEC. Q.L'!N:N,'BASE EXEC. Q.L'!B:B,VOOS!A917)</f>
        <v>0</v>
      </c>
      <c r="H917" s="15" t="str">
        <f>IFERROR(_xlfn.XLOOKUP(A917,'BASE SQL PLANTIO'!B:B,'BASE SQL PLANTIO'!T:T,"verificar",0),"")</f>
        <v/>
      </c>
      <c r="I917" s="77" t="str">
        <f>IF(_xlfn.MINIFS('BASE SQL PLANTIO'!E:E,'BASE SQL PLANTIO'!B:B,VOOS!A917)=0/1/1900,"",_xlfn.MINIFS('BASE SQL PLANTIO'!E:E,'BASE SQL PLANTIO'!B:B,VOOS!A917))</f>
        <v/>
      </c>
      <c r="J917" s="22"/>
      <c r="K917" s="34" t="str">
        <f t="shared" si="43"/>
        <v/>
      </c>
      <c r="L917" s="35" t="str">
        <f t="shared" si="44"/>
        <v/>
      </c>
      <c r="M917" s="14"/>
      <c r="N917" s="16"/>
    </row>
    <row r="918" spans="1:14" ht="15.6" x14ac:dyDescent="0.3">
      <c r="A918" s="13" t="str">
        <f t="shared" si="42"/>
        <v>-</v>
      </c>
      <c r="B918" s="27"/>
      <c r="C918" s="26"/>
      <c r="D918" s="26"/>
      <c r="E918" s="26"/>
      <c r="F918" s="26"/>
      <c r="G918" s="34">
        <f>SUMIFS('BASE EXEC. Q.L'!N:N,'BASE EXEC. Q.L'!B:B,VOOS!A918)</f>
        <v>0</v>
      </c>
      <c r="H918" s="15" t="str">
        <f>IFERROR(_xlfn.XLOOKUP(A918,'BASE SQL PLANTIO'!B:B,'BASE SQL PLANTIO'!T:T,"verificar",0),"")</f>
        <v/>
      </c>
      <c r="I918" s="77" t="str">
        <f>IF(_xlfn.MINIFS('BASE SQL PLANTIO'!E:E,'BASE SQL PLANTIO'!B:B,VOOS!A918)=0/1/1900,"",_xlfn.MINIFS('BASE SQL PLANTIO'!E:E,'BASE SQL PLANTIO'!B:B,VOOS!A918))</f>
        <v/>
      </c>
      <c r="J918" s="26"/>
      <c r="K918" s="34" t="str">
        <f t="shared" si="43"/>
        <v/>
      </c>
      <c r="L918" s="35" t="str">
        <f t="shared" si="44"/>
        <v/>
      </c>
      <c r="M918" s="14"/>
      <c r="N918" s="16"/>
    </row>
    <row r="919" spans="1:14" ht="15.6" x14ac:dyDescent="0.3">
      <c r="A919" s="13" t="str">
        <f t="shared" si="42"/>
        <v>-</v>
      </c>
      <c r="B919" s="27"/>
      <c r="C919" s="26"/>
      <c r="D919" s="26"/>
      <c r="E919" s="26"/>
      <c r="F919" s="26"/>
      <c r="G919" s="34">
        <f>SUMIFS('BASE EXEC. Q.L'!N:N,'BASE EXEC. Q.L'!B:B,VOOS!A919)</f>
        <v>0</v>
      </c>
      <c r="H919" s="15" t="str">
        <f>IFERROR(_xlfn.XLOOKUP(A919,'BASE SQL PLANTIO'!B:B,'BASE SQL PLANTIO'!T:T,"verificar",0),"")</f>
        <v/>
      </c>
      <c r="I919" s="77" t="str">
        <f>IF(_xlfn.MINIFS('BASE SQL PLANTIO'!E:E,'BASE SQL PLANTIO'!B:B,VOOS!A919)=0/1/1900,"",_xlfn.MINIFS('BASE SQL PLANTIO'!E:E,'BASE SQL PLANTIO'!B:B,VOOS!A919))</f>
        <v/>
      </c>
      <c r="J919" s="26"/>
      <c r="K919" s="34" t="str">
        <f t="shared" si="43"/>
        <v/>
      </c>
      <c r="L919" s="35" t="str">
        <f t="shared" si="44"/>
        <v/>
      </c>
      <c r="M919" s="14"/>
      <c r="N919" s="16"/>
    </row>
    <row r="920" spans="1:14" ht="15.6" x14ac:dyDescent="0.3">
      <c r="A920" s="13" t="str">
        <f t="shared" si="42"/>
        <v>-</v>
      </c>
      <c r="B920" s="27"/>
      <c r="C920" s="26"/>
      <c r="D920" s="26"/>
      <c r="E920" s="26"/>
      <c r="F920" s="26"/>
      <c r="G920" s="34">
        <f>SUMIFS('BASE EXEC. Q.L'!N:N,'BASE EXEC. Q.L'!B:B,VOOS!A920)</f>
        <v>0</v>
      </c>
      <c r="H920" s="15" t="str">
        <f>IFERROR(_xlfn.XLOOKUP(A920,'BASE SQL PLANTIO'!B:B,'BASE SQL PLANTIO'!T:T,"verificar",0),"")</f>
        <v/>
      </c>
      <c r="I920" s="77" t="str">
        <f>IF(_xlfn.MINIFS('BASE SQL PLANTIO'!E:E,'BASE SQL PLANTIO'!B:B,VOOS!A920)=0/1/1900,"",_xlfn.MINIFS('BASE SQL PLANTIO'!E:E,'BASE SQL PLANTIO'!B:B,VOOS!A920))</f>
        <v/>
      </c>
      <c r="J920" s="26"/>
      <c r="K920" s="34" t="str">
        <f t="shared" si="43"/>
        <v/>
      </c>
      <c r="L920" s="35" t="str">
        <f t="shared" si="44"/>
        <v/>
      </c>
      <c r="M920" s="14"/>
      <c r="N920" s="16"/>
    </row>
    <row r="921" spans="1:14" ht="15.6" x14ac:dyDescent="0.3">
      <c r="A921" s="13" t="str">
        <f t="shared" si="42"/>
        <v>-</v>
      </c>
      <c r="B921" s="27"/>
      <c r="C921" s="26"/>
      <c r="D921" s="26"/>
      <c r="E921" s="26"/>
      <c r="F921" s="26"/>
      <c r="G921" s="34">
        <f>SUMIFS('BASE EXEC. Q.L'!N:N,'BASE EXEC. Q.L'!B:B,VOOS!A921)</f>
        <v>0</v>
      </c>
      <c r="H921" s="15" t="str">
        <f>IFERROR(_xlfn.XLOOKUP(A921,'BASE SQL PLANTIO'!B:B,'BASE SQL PLANTIO'!T:T,"verificar",0),"")</f>
        <v/>
      </c>
      <c r="I921" s="77" t="str">
        <f>IF(_xlfn.MINIFS('BASE SQL PLANTIO'!E:E,'BASE SQL PLANTIO'!B:B,VOOS!A921)=0/1/1900,"",_xlfn.MINIFS('BASE SQL PLANTIO'!E:E,'BASE SQL PLANTIO'!B:B,VOOS!A921))</f>
        <v/>
      </c>
      <c r="J921" s="26"/>
      <c r="K921" s="34" t="str">
        <f t="shared" si="43"/>
        <v/>
      </c>
      <c r="L921" s="35" t="str">
        <f t="shared" si="44"/>
        <v/>
      </c>
      <c r="M921" s="14"/>
      <c r="N921" s="15"/>
    </row>
    <row r="922" spans="1:14" ht="15.6" x14ac:dyDescent="0.3">
      <c r="A922" s="13" t="str">
        <f t="shared" si="42"/>
        <v>-</v>
      </c>
      <c r="B922" s="27"/>
      <c r="C922" s="26"/>
      <c r="D922" s="26"/>
      <c r="E922" s="26"/>
      <c r="F922" s="26"/>
      <c r="G922" s="34">
        <f>SUMIFS('BASE EXEC. Q.L'!N:N,'BASE EXEC. Q.L'!B:B,VOOS!A922)</f>
        <v>0</v>
      </c>
      <c r="H922" s="15" t="str">
        <f>IFERROR(_xlfn.XLOOKUP(A922,'BASE SQL PLANTIO'!B:B,'BASE SQL PLANTIO'!T:T,"verificar",0),"")</f>
        <v/>
      </c>
      <c r="I922" s="77" t="str">
        <f>IF(_xlfn.MINIFS('BASE SQL PLANTIO'!E:E,'BASE SQL PLANTIO'!B:B,VOOS!A922)=0/1/1900,"",_xlfn.MINIFS('BASE SQL PLANTIO'!E:E,'BASE SQL PLANTIO'!B:B,VOOS!A922))</f>
        <v/>
      </c>
      <c r="J922" s="26"/>
      <c r="K922" s="34" t="str">
        <f t="shared" si="43"/>
        <v/>
      </c>
      <c r="L922" s="35" t="str">
        <f t="shared" si="44"/>
        <v/>
      </c>
      <c r="M922" s="14"/>
      <c r="N922" s="16"/>
    </row>
    <row r="923" spans="1:14" ht="15.6" x14ac:dyDescent="0.3">
      <c r="A923" s="13" t="str">
        <f t="shared" si="42"/>
        <v>-</v>
      </c>
      <c r="B923" s="27"/>
      <c r="C923" s="26"/>
      <c r="D923" s="26"/>
      <c r="E923" s="26"/>
      <c r="F923" s="26"/>
      <c r="G923" s="34">
        <f>SUMIFS('BASE EXEC. Q.L'!N:N,'BASE EXEC. Q.L'!B:B,VOOS!A923)</f>
        <v>0</v>
      </c>
      <c r="H923" s="15" t="str">
        <f>IFERROR(_xlfn.XLOOKUP(A923,'BASE SQL PLANTIO'!B:B,'BASE SQL PLANTIO'!T:T,"verificar",0),"")</f>
        <v/>
      </c>
      <c r="I923" s="77" t="str">
        <f>IF(_xlfn.MINIFS('BASE SQL PLANTIO'!E:E,'BASE SQL PLANTIO'!B:B,VOOS!A923)=0/1/1900,"",_xlfn.MINIFS('BASE SQL PLANTIO'!E:E,'BASE SQL PLANTIO'!B:B,VOOS!A923))</f>
        <v/>
      </c>
      <c r="J923" s="26"/>
      <c r="K923" s="34" t="str">
        <f t="shared" si="43"/>
        <v/>
      </c>
      <c r="L923" s="35" t="str">
        <f t="shared" si="44"/>
        <v/>
      </c>
      <c r="M923" s="14"/>
      <c r="N923" s="16"/>
    </row>
    <row r="924" spans="1:14" ht="15.6" x14ac:dyDescent="0.3">
      <c r="A924" s="13" t="str">
        <f t="shared" si="42"/>
        <v>-</v>
      </c>
      <c r="B924" s="25"/>
      <c r="C924" s="25"/>
      <c r="D924" s="25"/>
      <c r="E924" s="25"/>
      <c r="F924" s="31"/>
      <c r="G924" s="34">
        <f>SUMIFS('BASE EXEC. Q.L'!N:N,'BASE EXEC. Q.L'!B:B,VOOS!A924)</f>
        <v>0</v>
      </c>
      <c r="H924" s="15" t="str">
        <f>IFERROR(_xlfn.XLOOKUP(A924,'BASE SQL PLANTIO'!B:B,'BASE SQL PLANTIO'!T:T,"verificar",0),"")</f>
        <v/>
      </c>
      <c r="I924" s="77" t="str">
        <f>IF(_xlfn.MINIFS('BASE SQL PLANTIO'!E:E,'BASE SQL PLANTIO'!B:B,VOOS!A924)=0/1/1900,"",_xlfn.MINIFS('BASE SQL PLANTIO'!E:E,'BASE SQL PLANTIO'!B:B,VOOS!A924))</f>
        <v/>
      </c>
      <c r="J924" s="26"/>
      <c r="K924" s="34" t="str">
        <f t="shared" si="43"/>
        <v/>
      </c>
      <c r="L924" s="35" t="str">
        <f t="shared" si="44"/>
        <v/>
      </c>
      <c r="M924" s="14"/>
      <c r="N924" s="16"/>
    </row>
    <row r="925" spans="1:14" ht="15.6" x14ac:dyDescent="0.3">
      <c r="A925" s="13" t="str">
        <f t="shared" si="42"/>
        <v>-</v>
      </c>
      <c r="B925" s="25"/>
      <c r="C925" s="25"/>
      <c r="D925" s="25"/>
      <c r="E925" s="25"/>
      <c r="F925" s="31"/>
      <c r="G925" s="34">
        <f>SUMIFS('BASE EXEC. Q.L'!N:N,'BASE EXEC. Q.L'!B:B,VOOS!A925)</f>
        <v>0</v>
      </c>
      <c r="H925" s="15" t="str">
        <f>IFERROR(_xlfn.XLOOKUP(A925,'BASE SQL PLANTIO'!B:B,'BASE SQL PLANTIO'!T:T,"verificar",0),"")</f>
        <v/>
      </c>
      <c r="I925" s="77" t="str">
        <f>IF(_xlfn.MINIFS('BASE SQL PLANTIO'!E:E,'BASE SQL PLANTIO'!B:B,VOOS!A925)=0/1/1900,"",_xlfn.MINIFS('BASE SQL PLANTIO'!E:E,'BASE SQL PLANTIO'!B:B,VOOS!A925))</f>
        <v/>
      </c>
      <c r="J925" s="26"/>
      <c r="K925" s="34" t="str">
        <f t="shared" si="43"/>
        <v/>
      </c>
      <c r="L925" s="35" t="str">
        <f t="shared" si="44"/>
        <v/>
      </c>
      <c r="M925" s="14"/>
      <c r="N925" s="16"/>
    </row>
    <row r="926" spans="1:14" ht="15.6" x14ac:dyDescent="0.3">
      <c r="A926" s="13" t="str">
        <f t="shared" si="42"/>
        <v>-</v>
      </c>
      <c r="B926" s="27"/>
      <c r="C926" s="26"/>
      <c r="D926" s="26"/>
      <c r="E926" s="26"/>
      <c r="F926" s="26"/>
      <c r="G926" s="34">
        <f>SUMIFS('BASE EXEC. Q.L'!N:N,'BASE EXEC. Q.L'!B:B,VOOS!A926)</f>
        <v>0</v>
      </c>
      <c r="H926" s="15" t="str">
        <f>IFERROR(_xlfn.XLOOKUP(A926,'BASE SQL PLANTIO'!B:B,'BASE SQL PLANTIO'!T:T,"verificar",0),"")</f>
        <v/>
      </c>
      <c r="I926" s="77" t="str">
        <f>IF(_xlfn.MINIFS('BASE SQL PLANTIO'!E:E,'BASE SQL PLANTIO'!B:B,VOOS!A926)=0/1/1900,"",_xlfn.MINIFS('BASE SQL PLANTIO'!E:E,'BASE SQL PLANTIO'!B:B,VOOS!A926))</f>
        <v/>
      </c>
      <c r="J926" s="26"/>
      <c r="K926" s="34" t="str">
        <f t="shared" si="43"/>
        <v/>
      </c>
      <c r="L926" s="35" t="str">
        <f t="shared" si="44"/>
        <v/>
      </c>
      <c r="M926" s="14"/>
      <c r="N926" s="16"/>
    </row>
    <row r="927" spans="1:14" ht="15.6" x14ac:dyDescent="0.3">
      <c r="A927" s="13" t="str">
        <f t="shared" si="42"/>
        <v>-</v>
      </c>
      <c r="B927" s="27"/>
      <c r="C927" s="26"/>
      <c r="D927" s="26"/>
      <c r="E927" s="26"/>
      <c r="F927" s="26"/>
      <c r="G927" s="34">
        <f>SUMIFS('BASE EXEC. Q.L'!N:N,'BASE EXEC. Q.L'!B:B,VOOS!A927)</f>
        <v>0</v>
      </c>
      <c r="H927" s="15" t="str">
        <f>IFERROR(_xlfn.XLOOKUP(A927,'BASE SQL PLANTIO'!B:B,'BASE SQL PLANTIO'!T:T,"verificar",0),"")</f>
        <v/>
      </c>
      <c r="I927" s="77" t="str">
        <f>IF(_xlfn.MINIFS('BASE SQL PLANTIO'!E:E,'BASE SQL PLANTIO'!B:B,VOOS!A927)=0/1/1900,"",_xlfn.MINIFS('BASE SQL PLANTIO'!E:E,'BASE SQL PLANTIO'!B:B,VOOS!A927))</f>
        <v/>
      </c>
      <c r="J927" s="26"/>
      <c r="K927" s="34" t="str">
        <f t="shared" si="43"/>
        <v/>
      </c>
      <c r="L927" s="35" t="str">
        <f t="shared" si="44"/>
        <v/>
      </c>
      <c r="M927" s="14"/>
      <c r="N927" s="16"/>
    </row>
    <row r="928" spans="1:14" ht="15.6" x14ac:dyDescent="0.3">
      <c r="A928" s="13" t="str">
        <f t="shared" si="42"/>
        <v>-</v>
      </c>
      <c r="B928" s="27"/>
      <c r="C928" s="26"/>
      <c r="D928" s="26"/>
      <c r="E928" s="26"/>
      <c r="F928" s="26"/>
      <c r="G928" s="34">
        <f>SUMIFS('BASE EXEC. Q.L'!N:N,'BASE EXEC. Q.L'!B:B,VOOS!A928)</f>
        <v>0</v>
      </c>
      <c r="H928" s="15" t="str">
        <f>IFERROR(_xlfn.XLOOKUP(A928,'BASE SQL PLANTIO'!B:B,'BASE SQL PLANTIO'!T:T,"verificar",0),"")</f>
        <v/>
      </c>
      <c r="I928" s="77" t="str">
        <f>IF(_xlfn.MINIFS('BASE SQL PLANTIO'!E:E,'BASE SQL PLANTIO'!B:B,VOOS!A928)=0/1/1900,"",_xlfn.MINIFS('BASE SQL PLANTIO'!E:E,'BASE SQL PLANTIO'!B:B,VOOS!A928))</f>
        <v/>
      </c>
      <c r="J928" s="26"/>
      <c r="K928" s="34" t="str">
        <f t="shared" si="43"/>
        <v/>
      </c>
      <c r="L928" s="35" t="str">
        <f t="shared" si="44"/>
        <v/>
      </c>
      <c r="M928" s="14"/>
      <c r="N928" s="16"/>
    </row>
    <row r="929" spans="1:14" ht="15.6" x14ac:dyDescent="0.3">
      <c r="A929" s="13" t="str">
        <f t="shared" si="42"/>
        <v>-</v>
      </c>
      <c r="B929" s="27"/>
      <c r="C929" s="26"/>
      <c r="D929" s="26"/>
      <c r="E929" s="26"/>
      <c r="F929" s="26"/>
      <c r="G929" s="34">
        <f>SUMIFS('BASE EXEC. Q.L'!N:N,'BASE EXEC. Q.L'!B:B,VOOS!A929)</f>
        <v>0</v>
      </c>
      <c r="H929" s="15" t="str">
        <f>IFERROR(_xlfn.XLOOKUP(A929,'BASE SQL PLANTIO'!B:B,'BASE SQL PLANTIO'!T:T,"verificar",0),"")</f>
        <v/>
      </c>
      <c r="I929" s="77" t="str">
        <f>IF(_xlfn.MINIFS('BASE SQL PLANTIO'!E:E,'BASE SQL PLANTIO'!B:B,VOOS!A929)=0/1/1900,"",_xlfn.MINIFS('BASE SQL PLANTIO'!E:E,'BASE SQL PLANTIO'!B:B,VOOS!A929))</f>
        <v/>
      </c>
      <c r="J929" s="26"/>
      <c r="K929" s="34" t="str">
        <f t="shared" si="43"/>
        <v/>
      </c>
      <c r="L929" s="35" t="str">
        <f t="shared" si="44"/>
        <v/>
      </c>
      <c r="M929" s="14"/>
      <c r="N929" s="16"/>
    </row>
    <row r="930" spans="1:14" ht="15.6" x14ac:dyDescent="0.3">
      <c r="A930" s="13" t="str">
        <f t="shared" si="42"/>
        <v>-</v>
      </c>
      <c r="B930" s="27"/>
      <c r="C930" s="26"/>
      <c r="D930" s="26"/>
      <c r="E930" s="26"/>
      <c r="F930" s="26"/>
      <c r="G930" s="34">
        <f>SUMIFS('BASE EXEC. Q.L'!N:N,'BASE EXEC. Q.L'!B:B,VOOS!A930)</f>
        <v>0</v>
      </c>
      <c r="H930" s="15" t="str">
        <f>IFERROR(_xlfn.XLOOKUP(A930,'BASE SQL PLANTIO'!B:B,'BASE SQL PLANTIO'!T:T,"verificar",0),"")</f>
        <v/>
      </c>
      <c r="I930" s="77" t="str">
        <f>IF(_xlfn.MINIFS('BASE SQL PLANTIO'!E:E,'BASE SQL PLANTIO'!B:B,VOOS!A930)=0/1/1900,"",_xlfn.MINIFS('BASE SQL PLANTIO'!E:E,'BASE SQL PLANTIO'!B:B,VOOS!A930))</f>
        <v/>
      </c>
      <c r="J930" s="26"/>
      <c r="K930" s="34" t="str">
        <f t="shared" si="43"/>
        <v/>
      </c>
      <c r="L930" s="35" t="str">
        <f t="shared" si="44"/>
        <v/>
      </c>
      <c r="M930" s="14"/>
      <c r="N930" s="16"/>
    </row>
    <row r="931" spans="1:14" ht="15.6" x14ac:dyDescent="0.3">
      <c r="A931" s="13" t="str">
        <f t="shared" si="42"/>
        <v>-</v>
      </c>
      <c r="B931" s="25"/>
      <c r="C931" s="25"/>
      <c r="D931" s="25"/>
      <c r="E931" s="25"/>
      <c r="F931" s="31"/>
      <c r="G931" s="34">
        <f>SUMIFS('BASE EXEC. Q.L'!N:N,'BASE EXEC. Q.L'!B:B,VOOS!A931)</f>
        <v>0</v>
      </c>
      <c r="H931" s="15" t="str">
        <f>IFERROR(_xlfn.XLOOKUP(A931,'BASE SQL PLANTIO'!B:B,'BASE SQL PLANTIO'!T:T,"verificar",0),"")</f>
        <v/>
      </c>
      <c r="I931" s="77" t="str">
        <f>IF(_xlfn.MINIFS('BASE SQL PLANTIO'!E:E,'BASE SQL PLANTIO'!B:B,VOOS!A931)=0/1/1900,"",_xlfn.MINIFS('BASE SQL PLANTIO'!E:E,'BASE SQL PLANTIO'!B:B,VOOS!A931))</f>
        <v/>
      </c>
      <c r="J931" s="26"/>
      <c r="K931" s="34" t="str">
        <f t="shared" si="43"/>
        <v/>
      </c>
      <c r="L931" s="35" t="str">
        <f t="shared" si="44"/>
        <v/>
      </c>
      <c r="M931" s="14"/>
      <c r="N931" s="16"/>
    </row>
    <row r="932" spans="1:14" ht="15.6" x14ac:dyDescent="0.3">
      <c r="A932" s="13" t="str">
        <f t="shared" si="42"/>
        <v>-</v>
      </c>
      <c r="B932" s="25"/>
      <c r="C932" s="25"/>
      <c r="D932" s="25"/>
      <c r="E932" s="25"/>
      <c r="F932" s="31"/>
      <c r="G932" s="34">
        <f>SUMIFS('BASE EXEC. Q.L'!N:N,'BASE EXEC. Q.L'!B:B,VOOS!A932)</f>
        <v>0</v>
      </c>
      <c r="H932" s="15" t="str">
        <f>IFERROR(_xlfn.XLOOKUP(A932,'BASE SQL PLANTIO'!B:B,'BASE SQL PLANTIO'!T:T,"verificar",0),"")</f>
        <v/>
      </c>
      <c r="I932" s="77" t="str">
        <f>IF(_xlfn.MINIFS('BASE SQL PLANTIO'!E:E,'BASE SQL PLANTIO'!B:B,VOOS!A932)=0/1/1900,"",_xlfn.MINIFS('BASE SQL PLANTIO'!E:E,'BASE SQL PLANTIO'!B:B,VOOS!A932))</f>
        <v/>
      </c>
      <c r="J932" s="26"/>
      <c r="K932" s="34" t="str">
        <f t="shared" si="43"/>
        <v/>
      </c>
      <c r="L932" s="35" t="str">
        <f t="shared" si="44"/>
        <v/>
      </c>
      <c r="M932" s="14"/>
      <c r="N932" s="16"/>
    </row>
    <row r="933" spans="1:14" ht="15.6" x14ac:dyDescent="0.3">
      <c r="A933" s="13" t="str">
        <f t="shared" si="42"/>
        <v>-</v>
      </c>
      <c r="B933" s="25"/>
      <c r="C933" s="25"/>
      <c r="D933" s="25"/>
      <c r="E933" s="25"/>
      <c r="F933" s="31"/>
      <c r="G933" s="34">
        <f>SUMIFS('BASE EXEC. Q.L'!N:N,'BASE EXEC. Q.L'!B:B,VOOS!A933)</f>
        <v>0</v>
      </c>
      <c r="H933" s="15" t="str">
        <f>IFERROR(_xlfn.XLOOKUP(A933,'BASE SQL PLANTIO'!B:B,'BASE SQL PLANTIO'!T:T,"verificar",0),"")</f>
        <v/>
      </c>
      <c r="I933" s="77" t="str">
        <f>IF(_xlfn.MINIFS('BASE SQL PLANTIO'!E:E,'BASE SQL PLANTIO'!B:B,VOOS!A933)=0/1/1900,"",_xlfn.MINIFS('BASE SQL PLANTIO'!E:E,'BASE SQL PLANTIO'!B:B,VOOS!A933))</f>
        <v/>
      </c>
      <c r="J933" s="26"/>
      <c r="K933" s="34" t="str">
        <f t="shared" si="43"/>
        <v/>
      </c>
      <c r="L933" s="35" t="str">
        <f t="shared" si="44"/>
        <v/>
      </c>
      <c r="M933" s="14"/>
      <c r="N933" s="15"/>
    </row>
    <row r="934" spans="1:14" ht="15.6" x14ac:dyDescent="0.3">
      <c r="A934" s="13" t="str">
        <f t="shared" si="42"/>
        <v>-</v>
      </c>
      <c r="B934" s="27"/>
      <c r="C934" s="26"/>
      <c r="D934" s="26"/>
      <c r="E934" s="26"/>
      <c r="F934" s="26"/>
      <c r="G934" s="34">
        <f>SUMIFS('BASE EXEC. Q.L'!N:N,'BASE EXEC. Q.L'!B:B,VOOS!A934)</f>
        <v>0</v>
      </c>
      <c r="H934" s="15" t="str">
        <f>IFERROR(_xlfn.XLOOKUP(A934,'BASE SQL PLANTIO'!B:B,'BASE SQL PLANTIO'!T:T,"verificar",0),"")</f>
        <v/>
      </c>
      <c r="I934" s="77" t="str">
        <f>IF(_xlfn.MINIFS('BASE SQL PLANTIO'!E:E,'BASE SQL PLANTIO'!B:B,VOOS!A934)=0/1/1900,"",_xlfn.MINIFS('BASE SQL PLANTIO'!E:E,'BASE SQL PLANTIO'!B:B,VOOS!A934))</f>
        <v/>
      </c>
      <c r="J934" s="26"/>
      <c r="K934" s="34" t="str">
        <f t="shared" si="43"/>
        <v/>
      </c>
      <c r="L934" s="35" t="str">
        <f t="shared" si="44"/>
        <v/>
      </c>
      <c r="M934" s="14"/>
      <c r="N934" s="16"/>
    </row>
    <row r="935" spans="1:14" ht="15.6" x14ac:dyDescent="0.3">
      <c r="A935" s="13" t="str">
        <f t="shared" si="42"/>
        <v>-</v>
      </c>
      <c r="B935" s="27"/>
      <c r="C935" s="26"/>
      <c r="D935" s="26"/>
      <c r="E935" s="26"/>
      <c r="F935" s="26"/>
      <c r="G935" s="34">
        <f>SUMIFS('BASE EXEC. Q.L'!N:N,'BASE EXEC. Q.L'!B:B,VOOS!A935)</f>
        <v>0</v>
      </c>
      <c r="H935" s="15" t="str">
        <f>IFERROR(_xlfn.XLOOKUP(A935,'BASE SQL PLANTIO'!B:B,'BASE SQL PLANTIO'!T:T,"verificar",0),"")</f>
        <v/>
      </c>
      <c r="I935" s="77" t="str">
        <f>IF(_xlfn.MINIFS('BASE SQL PLANTIO'!E:E,'BASE SQL PLANTIO'!B:B,VOOS!A935)=0/1/1900,"",_xlfn.MINIFS('BASE SQL PLANTIO'!E:E,'BASE SQL PLANTIO'!B:B,VOOS!A935))</f>
        <v/>
      </c>
      <c r="J935" s="26"/>
      <c r="K935" s="34" t="str">
        <f t="shared" si="43"/>
        <v/>
      </c>
      <c r="L935" s="35" t="str">
        <f t="shared" si="44"/>
        <v/>
      </c>
      <c r="M935" s="14"/>
      <c r="N935" s="16"/>
    </row>
    <row r="936" spans="1:14" ht="15.6" x14ac:dyDescent="0.3">
      <c r="A936" s="13" t="str">
        <f t="shared" si="42"/>
        <v>-</v>
      </c>
      <c r="B936" s="25"/>
      <c r="C936" s="25"/>
      <c r="D936" s="25"/>
      <c r="E936" s="25"/>
      <c r="F936" s="31"/>
      <c r="G936" s="34">
        <f>SUMIFS('BASE EXEC. Q.L'!N:N,'BASE EXEC. Q.L'!B:B,VOOS!A936)</f>
        <v>0</v>
      </c>
      <c r="H936" s="15" t="str">
        <f>IFERROR(_xlfn.XLOOKUP(A936,'BASE SQL PLANTIO'!B:B,'BASE SQL PLANTIO'!T:T,"verificar",0),"")</f>
        <v/>
      </c>
      <c r="I936" s="77" t="str">
        <f>IF(_xlfn.MINIFS('BASE SQL PLANTIO'!E:E,'BASE SQL PLANTIO'!B:B,VOOS!A936)=0/1/1900,"",_xlfn.MINIFS('BASE SQL PLANTIO'!E:E,'BASE SQL PLANTIO'!B:B,VOOS!A936))</f>
        <v/>
      </c>
      <c r="J936" s="26"/>
      <c r="K936" s="34" t="str">
        <f t="shared" si="43"/>
        <v/>
      </c>
      <c r="L936" s="35" t="str">
        <f t="shared" si="44"/>
        <v/>
      </c>
      <c r="M936" s="14"/>
      <c r="N936" s="16"/>
    </row>
    <row r="937" spans="1:14" ht="15.6" x14ac:dyDescent="0.3">
      <c r="A937" s="13" t="str">
        <f t="shared" si="42"/>
        <v>-</v>
      </c>
      <c r="B937" s="25"/>
      <c r="C937" s="25"/>
      <c r="D937" s="25"/>
      <c r="E937" s="25"/>
      <c r="F937" s="31"/>
      <c r="G937" s="34">
        <f>SUMIFS('BASE EXEC. Q.L'!N:N,'BASE EXEC. Q.L'!B:B,VOOS!A937)</f>
        <v>0</v>
      </c>
      <c r="H937" s="15" t="str">
        <f>IFERROR(_xlfn.XLOOKUP(A937,'BASE SQL PLANTIO'!B:B,'BASE SQL PLANTIO'!T:T,"verificar",0),"")</f>
        <v/>
      </c>
      <c r="I937" s="77" t="str">
        <f>IF(_xlfn.MINIFS('BASE SQL PLANTIO'!E:E,'BASE SQL PLANTIO'!B:B,VOOS!A937)=0/1/1900,"",_xlfn.MINIFS('BASE SQL PLANTIO'!E:E,'BASE SQL PLANTIO'!B:B,VOOS!A937))</f>
        <v/>
      </c>
      <c r="J937" s="26"/>
      <c r="K937" s="34" t="str">
        <f t="shared" si="43"/>
        <v/>
      </c>
      <c r="L937" s="35" t="str">
        <f t="shared" si="44"/>
        <v/>
      </c>
      <c r="M937" s="14"/>
      <c r="N937" s="16"/>
    </row>
    <row r="938" spans="1:14" ht="15.6" x14ac:dyDescent="0.3">
      <c r="A938" s="13" t="str">
        <f t="shared" si="42"/>
        <v>-</v>
      </c>
      <c r="B938" s="25"/>
      <c r="C938" s="25"/>
      <c r="D938" s="25"/>
      <c r="E938" s="25"/>
      <c r="F938" s="31"/>
      <c r="G938" s="34">
        <f>SUMIFS('BASE EXEC. Q.L'!N:N,'BASE EXEC. Q.L'!B:B,VOOS!A938)</f>
        <v>0</v>
      </c>
      <c r="H938" s="15" t="str">
        <f>IFERROR(_xlfn.XLOOKUP(A938,'BASE SQL PLANTIO'!B:B,'BASE SQL PLANTIO'!T:T,"verificar",0),"")</f>
        <v/>
      </c>
      <c r="I938" s="77" t="str">
        <f>IF(_xlfn.MINIFS('BASE SQL PLANTIO'!E:E,'BASE SQL PLANTIO'!B:B,VOOS!A938)=0/1/1900,"",_xlfn.MINIFS('BASE SQL PLANTIO'!E:E,'BASE SQL PLANTIO'!B:B,VOOS!A938))</f>
        <v/>
      </c>
      <c r="J938" s="26"/>
      <c r="K938" s="34" t="str">
        <f t="shared" si="43"/>
        <v/>
      </c>
      <c r="L938" s="35" t="str">
        <f t="shared" si="44"/>
        <v/>
      </c>
      <c r="M938" s="14"/>
      <c r="N938" s="15"/>
    </row>
    <row r="939" spans="1:14" ht="15.6" x14ac:dyDescent="0.3">
      <c r="A939" s="13" t="str">
        <f t="shared" si="42"/>
        <v>-</v>
      </c>
      <c r="B939" s="27"/>
      <c r="C939" s="26"/>
      <c r="D939" s="26"/>
      <c r="E939" s="26"/>
      <c r="F939" s="26"/>
      <c r="G939" s="34">
        <f>SUMIFS('BASE EXEC. Q.L'!N:N,'BASE EXEC. Q.L'!B:B,VOOS!A939)</f>
        <v>0</v>
      </c>
      <c r="H939" s="15" t="str">
        <f>IFERROR(_xlfn.XLOOKUP(A939,'BASE SQL PLANTIO'!B:B,'BASE SQL PLANTIO'!T:T,"verificar",0),"")</f>
        <v/>
      </c>
      <c r="I939" s="77" t="str">
        <f>IF(_xlfn.MINIFS('BASE SQL PLANTIO'!E:E,'BASE SQL PLANTIO'!B:B,VOOS!A939)=0/1/1900,"",_xlfn.MINIFS('BASE SQL PLANTIO'!E:E,'BASE SQL PLANTIO'!B:B,VOOS!A939))</f>
        <v/>
      </c>
      <c r="J939" s="26"/>
      <c r="K939" s="34" t="str">
        <f t="shared" si="43"/>
        <v/>
      </c>
      <c r="L939" s="35" t="str">
        <f t="shared" si="44"/>
        <v/>
      </c>
      <c r="M939" s="14"/>
      <c r="N939" s="16"/>
    </row>
    <row r="940" spans="1:14" ht="15.6" x14ac:dyDescent="0.3">
      <c r="A940" s="13" t="str">
        <f t="shared" si="42"/>
        <v>-</v>
      </c>
      <c r="B940" s="27"/>
      <c r="C940" s="26"/>
      <c r="D940" s="26"/>
      <c r="E940" s="26"/>
      <c r="F940" s="26"/>
      <c r="G940" s="34">
        <f>SUMIFS('BASE EXEC. Q.L'!N:N,'BASE EXEC. Q.L'!B:B,VOOS!A940)</f>
        <v>0</v>
      </c>
      <c r="H940" s="15" t="str">
        <f>IFERROR(_xlfn.XLOOKUP(A940,'BASE SQL PLANTIO'!B:B,'BASE SQL PLANTIO'!T:T,"verificar",0),"")</f>
        <v/>
      </c>
      <c r="I940" s="77" t="str">
        <f>IF(_xlfn.MINIFS('BASE SQL PLANTIO'!E:E,'BASE SQL PLANTIO'!B:B,VOOS!A940)=0/1/1900,"",_xlfn.MINIFS('BASE SQL PLANTIO'!E:E,'BASE SQL PLANTIO'!B:B,VOOS!A940))</f>
        <v/>
      </c>
      <c r="J940" s="26"/>
      <c r="K940" s="34" t="str">
        <f t="shared" si="43"/>
        <v/>
      </c>
      <c r="L940" s="35" t="str">
        <f t="shared" si="44"/>
        <v/>
      </c>
      <c r="M940" s="14"/>
      <c r="N940" s="16"/>
    </row>
    <row r="941" spans="1:14" ht="15.6" x14ac:dyDescent="0.3">
      <c r="A941" s="13" t="str">
        <f t="shared" si="42"/>
        <v>-</v>
      </c>
      <c r="B941" s="25"/>
      <c r="C941" s="25"/>
      <c r="D941" s="25"/>
      <c r="E941" s="25"/>
      <c r="F941" s="31"/>
      <c r="G941" s="34">
        <f>SUMIFS('BASE EXEC. Q.L'!N:N,'BASE EXEC. Q.L'!B:B,VOOS!A941)</f>
        <v>0</v>
      </c>
      <c r="H941" s="15" t="str">
        <f>IFERROR(_xlfn.XLOOKUP(A941,'BASE SQL PLANTIO'!B:B,'BASE SQL PLANTIO'!T:T,"verificar",0),"")</f>
        <v/>
      </c>
      <c r="I941" s="77" t="str">
        <f>IF(_xlfn.MINIFS('BASE SQL PLANTIO'!E:E,'BASE SQL PLANTIO'!B:B,VOOS!A941)=0/1/1900,"",_xlfn.MINIFS('BASE SQL PLANTIO'!E:E,'BASE SQL PLANTIO'!B:B,VOOS!A941))</f>
        <v/>
      </c>
      <c r="J941" s="26"/>
      <c r="K941" s="34" t="str">
        <f t="shared" si="43"/>
        <v/>
      </c>
      <c r="L941" s="35" t="str">
        <f t="shared" si="44"/>
        <v/>
      </c>
      <c r="M941" s="14"/>
      <c r="N941" s="16"/>
    </row>
    <row r="942" spans="1:14" ht="15.6" x14ac:dyDescent="0.3">
      <c r="A942" s="13" t="str">
        <f t="shared" si="42"/>
        <v>-</v>
      </c>
      <c r="B942" s="25"/>
      <c r="C942" s="25"/>
      <c r="D942" s="25"/>
      <c r="E942" s="25"/>
      <c r="F942" s="31"/>
      <c r="G942" s="34">
        <f>SUMIFS('BASE EXEC. Q.L'!N:N,'BASE EXEC. Q.L'!B:B,VOOS!A942)</f>
        <v>0</v>
      </c>
      <c r="H942" s="15" t="str">
        <f>IFERROR(_xlfn.XLOOKUP(A942,'BASE SQL PLANTIO'!B:B,'BASE SQL PLANTIO'!T:T,"verificar",0),"")</f>
        <v/>
      </c>
      <c r="I942" s="77" t="str">
        <f>IF(_xlfn.MINIFS('BASE SQL PLANTIO'!E:E,'BASE SQL PLANTIO'!B:B,VOOS!A942)=0/1/1900,"",_xlfn.MINIFS('BASE SQL PLANTIO'!E:E,'BASE SQL PLANTIO'!B:B,VOOS!A942))</f>
        <v/>
      </c>
      <c r="J942" s="26"/>
      <c r="K942" s="34" t="str">
        <f t="shared" si="43"/>
        <v/>
      </c>
      <c r="L942" s="35" t="str">
        <f t="shared" si="44"/>
        <v/>
      </c>
      <c r="M942" s="14"/>
      <c r="N942" s="16"/>
    </row>
    <row r="943" spans="1:14" ht="15.6" x14ac:dyDescent="0.3">
      <c r="A943" s="13" t="str">
        <f t="shared" si="42"/>
        <v>-</v>
      </c>
      <c r="B943" s="25"/>
      <c r="C943" s="25"/>
      <c r="D943" s="25"/>
      <c r="E943" s="25"/>
      <c r="F943" s="31"/>
      <c r="G943" s="34">
        <f>SUMIFS('BASE EXEC. Q.L'!N:N,'BASE EXEC. Q.L'!B:B,VOOS!A943)</f>
        <v>0</v>
      </c>
      <c r="H943" s="15" t="str">
        <f>IFERROR(_xlfn.XLOOKUP(A943,'BASE SQL PLANTIO'!B:B,'BASE SQL PLANTIO'!T:T,"verificar",0),"")</f>
        <v/>
      </c>
      <c r="I943" s="77" t="str">
        <f>IF(_xlfn.MINIFS('BASE SQL PLANTIO'!E:E,'BASE SQL PLANTIO'!B:B,VOOS!A943)=0/1/1900,"",_xlfn.MINIFS('BASE SQL PLANTIO'!E:E,'BASE SQL PLANTIO'!B:B,VOOS!A943))</f>
        <v/>
      </c>
      <c r="J943" s="26"/>
      <c r="K943" s="34" t="str">
        <f t="shared" si="43"/>
        <v/>
      </c>
      <c r="L943" s="35" t="str">
        <f t="shared" si="44"/>
        <v/>
      </c>
      <c r="M943" s="14"/>
      <c r="N943" s="15"/>
    </row>
    <row r="944" spans="1:14" ht="15.6" x14ac:dyDescent="0.3">
      <c r="A944" s="13" t="str">
        <f t="shared" si="42"/>
        <v>-</v>
      </c>
      <c r="B944" s="27"/>
      <c r="C944" s="26"/>
      <c r="D944" s="26"/>
      <c r="E944" s="26"/>
      <c r="F944" s="26"/>
      <c r="G944" s="34">
        <f>SUMIFS('BASE EXEC. Q.L'!N:N,'BASE EXEC. Q.L'!B:B,VOOS!A944)</f>
        <v>0</v>
      </c>
      <c r="H944" s="15" t="str">
        <f>IFERROR(_xlfn.XLOOKUP(A944,'BASE SQL PLANTIO'!B:B,'BASE SQL PLANTIO'!T:T,"verificar",0),"")</f>
        <v/>
      </c>
      <c r="I944" s="77" t="str">
        <f>IF(_xlfn.MINIFS('BASE SQL PLANTIO'!E:E,'BASE SQL PLANTIO'!B:B,VOOS!A944)=0/1/1900,"",_xlfn.MINIFS('BASE SQL PLANTIO'!E:E,'BASE SQL PLANTIO'!B:B,VOOS!A944))</f>
        <v/>
      </c>
      <c r="J944" s="26"/>
      <c r="K944" s="34" t="str">
        <f t="shared" si="43"/>
        <v/>
      </c>
      <c r="L944" s="35" t="str">
        <f t="shared" si="44"/>
        <v/>
      </c>
      <c r="M944" s="14"/>
      <c r="N944" s="16"/>
    </row>
    <row r="945" spans="1:14" ht="15.6" x14ac:dyDescent="0.3">
      <c r="A945" s="13" t="str">
        <f t="shared" si="42"/>
        <v>-</v>
      </c>
      <c r="B945" s="27"/>
      <c r="C945" s="26"/>
      <c r="D945" s="26"/>
      <c r="E945" s="26"/>
      <c r="F945" s="26"/>
      <c r="G945" s="34">
        <f>SUMIFS('BASE EXEC. Q.L'!N:N,'BASE EXEC. Q.L'!B:B,VOOS!A945)</f>
        <v>0</v>
      </c>
      <c r="H945" s="15" t="str">
        <f>IFERROR(_xlfn.XLOOKUP(A945,'BASE SQL PLANTIO'!B:B,'BASE SQL PLANTIO'!T:T,"verificar",0),"")</f>
        <v/>
      </c>
      <c r="I945" s="77" t="str">
        <f>IF(_xlfn.MINIFS('BASE SQL PLANTIO'!E:E,'BASE SQL PLANTIO'!B:B,VOOS!A945)=0/1/1900,"",_xlfn.MINIFS('BASE SQL PLANTIO'!E:E,'BASE SQL PLANTIO'!B:B,VOOS!A945))</f>
        <v/>
      </c>
      <c r="J945" s="26"/>
      <c r="K945" s="34" t="str">
        <f t="shared" si="43"/>
        <v/>
      </c>
      <c r="L945" s="35" t="str">
        <f t="shared" si="44"/>
        <v/>
      </c>
      <c r="M945" s="14"/>
      <c r="N945" s="16"/>
    </row>
    <row r="946" spans="1:14" ht="15.6" x14ac:dyDescent="0.3">
      <c r="A946" s="13" t="str">
        <f t="shared" si="42"/>
        <v>-</v>
      </c>
      <c r="B946" s="25"/>
      <c r="C946" s="25"/>
      <c r="D946" s="25"/>
      <c r="E946" s="25"/>
      <c r="F946" s="31"/>
      <c r="G946" s="34">
        <f>SUMIFS('BASE EXEC. Q.L'!N:N,'BASE EXEC. Q.L'!B:B,VOOS!A946)</f>
        <v>0</v>
      </c>
      <c r="H946" s="15" t="str">
        <f>IFERROR(_xlfn.XLOOKUP(A946,'BASE SQL PLANTIO'!B:B,'BASE SQL PLANTIO'!T:T,"verificar",0),"")</f>
        <v/>
      </c>
      <c r="I946" s="77" t="str">
        <f>IF(_xlfn.MINIFS('BASE SQL PLANTIO'!E:E,'BASE SQL PLANTIO'!B:B,VOOS!A946)=0/1/1900,"",_xlfn.MINIFS('BASE SQL PLANTIO'!E:E,'BASE SQL PLANTIO'!B:B,VOOS!A946))</f>
        <v/>
      </c>
      <c r="J946" s="26"/>
      <c r="K946" s="34" t="str">
        <f t="shared" si="43"/>
        <v/>
      </c>
      <c r="L946" s="35" t="str">
        <f t="shared" si="44"/>
        <v/>
      </c>
      <c r="M946" s="14"/>
      <c r="N946" s="16"/>
    </row>
    <row r="947" spans="1:14" ht="15.6" x14ac:dyDescent="0.3">
      <c r="A947" s="13" t="str">
        <f t="shared" si="42"/>
        <v>-</v>
      </c>
      <c r="B947" s="25"/>
      <c r="C947" s="25"/>
      <c r="D947" s="25"/>
      <c r="E947" s="25"/>
      <c r="F947" s="31"/>
      <c r="G947" s="34">
        <f>SUMIFS('BASE EXEC. Q.L'!N:N,'BASE EXEC. Q.L'!B:B,VOOS!A947)</f>
        <v>0</v>
      </c>
      <c r="H947" s="15" t="str">
        <f>IFERROR(_xlfn.XLOOKUP(A947,'BASE SQL PLANTIO'!B:B,'BASE SQL PLANTIO'!T:T,"verificar",0),"")</f>
        <v/>
      </c>
      <c r="I947" s="77" t="str">
        <f>IF(_xlfn.MINIFS('BASE SQL PLANTIO'!E:E,'BASE SQL PLANTIO'!B:B,VOOS!A947)=0/1/1900,"",_xlfn.MINIFS('BASE SQL PLANTIO'!E:E,'BASE SQL PLANTIO'!B:B,VOOS!A947))</f>
        <v/>
      </c>
      <c r="J947" s="26"/>
      <c r="K947" s="34" t="str">
        <f t="shared" si="43"/>
        <v/>
      </c>
      <c r="L947" s="35" t="str">
        <f t="shared" si="44"/>
        <v/>
      </c>
      <c r="M947" s="14"/>
      <c r="N947" s="16"/>
    </row>
    <row r="948" spans="1:14" ht="15.6" x14ac:dyDescent="0.3">
      <c r="A948" s="13" t="str">
        <f t="shared" si="42"/>
        <v>-</v>
      </c>
      <c r="B948" s="25"/>
      <c r="C948" s="25"/>
      <c r="D948" s="25"/>
      <c r="E948" s="25"/>
      <c r="F948" s="31"/>
      <c r="G948" s="34">
        <f>SUMIFS('BASE EXEC. Q.L'!N:N,'BASE EXEC. Q.L'!B:B,VOOS!A948)</f>
        <v>0</v>
      </c>
      <c r="H948" s="15" t="str">
        <f>IFERROR(_xlfn.XLOOKUP(A948,'BASE SQL PLANTIO'!B:B,'BASE SQL PLANTIO'!T:T,"verificar",0),"")</f>
        <v/>
      </c>
      <c r="I948" s="77" t="str">
        <f>IF(_xlfn.MINIFS('BASE SQL PLANTIO'!E:E,'BASE SQL PLANTIO'!B:B,VOOS!A948)=0/1/1900,"",_xlfn.MINIFS('BASE SQL PLANTIO'!E:E,'BASE SQL PLANTIO'!B:B,VOOS!A948))</f>
        <v/>
      </c>
      <c r="J948" s="26"/>
      <c r="K948" s="34" t="str">
        <f t="shared" si="43"/>
        <v/>
      </c>
      <c r="L948" s="35" t="str">
        <f t="shared" si="44"/>
        <v/>
      </c>
      <c r="M948" s="14"/>
      <c r="N948" s="15"/>
    </row>
    <row r="949" spans="1:14" ht="15.6" x14ac:dyDescent="0.3">
      <c r="A949" s="13" t="str">
        <f t="shared" si="42"/>
        <v>-</v>
      </c>
      <c r="B949" s="27"/>
      <c r="C949" s="26"/>
      <c r="D949" s="26"/>
      <c r="E949" s="26"/>
      <c r="F949" s="26"/>
      <c r="G949" s="34">
        <f>SUMIFS('BASE EXEC. Q.L'!N:N,'BASE EXEC. Q.L'!B:B,VOOS!A949)</f>
        <v>0</v>
      </c>
      <c r="H949" s="15" t="str">
        <f>IFERROR(_xlfn.XLOOKUP(A949,'BASE SQL PLANTIO'!B:B,'BASE SQL PLANTIO'!T:T,"verificar",0),"")</f>
        <v/>
      </c>
      <c r="I949" s="77" t="str">
        <f>IF(_xlfn.MINIFS('BASE SQL PLANTIO'!E:E,'BASE SQL PLANTIO'!B:B,VOOS!A949)=0/1/1900,"",_xlfn.MINIFS('BASE SQL PLANTIO'!E:E,'BASE SQL PLANTIO'!B:B,VOOS!A949))</f>
        <v/>
      </c>
      <c r="J949" s="26"/>
      <c r="K949" s="34" t="str">
        <f t="shared" si="43"/>
        <v/>
      </c>
      <c r="L949" s="35" t="str">
        <f t="shared" si="44"/>
        <v/>
      </c>
      <c r="M949" s="14"/>
      <c r="N949" s="16"/>
    </row>
    <row r="950" spans="1:14" ht="15.6" x14ac:dyDescent="0.3">
      <c r="A950" s="13" t="str">
        <f t="shared" si="42"/>
        <v>-</v>
      </c>
      <c r="B950" s="27"/>
      <c r="C950" s="26"/>
      <c r="D950" s="26"/>
      <c r="E950" s="26"/>
      <c r="F950" s="26"/>
      <c r="G950" s="34">
        <f>SUMIFS('BASE EXEC. Q.L'!N:N,'BASE EXEC. Q.L'!B:B,VOOS!A950)</f>
        <v>0</v>
      </c>
      <c r="H950" s="15" t="str">
        <f>IFERROR(_xlfn.XLOOKUP(A950,'BASE SQL PLANTIO'!B:B,'BASE SQL PLANTIO'!T:T,"verificar",0),"")</f>
        <v/>
      </c>
      <c r="I950" s="77" t="str">
        <f>IF(_xlfn.MINIFS('BASE SQL PLANTIO'!E:E,'BASE SQL PLANTIO'!B:B,VOOS!A950)=0/1/1900,"",_xlfn.MINIFS('BASE SQL PLANTIO'!E:E,'BASE SQL PLANTIO'!B:B,VOOS!A950))</f>
        <v/>
      </c>
      <c r="J950" s="26"/>
      <c r="K950" s="34" t="str">
        <f t="shared" si="43"/>
        <v/>
      </c>
      <c r="L950" s="35" t="str">
        <f t="shared" si="44"/>
        <v/>
      </c>
      <c r="M950" s="14"/>
      <c r="N950" s="16"/>
    </row>
    <row r="951" spans="1:14" ht="15.6" x14ac:dyDescent="0.3">
      <c r="A951" s="13" t="str">
        <f t="shared" si="42"/>
        <v>-</v>
      </c>
      <c r="B951" s="25"/>
      <c r="C951" s="25"/>
      <c r="D951" s="25"/>
      <c r="E951" s="25"/>
      <c r="F951" s="31"/>
      <c r="G951" s="34">
        <f>SUMIFS('BASE EXEC. Q.L'!N:N,'BASE EXEC. Q.L'!B:B,VOOS!A951)</f>
        <v>0</v>
      </c>
      <c r="H951" s="15" t="str">
        <f>IFERROR(_xlfn.XLOOKUP(A951,'BASE SQL PLANTIO'!B:B,'BASE SQL PLANTIO'!T:T,"verificar",0),"")</f>
        <v/>
      </c>
      <c r="I951" s="77" t="str">
        <f>IF(_xlfn.MINIFS('BASE SQL PLANTIO'!E:E,'BASE SQL PLANTIO'!B:B,VOOS!A951)=0/1/1900,"",_xlfn.MINIFS('BASE SQL PLANTIO'!E:E,'BASE SQL PLANTIO'!B:B,VOOS!A951))</f>
        <v/>
      </c>
      <c r="J951" s="26"/>
      <c r="K951" s="34" t="str">
        <f t="shared" si="43"/>
        <v/>
      </c>
      <c r="L951" s="35" t="str">
        <f t="shared" si="44"/>
        <v/>
      </c>
      <c r="M951" s="14"/>
      <c r="N951" s="16"/>
    </row>
    <row r="952" spans="1:14" ht="15.6" x14ac:dyDescent="0.3">
      <c r="A952" s="13" t="str">
        <f t="shared" si="42"/>
        <v>-</v>
      </c>
      <c r="B952" s="25"/>
      <c r="C952" s="25"/>
      <c r="D952" s="25"/>
      <c r="E952" s="25"/>
      <c r="F952" s="31"/>
      <c r="G952" s="34">
        <f>SUMIFS('BASE EXEC. Q.L'!N:N,'BASE EXEC. Q.L'!B:B,VOOS!A952)</f>
        <v>0</v>
      </c>
      <c r="H952" s="15" t="str">
        <f>IFERROR(_xlfn.XLOOKUP(A952,'BASE SQL PLANTIO'!B:B,'BASE SQL PLANTIO'!T:T,"verificar",0),"")</f>
        <v/>
      </c>
      <c r="I952" s="77" t="str">
        <f>IF(_xlfn.MINIFS('BASE SQL PLANTIO'!E:E,'BASE SQL PLANTIO'!B:B,VOOS!A952)=0/1/1900,"",_xlfn.MINIFS('BASE SQL PLANTIO'!E:E,'BASE SQL PLANTIO'!B:B,VOOS!A952))</f>
        <v/>
      </c>
      <c r="J952" s="26"/>
      <c r="K952" s="34" t="str">
        <f t="shared" si="43"/>
        <v/>
      </c>
      <c r="L952" s="35" t="str">
        <f t="shared" si="44"/>
        <v/>
      </c>
      <c r="M952" s="14"/>
      <c r="N952" s="16"/>
    </row>
    <row r="953" spans="1:14" ht="15.6" x14ac:dyDescent="0.3">
      <c r="A953" s="13" t="str">
        <f t="shared" si="42"/>
        <v>-</v>
      </c>
      <c r="B953" s="25"/>
      <c r="C953" s="25"/>
      <c r="D953" s="25"/>
      <c r="E953" s="25"/>
      <c r="F953" s="31"/>
      <c r="G953" s="34">
        <f>SUMIFS('BASE EXEC. Q.L'!N:N,'BASE EXEC. Q.L'!B:B,VOOS!A953)</f>
        <v>0</v>
      </c>
      <c r="H953" s="15" t="str">
        <f>IFERROR(_xlfn.XLOOKUP(A953,'BASE SQL PLANTIO'!B:B,'BASE SQL PLANTIO'!T:T,"verificar",0),"")</f>
        <v/>
      </c>
      <c r="I953" s="77" t="str">
        <f>IF(_xlfn.MINIFS('BASE SQL PLANTIO'!E:E,'BASE SQL PLANTIO'!B:B,VOOS!A953)=0/1/1900,"",_xlfn.MINIFS('BASE SQL PLANTIO'!E:E,'BASE SQL PLANTIO'!B:B,VOOS!A953))</f>
        <v/>
      </c>
      <c r="J953" s="26"/>
      <c r="K953" s="34" t="str">
        <f t="shared" si="43"/>
        <v/>
      </c>
      <c r="L953" s="35" t="str">
        <f t="shared" si="44"/>
        <v/>
      </c>
      <c r="M953" s="14"/>
      <c r="N953" s="15"/>
    </row>
    <row r="954" spans="1:14" ht="15.6" x14ac:dyDescent="0.3">
      <c r="A954" s="13" t="str">
        <f t="shared" si="42"/>
        <v>-</v>
      </c>
      <c r="B954" s="27"/>
      <c r="C954" s="26"/>
      <c r="D954" s="26"/>
      <c r="E954" s="26"/>
      <c r="F954" s="26"/>
      <c r="G954" s="34">
        <f>SUMIFS('BASE EXEC. Q.L'!N:N,'BASE EXEC. Q.L'!B:B,VOOS!A954)</f>
        <v>0</v>
      </c>
      <c r="H954" s="15" t="str">
        <f>IFERROR(_xlfn.XLOOKUP(A954,'BASE SQL PLANTIO'!B:B,'BASE SQL PLANTIO'!T:T,"verificar",0),"")</f>
        <v/>
      </c>
      <c r="I954" s="77" t="str">
        <f>IF(_xlfn.MINIFS('BASE SQL PLANTIO'!E:E,'BASE SQL PLANTIO'!B:B,VOOS!A954)=0/1/1900,"",_xlfn.MINIFS('BASE SQL PLANTIO'!E:E,'BASE SQL PLANTIO'!B:B,VOOS!A954))</f>
        <v/>
      </c>
      <c r="J954" s="26"/>
      <c r="K954" s="34" t="str">
        <f t="shared" si="43"/>
        <v/>
      </c>
      <c r="L954" s="35" t="str">
        <f t="shared" si="44"/>
        <v/>
      </c>
      <c r="M954" s="14"/>
      <c r="N954" s="16"/>
    </row>
    <row r="955" spans="1:14" ht="15.6" x14ac:dyDescent="0.3">
      <c r="A955" s="13" t="str">
        <f t="shared" si="42"/>
        <v>-</v>
      </c>
      <c r="B955" s="27"/>
      <c r="C955" s="26"/>
      <c r="D955" s="26"/>
      <c r="E955" s="26"/>
      <c r="F955" s="26"/>
      <c r="G955" s="34">
        <f>SUMIFS('BASE EXEC. Q.L'!N:N,'BASE EXEC. Q.L'!B:B,VOOS!A955)</f>
        <v>0</v>
      </c>
      <c r="H955" s="15" t="str">
        <f>IFERROR(_xlfn.XLOOKUP(A955,'BASE SQL PLANTIO'!B:B,'BASE SQL PLANTIO'!T:T,"verificar",0),"")</f>
        <v/>
      </c>
      <c r="I955" s="77" t="str">
        <f>IF(_xlfn.MINIFS('BASE SQL PLANTIO'!E:E,'BASE SQL PLANTIO'!B:B,VOOS!A955)=0/1/1900,"",_xlfn.MINIFS('BASE SQL PLANTIO'!E:E,'BASE SQL PLANTIO'!B:B,VOOS!A955))</f>
        <v/>
      </c>
      <c r="J955" s="26"/>
      <c r="K955" s="34" t="str">
        <f t="shared" si="43"/>
        <v/>
      </c>
      <c r="L955" s="35" t="str">
        <f t="shared" si="44"/>
        <v/>
      </c>
      <c r="M955" s="14"/>
      <c r="N955" s="16"/>
    </row>
    <row r="956" spans="1:14" ht="15.6" x14ac:dyDescent="0.3">
      <c r="A956" s="13" t="str">
        <f t="shared" si="42"/>
        <v>-</v>
      </c>
      <c r="B956" s="25"/>
      <c r="C956" s="25"/>
      <c r="D956" s="25"/>
      <c r="E956" s="25"/>
      <c r="F956" s="31"/>
      <c r="G956" s="34">
        <f>SUMIFS('BASE EXEC. Q.L'!N:N,'BASE EXEC. Q.L'!B:B,VOOS!A956)</f>
        <v>0</v>
      </c>
      <c r="H956" s="15" t="str">
        <f>IFERROR(_xlfn.XLOOKUP(A956,'BASE SQL PLANTIO'!B:B,'BASE SQL PLANTIO'!T:T,"verificar",0),"")</f>
        <v/>
      </c>
      <c r="I956" s="77" t="str">
        <f>IF(_xlfn.MINIFS('BASE SQL PLANTIO'!E:E,'BASE SQL PLANTIO'!B:B,VOOS!A956)=0/1/1900,"",_xlfn.MINIFS('BASE SQL PLANTIO'!E:E,'BASE SQL PLANTIO'!B:B,VOOS!A956))</f>
        <v/>
      </c>
      <c r="J956" s="26"/>
      <c r="K956" s="34" t="str">
        <f t="shared" si="43"/>
        <v/>
      </c>
      <c r="L956" s="35" t="str">
        <f t="shared" si="44"/>
        <v/>
      </c>
      <c r="M956" s="14"/>
      <c r="N956" s="16"/>
    </row>
    <row r="957" spans="1:14" ht="15.6" x14ac:dyDescent="0.3">
      <c r="A957" s="13" t="str">
        <f t="shared" si="42"/>
        <v>-</v>
      </c>
      <c r="B957" s="25"/>
      <c r="C957" s="25"/>
      <c r="D957" s="25"/>
      <c r="E957" s="25"/>
      <c r="F957" s="31"/>
      <c r="G957" s="34">
        <f>SUMIFS('BASE EXEC. Q.L'!N:N,'BASE EXEC. Q.L'!B:B,VOOS!A957)</f>
        <v>0</v>
      </c>
      <c r="H957" s="15" t="str">
        <f>IFERROR(_xlfn.XLOOKUP(A957,'BASE SQL PLANTIO'!B:B,'BASE SQL PLANTIO'!T:T,"verificar",0),"")</f>
        <v/>
      </c>
      <c r="I957" s="77" t="str">
        <f>IF(_xlfn.MINIFS('BASE SQL PLANTIO'!E:E,'BASE SQL PLANTIO'!B:B,VOOS!A957)=0/1/1900,"",_xlfn.MINIFS('BASE SQL PLANTIO'!E:E,'BASE SQL PLANTIO'!B:B,VOOS!A957))</f>
        <v/>
      </c>
      <c r="J957" s="26"/>
      <c r="K957" s="34" t="str">
        <f t="shared" si="43"/>
        <v/>
      </c>
      <c r="L957" s="35" t="str">
        <f t="shared" si="44"/>
        <v/>
      </c>
      <c r="M957" s="14"/>
      <c r="N957" s="16"/>
    </row>
    <row r="958" spans="1:14" ht="15.6" x14ac:dyDescent="0.3">
      <c r="A958" s="13" t="str">
        <f t="shared" si="42"/>
        <v>-</v>
      </c>
      <c r="B958" s="25"/>
      <c r="C958" s="25"/>
      <c r="D958" s="25"/>
      <c r="E958" s="25"/>
      <c r="F958" s="31"/>
      <c r="G958" s="34">
        <f>SUMIFS('BASE EXEC. Q.L'!N:N,'BASE EXEC. Q.L'!B:B,VOOS!A958)</f>
        <v>0</v>
      </c>
      <c r="H958" s="15" t="str">
        <f>IFERROR(_xlfn.XLOOKUP(A958,'BASE SQL PLANTIO'!B:B,'BASE SQL PLANTIO'!T:T,"verificar",0),"")</f>
        <v/>
      </c>
      <c r="I958" s="77" t="str">
        <f>IF(_xlfn.MINIFS('BASE SQL PLANTIO'!E:E,'BASE SQL PLANTIO'!B:B,VOOS!A958)=0/1/1900,"",_xlfn.MINIFS('BASE SQL PLANTIO'!E:E,'BASE SQL PLANTIO'!B:B,VOOS!A958))</f>
        <v/>
      </c>
      <c r="J958" s="26"/>
      <c r="K958" s="34" t="str">
        <f t="shared" si="43"/>
        <v/>
      </c>
      <c r="L958" s="35" t="str">
        <f t="shared" si="44"/>
        <v/>
      </c>
      <c r="M958" s="14"/>
      <c r="N958" s="15"/>
    </row>
    <row r="959" spans="1:14" ht="15.6" x14ac:dyDescent="0.3">
      <c r="A959" s="13" t="str">
        <f t="shared" si="42"/>
        <v>-</v>
      </c>
      <c r="B959" s="27"/>
      <c r="C959" s="26"/>
      <c r="D959" s="26"/>
      <c r="E959" s="26"/>
      <c r="F959" s="26"/>
      <c r="G959" s="34">
        <f>SUMIFS('BASE EXEC. Q.L'!N:N,'BASE EXEC. Q.L'!B:B,VOOS!A959)</f>
        <v>0</v>
      </c>
      <c r="H959" s="15" t="str">
        <f>IFERROR(_xlfn.XLOOKUP(A959,'BASE SQL PLANTIO'!B:B,'BASE SQL PLANTIO'!T:T,"verificar",0),"")</f>
        <v/>
      </c>
      <c r="I959" s="77" t="str">
        <f>IF(_xlfn.MINIFS('BASE SQL PLANTIO'!E:E,'BASE SQL PLANTIO'!B:B,VOOS!A959)=0/1/1900,"",_xlfn.MINIFS('BASE SQL PLANTIO'!E:E,'BASE SQL PLANTIO'!B:B,VOOS!A959))</f>
        <v/>
      </c>
      <c r="J959" s="26"/>
      <c r="K959" s="34" t="str">
        <f t="shared" si="43"/>
        <v/>
      </c>
      <c r="L959" s="35" t="str">
        <f t="shared" si="44"/>
        <v/>
      </c>
      <c r="M959" s="14"/>
      <c r="N959" s="16"/>
    </row>
    <row r="960" spans="1:14" ht="15.6" x14ac:dyDescent="0.3">
      <c r="A960" s="13" t="str">
        <f t="shared" si="42"/>
        <v>-</v>
      </c>
      <c r="B960" s="27"/>
      <c r="C960" s="26"/>
      <c r="D960" s="26"/>
      <c r="E960" s="26"/>
      <c r="F960" s="26"/>
      <c r="G960" s="34">
        <f>SUMIFS('BASE EXEC. Q.L'!N:N,'BASE EXEC. Q.L'!B:B,VOOS!A960)</f>
        <v>0</v>
      </c>
      <c r="H960" s="15" t="str">
        <f>IFERROR(_xlfn.XLOOKUP(A960,'BASE SQL PLANTIO'!B:B,'BASE SQL PLANTIO'!T:T,"verificar",0),"")</f>
        <v/>
      </c>
      <c r="I960" s="77" t="str">
        <f>IF(_xlfn.MINIFS('BASE SQL PLANTIO'!E:E,'BASE SQL PLANTIO'!B:B,VOOS!A960)=0/1/1900,"",_xlfn.MINIFS('BASE SQL PLANTIO'!E:E,'BASE SQL PLANTIO'!B:B,VOOS!A960))</f>
        <v/>
      </c>
      <c r="J960" s="26"/>
      <c r="K960" s="34" t="str">
        <f t="shared" si="43"/>
        <v/>
      </c>
      <c r="L960" s="35" t="str">
        <f t="shared" si="44"/>
        <v/>
      </c>
      <c r="M960" s="14"/>
      <c r="N960" s="16"/>
    </row>
    <row r="961" spans="1:14" ht="15.6" x14ac:dyDescent="0.3">
      <c r="A961" s="13" t="str">
        <f t="shared" si="42"/>
        <v>-</v>
      </c>
      <c r="B961" s="25"/>
      <c r="C961" s="25"/>
      <c r="D961" s="25"/>
      <c r="E961" s="25"/>
      <c r="F961" s="31"/>
      <c r="G961" s="34">
        <f>SUMIFS('BASE EXEC. Q.L'!N:N,'BASE EXEC. Q.L'!B:B,VOOS!A961)</f>
        <v>0</v>
      </c>
      <c r="H961" s="15" t="str">
        <f>IFERROR(_xlfn.XLOOKUP(A961,'BASE SQL PLANTIO'!B:B,'BASE SQL PLANTIO'!T:T,"verificar",0),"")</f>
        <v/>
      </c>
      <c r="I961" s="77" t="str">
        <f>IF(_xlfn.MINIFS('BASE SQL PLANTIO'!E:E,'BASE SQL PLANTIO'!B:B,VOOS!A961)=0/1/1900,"",_xlfn.MINIFS('BASE SQL PLANTIO'!E:E,'BASE SQL PLANTIO'!B:B,VOOS!A961))</f>
        <v/>
      </c>
      <c r="J961" s="26"/>
      <c r="K961" s="34" t="str">
        <f t="shared" si="43"/>
        <v/>
      </c>
      <c r="L961" s="35" t="str">
        <f t="shared" si="44"/>
        <v/>
      </c>
      <c r="M961" s="14"/>
      <c r="N961" s="16"/>
    </row>
    <row r="962" spans="1:14" ht="15.6" x14ac:dyDescent="0.3">
      <c r="A962" s="13" t="str">
        <f t="shared" si="42"/>
        <v>-</v>
      </c>
      <c r="B962" s="25"/>
      <c r="C962" s="25"/>
      <c r="D962" s="25"/>
      <c r="E962" s="25"/>
      <c r="F962" s="31"/>
      <c r="G962" s="34">
        <f>SUMIFS('BASE EXEC. Q.L'!N:N,'BASE EXEC. Q.L'!B:B,VOOS!A962)</f>
        <v>0</v>
      </c>
      <c r="H962" s="15" t="str">
        <f>IFERROR(_xlfn.XLOOKUP(A962,'BASE SQL PLANTIO'!B:B,'BASE SQL PLANTIO'!T:T,"verificar",0),"")</f>
        <v/>
      </c>
      <c r="I962" s="77" t="str">
        <f>IF(_xlfn.MINIFS('BASE SQL PLANTIO'!E:E,'BASE SQL PLANTIO'!B:B,VOOS!A962)=0/1/1900,"",_xlfn.MINIFS('BASE SQL PLANTIO'!E:E,'BASE SQL PLANTIO'!B:B,VOOS!A962))</f>
        <v/>
      </c>
      <c r="J962" s="26"/>
      <c r="K962" s="34" t="str">
        <f t="shared" si="43"/>
        <v/>
      </c>
      <c r="L962" s="35" t="str">
        <f t="shared" si="44"/>
        <v/>
      </c>
      <c r="M962" s="14"/>
      <c r="N962" s="16"/>
    </row>
    <row r="963" spans="1:14" ht="15.6" x14ac:dyDescent="0.3">
      <c r="A963" s="13" t="str">
        <f t="shared" si="42"/>
        <v>-</v>
      </c>
      <c r="B963" s="27"/>
      <c r="C963" s="26"/>
      <c r="D963" s="26"/>
      <c r="E963" s="26"/>
      <c r="F963" s="26"/>
      <c r="G963" s="34">
        <f>SUMIFS('BASE EXEC. Q.L'!N:N,'BASE EXEC. Q.L'!B:B,VOOS!A963)</f>
        <v>0</v>
      </c>
      <c r="H963" s="15" t="str">
        <f>IFERROR(_xlfn.XLOOKUP(A963,'BASE SQL PLANTIO'!B:B,'BASE SQL PLANTIO'!T:T,"verificar",0),"")</f>
        <v/>
      </c>
      <c r="I963" s="77" t="str">
        <f>IF(_xlfn.MINIFS('BASE SQL PLANTIO'!E:E,'BASE SQL PLANTIO'!B:B,VOOS!A963)=0/1/1900,"",_xlfn.MINIFS('BASE SQL PLANTIO'!E:E,'BASE SQL PLANTIO'!B:B,VOOS!A963))</f>
        <v/>
      </c>
      <c r="J963" s="26"/>
      <c r="K963" s="34" t="str">
        <f t="shared" si="43"/>
        <v/>
      </c>
      <c r="L963" s="35" t="str">
        <f t="shared" si="44"/>
        <v/>
      </c>
      <c r="M963" s="14"/>
      <c r="N963" s="15"/>
    </row>
    <row r="964" spans="1:14" ht="15.6" x14ac:dyDescent="0.3">
      <c r="A964" s="13" t="str">
        <f t="shared" si="42"/>
        <v>-</v>
      </c>
      <c r="B964" s="27"/>
      <c r="C964" s="26"/>
      <c r="D964" s="26"/>
      <c r="E964" s="26"/>
      <c r="F964" s="26"/>
      <c r="G964" s="34">
        <f>SUMIFS('BASE EXEC. Q.L'!N:N,'BASE EXEC. Q.L'!B:B,VOOS!A964)</f>
        <v>0</v>
      </c>
      <c r="H964" s="15" t="str">
        <f>IFERROR(_xlfn.XLOOKUP(A964,'BASE SQL PLANTIO'!B:B,'BASE SQL PLANTIO'!T:T,"verificar",0),"")</f>
        <v/>
      </c>
      <c r="I964" s="77" t="str">
        <f>IF(_xlfn.MINIFS('BASE SQL PLANTIO'!E:E,'BASE SQL PLANTIO'!B:B,VOOS!A964)=0/1/1900,"",_xlfn.MINIFS('BASE SQL PLANTIO'!E:E,'BASE SQL PLANTIO'!B:B,VOOS!A964))</f>
        <v/>
      </c>
      <c r="J964" s="26"/>
      <c r="K964" s="34" t="str">
        <f t="shared" si="43"/>
        <v/>
      </c>
      <c r="L964" s="35" t="str">
        <f t="shared" si="44"/>
        <v/>
      </c>
      <c r="M964" s="14"/>
      <c r="N964" s="16"/>
    </row>
    <row r="965" spans="1:14" ht="15.6" x14ac:dyDescent="0.3">
      <c r="A965" s="13" t="str">
        <f t="shared" ref="A965:A1028" si="45">CONCATENATE(B965,"-",E965)</f>
        <v>-</v>
      </c>
      <c r="B965" s="25"/>
      <c r="C965" s="25"/>
      <c r="D965" s="25"/>
      <c r="E965" s="25"/>
      <c r="F965" s="31"/>
      <c r="G965" s="34">
        <f>SUMIFS('BASE EXEC. Q.L'!N:N,'BASE EXEC. Q.L'!B:B,VOOS!A965)</f>
        <v>0</v>
      </c>
      <c r="H965" s="15" t="str">
        <f>IFERROR(_xlfn.XLOOKUP(A965,'BASE SQL PLANTIO'!B:B,'BASE SQL PLANTIO'!T:T,"verificar",0),"")</f>
        <v/>
      </c>
      <c r="I965" s="77" t="str">
        <f>IF(_xlfn.MINIFS('BASE SQL PLANTIO'!E:E,'BASE SQL PLANTIO'!B:B,VOOS!A965)=0/1/1900,"",_xlfn.MINIFS('BASE SQL PLANTIO'!E:E,'BASE SQL PLANTIO'!B:B,VOOS!A965))</f>
        <v/>
      </c>
      <c r="J965" s="26"/>
      <c r="K965" s="34" t="str">
        <f t="shared" ref="K965:K1028" si="46">IF(I965="","",$K$3-I965)</f>
        <v/>
      </c>
      <c r="L965" s="35" t="str">
        <f t="shared" ref="L965:L1028" si="47">K965</f>
        <v/>
      </c>
      <c r="M965" s="14"/>
      <c r="N965" s="16"/>
    </row>
    <row r="966" spans="1:14" ht="15.6" x14ac:dyDescent="0.3">
      <c r="A966" s="13" t="str">
        <f t="shared" si="45"/>
        <v>-</v>
      </c>
      <c r="B966" s="27"/>
      <c r="C966" s="26"/>
      <c r="D966" s="26"/>
      <c r="E966" s="26"/>
      <c r="F966" s="26"/>
      <c r="G966" s="34">
        <f>SUMIFS('BASE EXEC. Q.L'!N:N,'BASE EXEC. Q.L'!B:B,VOOS!A966)</f>
        <v>0</v>
      </c>
      <c r="H966" s="15" t="str">
        <f>IFERROR(_xlfn.XLOOKUP(A966,'BASE SQL PLANTIO'!B:B,'BASE SQL PLANTIO'!T:T,"verificar",0),"")</f>
        <v/>
      </c>
      <c r="I966" s="77" t="str">
        <f>IF(_xlfn.MINIFS('BASE SQL PLANTIO'!E:E,'BASE SQL PLANTIO'!B:B,VOOS!A966)=0/1/1900,"",_xlfn.MINIFS('BASE SQL PLANTIO'!E:E,'BASE SQL PLANTIO'!B:B,VOOS!A966))</f>
        <v/>
      </c>
      <c r="J966" s="26"/>
      <c r="K966" s="34" t="str">
        <f t="shared" si="46"/>
        <v/>
      </c>
      <c r="L966" s="35" t="str">
        <f t="shared" si="47"/>
        <v/>
      </c>
      <c r="M966" s="14"/>
      <c r="N966" s="16"/>
    </row>
    <row r="967" spans="1:14" ht="15.6" x14ac:dyDescent="0.3">
      <c r="A967" s="13" t="str">
        <f t="shared" si="45"/>
        <v>-</v>
      </c>
      <c r="B967" s="25"/>
      <c r="C967" s="25"/>
      <c r="D967" s="25"/>
      <c r="E967" s="25"/>
      <c r="F967" s="31"/>
      <c r="G967" s="34">
        <f>SUMIFS('BASE EXEC. Q.L'!N:N,'BASE EXEC. Q.L'!B:B,VOOS!A967)</f>
        <v>0</v>
      </c>
      <c r="H967" s="15" t="str">
        <f>IFERROR(_xlfn.XLOOKUP(A967,'BASE SQL PLANTIO'!B:B,'BASE SQL PLANTIO'!T:T,"verificar",0),"")</f>
        <v/>
      </c>
      <c r="I967" s="77" t="str">
        <f>IF(_xlfn.MINIFS('BASE SQL PLANTIO'!E:E,'BASE SQL PLANTIO'!B:B,VOOS!A967)=0/1/1900,"",_xlfn.MINIFS('BASE SQL PLANTIO'!E:E,'BASE SQL PLANTIO'!B:B,VOOS!A967))</f>
        <v/>
      </c>
      <c r="J967" s="26"/>
      <c r="K967" s="34" t="str">
        <f t="shared" si="46"/>
        <v/>
      </c>
      <c r="L967" s="35" t="str">
        <f t="shared" si="47"/>
        <v/>
      </c>
      <c r="M967" s="14"/>
      <c r="N967" s="15"/>
    </row>
    <row r="968" spans="1:14" ht="15.6" x14ac:dyDescent="0.3">
      <c r="A968" s="13" t="str">
        <f t="shared" si="45"/>
        <v>-</v>
      </c>
      <c r="B968" s="27"/>
      <c r="C968" s="26"/>
      <c r="D968" s="26"/>
      <c r="E968" s="26"/>
      <c r="F968" s="26"/>
      <c r="G968" s="34">
        <f>SUMIFS('BASE EXEC. Q.L'!N:N,'BASE EXEC. Q.L'!B:B,VOOS!A968)</f>
        <v>0</v>
      </c>
      <c r="H968" s="15" t="str">
        <f>IFERROR(_xlfn.XLOOKUP(A968,'BASE SQL PLANTIO'!B:B,'BASE SQL PLANTIO'!T:T,"verificar",0),"")</f>
        <v/>
      </c>
      <c r="I968" s="77" t="str">
        <f>IF(_xlfn.MINIFS('BASE SQL PLANTIO'!E:E,'BASE SQL PLANTIO'!B:B,VOOS!A968)=0/1/1900,"",_xlfn.MINIFS('BASE SQL PLANTIO'!E:E,'BASE SQL PLANTIO'!B:B,VOOS!A968))</f>
        <v/>
      </c>
      <c r="J968" s="26"/>
      <c r="K968" s="34" t="str">
        <f t="shared" si="46"/>
        <v/>
      </c>
      <c r="L968" s="35" t="str">
        <f t="shared" si="47"/>
        <v/>
      </c>
      <c r="M968" s="14"/>
      <c r="N968" s="16"/>
    </row>
    <row r="969" spans="1:14" ht="15.6" x14ac:dyDescent="0.3">
      <c r="A969" s="13" t="str">
        <f t="shared" si="45"/>
        <v>-</v>
      </c>
      <c r="B969" s="27"/>
      <c r="C969" s="26"/>
      <c r="D969" s="26"/>
      <c r="E969" s="26"/>
      <c r="F969" s="26"/>
      <c r="G969" s="34">
        <f>SUMIFS('BASE EXEC. Q.L'!N:N,'BASE EXEC. Q.L'!B:B,VOOS!A969)</f>
        <v>0</v>
      </c>
      <c r="H969" s="15" t="str">
        <f>IFERROR(_xlfn.XLOOKUP(A969,'BASE SQL PLANTIO'!B:B,'BASE SQL PLANTIO'!T:T,"verificar",0),"")</f>
        <v/>
      </c>
      <c r="I969" s="77" t="str">
        <f>IF(_xlfn.MINIFS('BASE SQL PLANTIO'!E:E,'BASE SQL PLANTIO'!B:B,VOOS!A969)=0/1/1900,"",_xlfn.MINIFS('BASE SQL PLANTIO'!E:E,'BASE SQL PLANTIO'!B:B,VOOS!A969))</f>
        <v/>
      </c>
      <c r="J969" s="26"/>
      <c r="K969" s="34" t="str">
        <f t="shared" si="46"/>
        <v/>
      </c>
      <c r="L969" s="35" t="str">
        <f t="shared" si="47"/>
        <v/>
      </c>
      <c r="M969" s="14"/>
      <c r="N969" s="16"/>
    </row>
    <row r="970" spans="1:14" ht="15.6" x14ac:dyDescent="0.3">
      <c r="A970" s="13" t="str">
        <f t="shared" si="45"/>
        <v>-</v>
      </c>
      <c r="B970" s="27"/>
      <c r="C970" s="26"/>
      <c r="D970" s="26"/>
      <c r="E970" s="26"/>
      <c r="F970" s="26"/>
      <c r="G970" s="34">
        <f>SUMIFS('BASE EXEC. Q.L'!N:N,'BASE EXEC. Q.L'!B:B,VOOS!A970)</f>
        <v>0</v>
      </c>
      <c r="H970" s="15" t="str">
        <f>IFERROR(_xlfn.XLOOKUP(A970,'BASE SQL PLANTIO'!B:B,'BASE SQL PLANTIO'!T:T,"verificar",0),"")</f>
        <v/>
      </c>
      <c r="I970" s="77" t="str">
        <f>IF(_xlfn.MINIFS('BASE SQL PLANTIO'!E:E,'BASE SQL PLANTIO'!B:B,VOOS!A970)=0/1/1900,"",_xlfn.MINIFS('BASE SQL PLANTIO'!E:E,'BASE SQL PLANTIO'!B:B,VOOS!A970))</f>
        <v/>
      </c>
      <c r="J970" s="26"/>
      <c r="K970" s="34" t="str">
        <f t="shared" si="46"/>
        <v/>
      </c>
      <c r="L970" s="35" t="str">
        <f t="shared" si="47"/>
        <v/>
      </c>
      <c r="M970" s="14"/>
      <c r="N970" s="16"/>
    </row>
    <row r="971" spans="1:14" ht="15.6" x14ac:dyDescent="0.3">
      <c r="A971" s="13" t="str">
        <f t="shared" si="45"/>
        <v>-</v>
      </c>
      <c r="B971" s="27"/>
      <c r="C971" s="26"/>
      <c r="D971" s="26"/>
      <c r="E971" s="26"/>
      <c r="F971" s="26"/>
      <c r="G971" s="34">
        <f>SUMIFS('BASE EXEC. Q.L'!N:N,'BASE EXEC. Q.L'!B:B,VOOS!A971)</f>
        <v>0</v>
      </c>
      <c r="H971" s="15" t="str">
        <f>IFERROR(_xlfn.XLOOKUP(A971,'BASE SQL PLANTIO'!B:B,'BASE SQL PLANTIO'!T:T,"verificar",0),"")</f>
        <v/>
      </c>
      <c r="I971" s="77" t="str">
        <f>IF(_xlfn.MINIFS('BASE SQL PLANTIO'!E:E,'BASE SQL PLANTIO'!B:B,VOOS!A971)=0/1/1900,"",_xlfn.MINIFS('BASE SQL PLANTIO'!E:E,'BASE SQL PLANTIO'!B:B,VOOS!A971))</f>
        <v/>
      </c>
      <c r="J971" s="26"/>
      <c r="K971" s="34" t="str">
        <f t="shared" si="46"/>
        <v/>
      </c>
      <c r="L971" s="35" t="str">
        <f t="shared" si="47"/>
        <v/>
      </c>
      <c r="M971" s="14"/>
      <c r="N971" s="16"/>
    </row>
    <row r="972" spans="1:14" ht="15.6" x14ac:dyDescent="0.3">
      <c r="A972" s="13" t="str">
        <f t="shared" si="45"/>
        <v>-</v>
      </c>
      <c r="B972" s="27"/>
      <c r="C972" s="26"/>
      <c r="D972" s="26"/>
      <c r="E972" s="26"/>
      <c r="F972" s="26"/>
      <c r="G972" s="34">
        <f>SUMIFS('BASE EXEC. Q.L'!N:N,'BASE EXEC. Q.L'!B:B,VOOS!A972)</f>
        <v>0</v>
      </c>
      <c r="H972" s="15" t="str">
        <f>IFERROR(_xlfn.XLOOKUP(A972,'BASE SQL PLANTIO'!B:B,'BASE SQL PLANTIO'!T:T,"verificar",0),"")</f>
        <v/>
      </c>
      <c r="I972" s="77" t="str">
        <f>IF(_xlfn.MINIFS('BASE SQL PLANTIO'!E:E,'BASE SQL PLANTIO'!B:B,VOOS!A972)=0/1/1900,"",_xlfn.MINIFS('BASE SQL PLANTIO'!E:E,'BASE SQL PLANTIO'!B:B,VOOS!A972))</f>
        <v/>
      </c>
      <c r="J972" s="26"/>
      <c r="K972" s="34" t="str">
        <f t="shared" si="46"/>
        <v/>
      </c>
      <c r="L972" s="35" t="str">
        <f t="shared" si="47"/>
        <v/>
      </c>
      <c r="M972" s="14"/>
      <c r="N972" s="15"/>
    </row>
    <row r="973" spans="1:14" ht="15.6" x14ac:dyDescent="0.3">
      <c r="A973" s="13" t="str">
        <f t="shared" si="45"/>
        <v>-</v>
      </c>
      <c r="B973" s="27"/>
      <c r="C973" s="26"/>
      <c r="D973" s="26"/>
      <c r="E973" s="26"/>
      <c r="F973" s="26"/>
      <c r="G973" s="34">
        <f>SUMIFS('BASE EXEC. Q.L'!N:N,'BASE EXEC. Q.L'!B:B,VOOS!A973)</f>
        <v>0</v>
      </c>
      <c r="H973" s="15" t="str">
        <f>IFERROR(_xlfn.XLOOKUP(A973,'BASE SQL PLANTIO'!B:B,'BASE SQL PLANTIO'!T:T,"verificar",0),"")</f>
        <v/>
      </c>
      <c r="I973" s="77" t="str">
        <f>IF(_xlfn.MINIFS('BASE SQL PLANTIO'!E:E,'BASE SQL PLANTIO'!B:B,VOOS!A973)=0/1/1900,"",_xlfn.MINIFS('BASE SQL PLANTIO'!E:E,'BASE SQL PLANTIO'!B:B,VOOS!A973))</f>
        <v/>
      </c>
      <c r="J973" s="26"/>
      <c r="K973" s="34" t="str">
        <f t="shared" si="46"/>
        <v/>
      </c>
      <c r="L973" s="35" t="str">
        <f t="shared" si="47"/>
        <v/>
      </c>
      <c r="M973" s="14"/>
      <c r="N973" s="16"/>
    </row>
    <row r="974" spans="1:14" ht="15.6" x14ac:dyDescent="0.3">
      <c r="A974" s="13" t="str">
        <f t="shared" si="45"/>
        <v>-</v>
      </c>
      <c r="B974" s="27"/>
      <c r="C974" s="26"/>
      <c r="D974" s="26"/>
      <c r="E974" s="26"/>
      <c r="F974" s="26"/>
      <c r="G974" s="34">
        <f>SUMIFS('BASE EXEC. Q.L'!N:N,'BASE EXEC. Q.L'!B:B,VOOS!A974)</f>
        <v>0</v>
      </c>
      <c r="H974" s="15" t="str">
        <f>IFERROR(_xlfn.XLOOKUP(A974,'BASE SQL PLANTIO'!B:B,'BASE SQL PLANTIO'!T:T,"verificar",0),"")</f>
        <v/>
      </c>
      <c r="I974" s="77" t="str">
        <f>IF(_xlfn.MINIFS('BASE SQL PLANTIO'!E:E,'BASE SQL PLANTIO'!B:B,VOOS!A974)=0/1/1900,"",_xlfn.MINIFS('BASE SQL PLANTIO'!E:E,'BASE SQL PLANTIO'!B:B,VOOS!A974))</f>
        <v/>
      </c>
      <c r="J974" s="26"/>
      <c r="K974" s="34" t="str">
        <f t="shared" si="46"/>
        <v/>
      </c>
      <c r="L974" s="35" t="str">
        <f t="shared" si="47"/>
        <v/>
      </c>
      <c r="M974" s="14"/>
      <c r="N974" s="16"/>
    </row>
    <row r="975" spans="1:14" ht="15.6" x14ac:dyDescent="0.3">
      <c r="A975" s="13" t="str">
        <f t="shared" si="45"/>
        <v>-</v>
      </c>
      <c r="B975" s="27"/>
      <c r="C975" s="26"/>
      <c r="D975" s="26"/>
      <c r="E975" s="26"/>
      <c r="F975" s="26"/>
      <c r="G975" s="34">
        <f>SUMIFS('BASE EXEC. Q.L'!N:N,'BASE EXEC. Q.L'!B:B,VOOS!A975)</f>
        <v>0</v>
      </c>
      <c r="H975" s="15" t="str">
        <f>IFERROR(_xlfn.XLOOKUP(A975,'BASE SQL PLANTIO'!B:B,'BASE SQL PLANTIO'!T:T,"verificar",0),"")</f>
        <v/>
      </c>
      <c r="I975" s="77" t="str">
        <f>IF(_xlfn.MINIFS('BASE SQL PLANTIO'!E:E,'BASE SQL PLANTIO'!B:B,VOOS!A975)=0/1/1900,"",_xlfn.MINIFS('BASE SQL PLANTIO'!E:E,'BASE SQL PLANTIO'!B:B,VOOS!A975))</f>
        <v/>
      </c>
      <c r="J975" s="26"/>
      <c r="K975" s="34" t="str">
        <f t="shared" si="46"/>
        <v/>
      </c>
      <c r="L975" s="35" t="str">
        <f t="shared" si="47"/>
        <v/>
      </c>
      <c r="M975" s="14"/>
      <c r="N975" s="16"/>
    </row>
    <row r="976" spans="1:14" ht="15.6" x14ac:dyDescent="0.3">
      <c r="A976" s="13" t="str">
        <f t="shared" si="45"/>
        <v>-</v>
      </c>
      <c r="B976" s="27"/>
      <c r="C976" s="26"/>
      <c r="D976" s="26"/>
      <c r="E976" s="26"/>
      <c r="F976" s="26"/>
      <c r="G976" s="34">
        <f>SUMIFS('BASE EXEC. Q.L'!N:N,'BASE EXEC. Q.L'!B:B,VOOS!A976)</f>
        <v>0</v>
      </c>
      <c r="H976" s="15" t="str">
        <f>IFERROR(_xlfn.XLOOKUP(A976,'BASE SQL PLANTIO'!B:B,'BASE SQL PLANTIO'!T:T,"verificar",0),"")</f>
        <v/>
      </c>
      <c r="I976" s="77" t="str">
        <f>IF(_xlfn.MINIFS('BASE SQL PLANTIO'!E:E,'BASE SQL PLANTIO'!B:B,VOOS!A976)=0/1/1900,"",_xlfn.MINIFS('BASE SQL PLANTIO'!E:E,'BASE SQL PLANTIO'!B:B,VOOS!A976))</f>
        <v/>
      </c>
      <c r="J976" s="26"/>
      <c r="K976" s="34" t="str">
        <f t="shared" si="46"/>
        <v/>
      </c>
      <c r="L976" s="35" t="str">
        <f t="shared" si="47"/>
        <v/>
      </c>
      <c r="M976" s="14"/>
      <c r="N976" s="16"/>
    </row>
    <row r="977" spans="1:14" ht="15.6" x14ac:dyDescent="0.3">
      <c r="A977" s="13" t="str">
        <f t="shared" si="45"/>
        <v>-</v>
      </c>
      <c r="B977" s="27"/>
      <c r="C977" s="26"/>
      <c r="D977" s="26"/>
      <c r="E977" s="26"/>
      <c r="F977" s="26"/>
      <c r="G977" s="34">
        <f>SUMIFS('BASE EXEC. Q.L'!N:N,'BASE EXEC. Q.L'!B:B,VOOS!A977)</f>
        <v>0</v>
      </c>
      <c r="H977" s="15" t="str">
        <f>IFERROR(_xlfn.XLOOKUP(A977,'BASE SQL PLANTIO'!B:B,'BASE SQL PLANTIO'!T:T,"verificar",0),"")</f>
        <v/>
      </c>
      <c r="I977" s="77" t="str">
        <f>IF(_xlfn.MINIFS('BASE SQL PLANTIO'!E:E,'BASE SQL PLANTIO'!B:B,VOOS!A977)=0/1/1900,"",_xlfn.MINIFS('BASE SQL PLANTIO'!E:E,'BASE SQL PLANTIO'!B:B,VOOS!A977))</f>
        <v/>
      </c>
      <c r="J977" s="26"/>
      <c r="K977" s="34" t="str">
        <f t="shared" si="46"/>
        <v/>
      </c>
      <c r="L977" s="35" t="str">
        <f t="shared" si="47"/>
        <v/>
      </c>
      <c r="M977" s="14"/>
      <c r="N977" s="15"/>
    </row>
    <row r="978" spans="1:14" ht="15.6" x14ac:dyDescent="0.3">
      <c r="A978" s="13" t="str">
        <f t="shared" si="45"/>
        <v>-</v>
      </c>
      <c r="B978" s="27"/>
      <c r="C978" s="26"/>
      <c r="D978" s="26"/>
      <c r="E978" s="26"/>
      <c r="F978" s="26"/>
      <c r="G978" s="34">
        <f>SUMIFS('BASE EXEC. Q.L'!N:N,'BASE EXEC. Q.L'!B:B,VOOS!A978)</f>
        <v>0</v>
      </c>
      <c r="H978" s="15" t="str">
        <f>IFERROR(_xlfn.XLOOKUP(A978,'BASE SQL PLANTIO'!B:B,'BASE SQL PLANTIO'!T:T,"verificar",0),"")</f>
        <v/>
      </c>
      <c r="I978" s="77" t="str">
        <f>IF(_xlfn.MINIFS('BASE SQL PLANTIO'!E:E,'BASE SQL PLANTIO'!B:B,VOOS!A978)=0/1/1900,"",_xlfn.MINIFS('BASE SQL PLANTIO'!E:E,'BASE SQL PLANTIO'!B:B,VOOS!A978))</f>
        <v/>
      </c>
      <c r="J978" s="26"/>
      <c r="K978" s="34" t="str">
        <f t="shared" si="46"/>
        <v/>
      </c>
      <c r="L978" s="35" t="str">
        <f t="shared" si="47"/>
        <v/>
      </c>
      <c r="M978" s="14"/>
      <c r="N978" s="16"/>
    </row>
    <row r="979" spans="1:14" ht="15.6" x14ac:dyDescent="0.3">
      <c r="A979" s="13" t="str">
        <f t="shared" si="45"/>
        <v>-</v>
      </c>
      <c r="B979" s="27"/>
      <c r="C979" s="26"/>
      <c r="D979" s="26"/>
      <c r="E979" s="26"/>
      <c r="F979" s="26"/>
      <c r="G979" s="34">
        <f>SUMIFS('BASE EXEC. Q.L'!N:N,'BASE EXEC. Q.L'!B:B,VOOS!A979)</f>
        <v>0</v>
      </c>
      <c r="H979" s="15" t="str">
        <f>IFERROR(_xlfn.XLOOKUP(A979,'BASE SQL PLANTIO'!B:B,'BASE SQL PLANTIO'!T:T,"verificar",0),"")</f>
        <v/>
      </c>
      <c r="I979" s="77" t="str">
        <f>IF(_xlfn.MINIFS('BASE SQL PLANTIO'!E:E,'BASE SQL PLANTIO'!B:B,VOOS!A979)=0/1/1900,"",_xlfn.MINIFS('BASE SQL PLANTIO'!E:E,'BASE SQL PLANTIO'!B:B,VOOS!A979))</f>
        <v/>
      </c>
      <c r="J979" s="26"/>
      <c r="K979" s="34" t="str">
        <f t="shared" si="46"/>
        <v/>
      </c>
      <c r="L979" s="35" t="str">
        <f t="shared" si="47"/>
        <v/>
      </c>
      <c r="M979" s="14"/>
      <c r="N979" s="16"/>
    </row>
    <row r="980" spans="1:14" ht="15.6" x14ac:dyDescent="0.3">
      <c r="A980" s="13" t="str">
        <f t="shared" si="45"/>
        <v>-</v>
      </c>
      <c r="B980" s="25"/>
      <c r="C980" s="25"/>
      <c r="D980" s="25"/>
      <c r="E980" s="25"/>
      <c r="F980" s="31"/>
      <c r="G980" s="34">
        <f>SUMIFS('BASE EXEC. Q.L'!N:N,'BASE EXEC. Q.L'!B:B,VOOS!A980)</f>
        <v>0</v>
      </c>
      <c r="H980" s="15" t="str">
        <f>IFERROR(_xlfn.XLOOKUP(A980,'BASE SQL PLANTIO'!B:B,'BASE SQL PLANTIO'!T:T,"verificar",0),"")</f>
        <v/>
      </c>
      <c r="I980" s="77" t="str">
        <f>IF(_xlfn.MINIFS('BASE SQL PLANTIO'!E:E,'BASE SQL PLANTIO'!B:B,VOOS!A980)=0/1/1900,"",_xlfn.MINIFS('BASE SQL PLANTIO'!E:E,'BASE SQL PLANTIO'!B:B,VOOS!A980))</f>
        <v/>
      </c>
      <c r="J980" s="26"/>
      <c r="K980" s="34" t="str">
        <f t="shared" si="46"/>
        <v/>
      </c>
      <c r="L980" s="35" t="str">
        <f t="shared" si="47"/>
        <v/>
      </c>
      <c r="M980" s="14"/>
      <c r="N980" s="16"/>
    </row>
    <row r="981" spans="1:14" ht="15.6" x14ac:dyDescent="0.3">
      <c r="A981" s="13" t="str">
        <f t="shared" si="45"/>
        <v>-</v>
      </c>
      <c r="B981" s="25"/>
      <c r="C981" s="25"/>
      <c r="D981" s="25"/>
      <c r="E981" s="25"/>
      <c r="F981" s="31"/>
      <c r="G981" s="34">
        <f>SUMIFS('BASE EXEC. Q.L'!N:N,'BASE EXEC. Q.L'!B:B,VOOS!A981)</f>
        <v>0</v>
      </c>
      <c r="H981" s="15" t="str">
        <f>IFERROR(_xlfn.XLOOKUP(A981,'BASE SQL PLANTIO'!B:B,'BASE SQL PLANTIO'!T:T,"verificar",0),"")</f>
        <v/>
      </c>
      <c r="I981" s="77" t="str">
        <f>IF(_xlfn.MINIFS('BASE SQL PLANTIO'!E:E,'BASE SQL PLANTIO'!B:B,VOOS!A981)=0/1/1900,"",_xlfn.MINIFS('BASE SQL PLANTIO'!E:E,'BASE SQL PLANTIO'!B:B,VOOS!A981))</f>
        <v/>
      </c>
      <c r="J981" s="26"/>
      <c r="K981" s="34" t="str">
        <f t="shared" si="46"/>
        <v/>
      </c>
      <c r="L981" s="35" t="str">
        <f t="shared" si="47"/>
        <v/>
      </c>
      <c r="M981" s="14"/>
      <c r="N981" s="16"/>
    </row>
    <row r="982" spans="1:14" ht="15.6" x14ac:dyDescent="0.3">
      <c r="A982" s="13" t="str">
        <f t="shared" si="45"/>
        <v>-</v>
      </c>
      <c r="B982" s="27"/>
      <c r="C982" s="26"/>
      <c r="D982" s="26"/>
      <c r="E982" s="26"/>
      <c r="F982" s="26"/>
      <c r="G982" s="34">
        <f>SUMIFS('BASE EXEC. Q.L'!N:N,'BASE EXEC. Q.L'!B:B,VOOS!A982)</f>
        <v>0</v>
      </c>
      <c r="H982" s="15" t="str">
        <f>IFERROR(_xlfn.XLOOKUP(A982,'BASE SQL PLANTIO'!B:B,'BASE SQL PLANTIO'!T:T,"verificar",0),"")</f>
        <v/>
      </c>
      <c r="I982" s="77" t="str">
        <f>IF(_xlfn.MINIFS('BASE SQL PLANTIO'!E:E,'BASE SQL PLANTIO'!B:B,VOOS!A982)=0/1/1900,"",_xlfn.MINIFS('BASE SQL PLANTIO'!E:E,'BASE SQL PLANTIO'!B:B,VOOS!A982))</f>
        <v/>
      </c>
      <c r="J982" s="26"/>
      <c r="K982" s="34" t="str">
        <f t="shared" si="46"/>
        <v/>
      </c>
      <c r="L982" s="35" t="str">
        <f t="shared" si="47"/>
        <v/>
      </c>
      <c r="M982" s="14"/>
      <c r="N982" s="16"/>
    </row>
    <row r="983" spans="1:14" ht="15.6" x14ac:dyDescent="0.3">
      <c r="A983" s="13" t="str">
        <f t="shared" si="45"/>
        <v>-</v>
      </c>
      <c r="B983" s="27"/>
      <c r="C983" s="26"/>
      <c r="D983" s="26"/>
      <c r="E983" s="26"/>
      <c r="F983" s="26"/>
      <c r="G983" s="34">
        <f>SUMIFS('BASE EXEC. Q.L'!N:N,'BASE EXEC. Q.L'!B:B,VOOS!A983)</f>
        <v>0</v>
      </c>
      <c r="H983" s="15" t="str">
        <f>IFERROR(_xlfn.XLOOKUP(A983,'BASE SQL PLANTIO'!B:B,'BASE SQL PLANTIO'!T:T,"verificar",0),"")</f>
        <v/>
      </c>
      <c r="I983" s="77" t="str">
        <f>IF(_xlfn.MINIFS('BASE SQL PLANTIO'!E:E,'BASE SQL PLANTIO'!B:B,VOOS!A983)=0/1/1900,"",_xlfn.MINIFS('BASE SQL PLANTIO'!E:E,'BASE SQL PLANTIO'!B:B,VOOS!A983))</f>
        <v/>
      </c>
      <c r="J983" s="26"/>
      <c r="K983" s="34" t="str">
        <f t="shared" si="46"/>
        <v/>
      </c>
      <c r="L983" s="35" t="str">
        <f t="shared" si="47"/>
        <v/>
      </c>
      <c r="M983" s="14"/>
      <c r="N983" s="16"/>
    </row>
    <row r="984" spans="1:14" ht="15.6" x14ac:dyDescent="0.3">
      <c r="A984" s="13" t="str">
        <f t="shared" si="45"/>
        <v>-</v>
      </c>
      <c r="B984" s="25"/>
      <c r="C984" s="25"/>
      <c r="D984" s="25"/>
      <c r="E984" s="25"/>
      <c r="F984" s="31"/>
      <c r="G984" s="34">
        <f>SUMIFS('BASE EXEC. Q.L'!N:N,'BASE EXEC. Q.L'!B:B,VOOS!A984)</f>
        <v>0</v>
      </c>
      <c r="H984" s="15" t="str">
        <f>IFERROR(_xlfn.XLOOKUP(A984,'BASE SQL PLANTIO'!B:B,'BASE SQL PLANTIO'!T:T,"verificar",0),"")</f>
        <v/>
      </c>
      <c r="I984" s="77" t="str">
        <f>IF(_xlfn.MINIFS('BASE SQL PLANTIO'!E:E,'BASE SQL PLANTIO'!B:B,VOOS!A984)=0/1/1900,"",_xlfn.MINIFS('BASE SQL PLANTIO'!E:E,'BASE SQL PLANTIO'!B:B,VOOS!A984))</f>
        <v/>
      </c>
      <c r="J984" s="26"/>
      <c r="K984" s="34" t="str">
        <f t="shared" si="46"/>
        <v/>
      </c>
      <c r="L984" s="35" t="str">
        <f t="shared" si="47"/>
        <v/>
      </c>
      <c r="M984" s="14"/>
      <c r="N984" s="16"/>
    </row>
    <row r="985" spans="1:14" ht="15.6" x14ac:dyDescent="0.3">
      <c r="A985" s="13" t="str">
        <f t="shared" si="45"/>
        <v>-</v>
      </c>
      <c r="B985" s="25"/>
      <c r="C985" s="25"/>
      <c r="D985" s="25"/>
      <c r="E985" s="25"/>
      <c r="F985" s="31"/>
      <c r="G985" s="34">
        <f>SUMIFS('BASE EXEC. Q.L'!N:N,'BASE EXEC. Q.L'!B:B,VOOS!A985)</f>
        <v>0</v>
      </c>
      <c r="H985" s="15" t="str">
        <f>IFERROR(_xlfn.XLOOKUP(A985,'BASE SQL PLANTIO'!B:B,'BASE SQL PLANTIO'!T:T,"verificar",0),"")</f>
        <v/>
      </c>
      <c r="I985" s="77" t="str">
        <f>IF(_xlfn.MINIFS('BASE SQL PLANTIO'!E:E,'BASE SQL PLANTIO'!B:B,VOOS!A985)=0/1/1900,"",_xlfn.MINIFS('BASE SQL PLANTIO'!E:E,'BASE SQL PLANTIO'!B:B,VOOS!A985))</f>
        <v/>
      </c>
      <c r="J985" s="26"/>
      <c r="K985" s="34" t="str">
        <f t="shared" si="46"/>
        <v/>
      </c>
      <c r="L985" s="35" t="str">
        <f t="shared" si="47"/>
        <v/>
      </c>
      <c r="M985" s="14"/>
      <c r="N985" s="16"/>
    </row>
    <row r="986" spans="1:14" ht="15.6" x14ac:dyDescent="0.3">
      <c r="A986" s="13" t="str">
        <f t="shared" si="45"/>
        <v>-</v>
      </c>
      <c r="B986" s="25"/>
      <c r="C986" s="25"/>
      <c r="D986" s="25"/>
      <c r="E986" s="25"/>
      <c r="F986" s="31"/>
      <c r="G986" s="34">
        <f>SUMIFS('BASE EXEC. Q.L'!N:N,'BASE EXEC. Q.L'!B:B,VOOS!A986)</f>
        <v>0</v>
      </c>
      <c r="H986" s="15" t="str">
        <f>IFERROR(_xlfn.XLOOKUP(A986,'BASE SQL PLANTIO'!B:B,'BASE SQL PLANTIO'!T:T,"verificar",0),"")</f>
        <v/>
      </c>
      <c r="I986" s="77" t="str">
        <f>IF(_xlfn.MINIFS('BASE SQL PLANTIO'!E:E,'BASE SQL PLANTIO'!B:B,VOOS!A986)=0/1/1900,"",_xlfn.MINIFS('BASE SQL PLANTIO'!E:E,'BASE SQL PLANTIO'!B:B,VOOS!A986))</f>
        <v/>
      </c>
      <c r="J986" s="26"/>
      <c r="K986" s="34" t="str">
        <f t="shared" si="46"/>
        <v/>
      </c>
      <c r="L986" s="35" t="str">
        <f t="shared" si="47"/>
        <v/>
      </c>
      <c r="M986" s="14"/>
      <c r="N986" s="16"/>
    </row>
    <row r="987" spans="1:14" ht="15.6" x14ac:dyDescent="0.3">
      <c r="A987" s="13" t="str">
        <f t="shared" si="45"/>
        <v>-</v>
      </c>
      <c r="B987" s="27"/>
      <c r="C987" s="26"/>
      <c r="D987" s="26"/>
      <c r="E987" s="26"/>
      <c r="F987" s="26"/>
      <c r="G987" s="34">
        <f>SUMIFS('BASE EXEC. Q.L'!N:N,'BASE EXEC. Q.L'!B:B,VOOS!A987)</f>
        <v>0</v>
      </c>
      <c r="H987" s="15" t="str">
        <f>IFERROR(_xlfn.XLOOKUP(A987,'BASE SQL PLANTIO'!B:B,'BASE SQL PLANTIO'!T:T,"verificar",0),"")</f>
        <v/>
      </c>
      <c r="I987" s="77" t="str">
        <f>IF(_xlfn.MINIFS('BASE SQL PLANTIO'!E:E,'BASE SQL PLANTIO'!B:B,VOOS!A987)=0/1/1900,"",_xlfn.MINIFS('BASE SQL PLANTIO'!E:E,'BASE SQL PLANTIO'!B:B,VOOS!A987))</f>
        <v/>
      </c>
      <c r="J987" s="26"/>
      <c r="K987" s="34" t="str">
        <f t="shared" si="46"/>
        <v/>
      </c>
      <c r="L987" s="35" t="str">
        <f t="shared" si="47"/>
        <v/>
      </c>
      <c r="M987" s="14"/>
      <c r="N987" s="16"/>
    </row>
    <row r="988" spans="1:14" ht="15.6" x14ac:dyDescent="0.3">
      <c r="A988" s="13" t="str">
        <f t="shared" si="45"/>
        <v>-</v>
      </c>
      <c r="B988" s="25"/>
      <c r="C988" s="25"/>
      <c r="D988" s="25"/>
      <c r="E988" s="25"/>
      <c r="F988" s="31"/>
      <c r="G988" s="34">
        <f>SUMIFS('BASE EXEC. Q.L'!N:N,'BASE EXEC. Q.L'!B:B,VOOS!A988)</f>
        <v>0</v>
      </c>
      <c r="H988" s="15" t="str">
        <f>IFERROR(_xlfn.XLOOKUP(A988,'BASE SQL PLANTIO'!B:B,'BASE SQL PLANTIO'!T:T,"verificar",0),"")</f>
        <v/>
      </c>
      <c r="I988" s="77" t="str">
        <f>IF(_xlfn.MINIFS('BASE SQL PLANTIO'!E:E,'BASE SQL PLANTIO'!B:B,VOOS!A988)=0/1/1900,"",_xlfn.MINIFS('BASE SQL PLANTIO'!E:E,'BASE SQL PLANTIO'!B:B,VOOS!A988))</f>
        <v/>
      </c>
      <c r="J988" s="26"/>
      <c r="K988" s="34" t="str">
        <f t="shared" si="46"/>
        <v/>
      </c>
      <c r="L988" s="35" t="str">
        <f t="shared" si="47"/>
        <v/>
      </c>
      <c r="M988" s="14"/>
      <c r="N988" s="16"/>
    </row>
    <row r="989" spans="1:14" ht="15.6" x14ac:dyDescent="0.3">
      <c r="A989" s="13" t="str">
        <f t="shared" si="45"/>
        <v>-</v>
      </c>
      <c r="B989" s="25"/>
      <c r="C989" s="25"/>
      <c r="D989" s="25"/>
      <c r="E989" s="25"/>
      <c r="F989" s="31"/>
      <c r="G989" s="34">
        <f>SUMIFS('BASE EXEC. Q.L'!N:N,'BASE EXEC. Q.L'!B:B,VOOS!A989)</f>
        <v>0</v>
      </c>
      <c r="H989" s="15" t="str">
        <f>IFERROR(_xlfn.XLOOKUP(A989,'BASE SQL PLANTIO'!B:B,'BASE SQL PLANTIO'!T:T,"verificar",0),"")</f>
        <v/>
      </c>
      <c r="I989" s="77" t="str">
        <f>IF(_xlfn.MINIFS('BASE SQL PLANTIO'!E:E,'BASE SQL PLANTIO'!B:B,VOOS!A989)=0/1/1900,"",_xlfn.MINIFS('BASE SQL PLANTIO'!E:E,'BASE SQL PLANTIO'!B:B,VOOS!A989))</f>
        <v/>
      </c>
      <c r="J989" s="26"/>
      <c r="K989" s="34" t="str">
        <f t="shared" si="46"/>
        <v/>
      </c>
      <c r="L989" s="35" t="str">
        <f t="shared" si="47"/>
        <v/>
      </c>
      <c r="M989" s="14"/>
      <c r="N989" s="16"/>
    </row>
    <row r="990" spans="1:14" ht="15.6" x14ac:dyDescent="0.3">
      <c r="A990" s="13" t="str">
        <f t="shared" si="45"/>
        <v>-</v>
      </c>
      <c r="B990" s="27"/>
      <c r="C990" s="26"/>
      <c r="D990" s="26"/>
      <c r="E990" s="26"/>
      <c r="F990" s="26"/>
      <c r="G990" s="34">
        <f>SUMIFS('BASE EXEC. Q.L'!N:N,'BASE EXEC. Q.L'!B:B,VOOS!A990)</f>
        <v>0</v>
      </c>
      <c r="H990" s="15" t="str">
        <f>IFERROR(_xlfn.XLOOKUP(A990,'BASE SQL PLANTIO'!B:B,'BASE SQL PLANTIO'!T:T,"verificar",0),"")</f>
        <v/>
      </c>
      <c r="I990" s="77" t="str">
        <f>IF(_xlfn.MINIFS('BASE SQL PLANTIO'!E:E,'BASE SQL PLANTIO'!B:B,VOOS!A990)=0/1/1900,"",_xlfn.MINIFS('BASE SQL PLANTIO'!E:E,'BASE SQL PLANTIO'!B:B,VOOS!A990))</f>
        <v/>
      </c>
      <c r="J990" s="26"/>
      <c r="K990" s="34" t="str">
        <f t="shared" si="46"/>
        <v/>
      </c>
      <c r="L990" s="35" t="str">
        <f t="shared" si="47"/>
        <v/>
      </c>
      <c r="M990" s="14"/>
      <c r="N990" s="15"/>
    </row>
    <row r="991" spans="1:14" ht="15.6" x14ac:dyDescent="0.3">
      <c r="A991" s="13" t="str">
        <f t="shared" si="45"/>
        <v>-</v>
      </c>
      <c r="B991" s="27"/>
      <c r="C991" s="26"/>
      <c r="D991" s="26"/>
      <c r="E991" s="26"/>
      <c r="F991" s="26"/>
      <c r="G991" s="34">
        <f>SUMIFS('BASE EXEC. Q.L'!N:N,'BASE EXEC. Q.L'!B:B,VOOS!A991)</f>
        <v>0</v>
      </c>
      <c r="H991" s="15" t="str">
        <f>IFERROR(_xlfn.XLOOKUP(A991,'BASE SQL PLANTIO'!B:B,'BASE SQL PLANTIO'!T:T,"verificar",0),"")</f>
        <v/>
      </c>
      <c r="I991" s="77" t="str">
        <f>IF(_xlfn.MINIFS('BASE SQL PLANTIO'!E:E,'BASE SQL PLANTIO'!B:B,VOOS!A991)=0/1/1900,"",_xlfn.MINIFS('BASE SQL PLANTIO'!E:E,'BASE SQL PLANTIO'!B:B,VOOS!A991))</f>
        <v/>
      </c>
      <c r="J991" s="26"/>
      <c r="K991" s="34" t="str">
        <f t="shared" si="46"/>
        <v/>
      </c>
      <c r="L991" s="35" t="str">
        <f t="shared" si="47"/>
        <v/>
      </c>
      <c r="M991" s="14"/>
      <c r="N991" s="16"/>
    </row>
    <row r="992" spans="1:14" ht="15.6" x14ac:dyDescent="0.3">
      <c r="A992" s="13" t="str">
        <f t="shared" si="45"/>
        <v>-</v>
      </c>
      <c r="B992" s="25"/>
      <c r="C992" s="25"/>
      <c r="D992" s="25"/>
      <c r="E992" s="25"/>
      <c r="F992" s="31"/>
      <c r="G992" s="34">
        <f>SUMIFS('BASE EXEC. Q.L'!N:N,'BASE EXEC. Q.L'!B:B,VOOS!A992)</f>
        <v>0</v>
      </c>
      <c r="H992" s="15" t="str">
        <f>IFERROR(_xlfn.XLOOKUP(A992,'BASE SQL PLANTIO'!B:B,'BASE SQL PLANTIO'!T:T,"verificar",0),"")</f>
        <v/>
      </c>
      <c r="I992" s="77" t="str">
        <f>IF(_xlfn.MINIFS('BASE SQL PLANTIO'!E:E,'BASE SQL PLANTIO'!B:B,VOOS!A992)=0/1/1900,"",_xlfn.MINIFS('BASE SQL PLANTIO'!E:E,'BASE SQL PLANTIO'!B:B,VOOS!A992))</f>
        <v/>
      </c>
      <c r="J992" s="26"/>
      <c r="K992" s="34" t="str">
        <f t="shared" si="46"/>
        <v/>
      </c>
      <c r="L992" s="35" t="str">
        <f t="shared" si="47"/>
        <v/>
      </c>
      <c r="M992" s="14"/>
      <c r="N992" s="16"/>
    </row>
    <row r="993" spans="1:14" ht="15.6" x14ac:dyDescent="0.3">
      <c r="A993" s="13" t="str">
        <f t="shared" si="45"/>
        <v>-</v>
      </c>
      <c r="B993" s="25"/>
      <c r="C993" s="25"/>
      <c r="D993" s="25"/>
      <c r="E993" s="25"/>
      <c r="F993" s="31"/>
      <c r="G993" s="34">
        <f>SUMIFS('BASE EXEC. Q.L'!N:N,'BASE EXEC. Q.L'!B:B,VOOS!A993)</f>
        <v>0</v>
      </c>
      <c r="H993" s="15" t="str">
        <f>IFERROR(_xlfn.XLOOKUP(A993,'BASE SQL PLANTIO'!B:B,'BASE SQL PLANTIO'!T:T,"verificar",0),"")</f>
        <v/>
      </c>
      <c r="I993" s="77" t="str">
        <f>IF(_xlfn.MINIFS('BASE SQL PLANTIO'!E:E,'BASE SQL PLANTIO'!B:B,VOOS!A993)=0/1/1900,"",_xlfn.MINIFS('BASE SQL PLANTIO'!E:E,'BASE SQL PLANTIO'!B:B,VOOS!A993))</f>
        <v/>
      </c>
      <c r="J993" s="26"/>
      <c r="K993" s="34" t="str">
        <f t="shared" si="46"/>
        <v/>
      </c>
      <c r="L993" s="35" t="str">
        <f t="shared" si="47"/>
        <v/>
      </c>
      <c r="M993" s="14"/>
      <c r="N993" s="16"/>
    </row>
    <row r="994" spans="1:14" ht="15.6" x14ac:dyDescent="0.3">
      <c r="A994" s="13" t="str">
        <f t="shared" si="45"/>
        <v>-</v>
      </c>
      <c r="B994" s="25"/>
      <c r="C994" s="25"/>
      <c r="D994" s="25"/>
      <c r="E994" s="25"/>
      <c r="F994" s="31"/>
      <c r="G994" s="34">
        <f>SUMIFS('BASE EXEC. Q.L'!N:N,'BASE EXEC. Q.L'!B:B,VOOS!A994)</f>
        <v>0</v>
      </c>
      <c r="H994" s="15" t="str">
        <f>IFERROR(_xlfn.XLOOKUP(A994,'BASE SQL PLANTIO'!B:B,'BASE SQL PLANTIO'!T:T,"verificar",0),"")</f>
        <v/>
      </c>
      <c r="I994" s="77" t="str">
        <f>IF(_xlfn.MINIFS('BASE SQL PLANTIO'!E:E,'BASE SQL PLANTIO'!B:B,VOOS!A994)=0/1/1900,"",_xlfn.MINIFS('BASE SQL PLANTIO'!E:E,'BASE SQL PLANTIO'!B:B,VOOS!A994))</f>
        <v/>
      </c>
      <c r="J994" s="26"/>
      <c r="K994" s="34" t="str">
        <f t="shared" si="46"/>
        <v/>
      </c>
      <c r="L994" s="35" t="str">
        <f t="shared" si="47"/>
        <v/>
      </c>
      <c r="M994" s="14"/>
      <c r="N994" s="16"/>
    </row>
    <row r="995" spans="1:14" ht="15.6" x14ac:dyDescent="0.3">
      <c r="A995" s="13" t="str">
        <f t="shared" si="45"/>
        <v>-</v>
      </c>
      <c r="B995" s="27"/>
      <c r="C995" s="26"/>
      <c r="D995" s="26"/>
      <c r="E995" s="26"/>
      <c r="F995" s="26"/>
      <c r="G995" s="34">
        <f>SUMIFS('BASE EXEC. Q.L'!N:N,'BASE EXEC. Q.L'!B:B,VOOS!A995)</f>
        <v>0</v>
      </c>
      <c r="H995" s="15" t="str">
        <f>IFERROR(_xlfn.XLOOKUP(A995,'BASE SQL PLANTIO'!B:B,'BASE SQL PLANTIO'!T:T,"verificar",0),"")</f>
        <v/>
      </c>
      <c r="I995" s="77" t="str">
        <f>IF(_xlfn.MINIFS('BASE SQL PLANTIO'!E:E,'BASE SQL PLANTIO'!B:B,VOOS!A995)=0/1/1900,"",_xlfn.MINIFS('BASE SQL PLANTIO'!E:E,'BASE SQL PLANTIO'!B:B,VOOS!A995))</f>
        <v/>
      </c>
      <c r="J995" s="26"/>
      <c r="K995" s="34" t="str">
        <f t="shared" si="46"/>
        <v/>
      </c>
      <c r="L995" s="35" t="str">
        <f t="shared" si="47"/>
        <v/>
      </c>
      <c r="M995" s="14"/>
      <c r="N995" s="15"/>
    </row>
    <row r="996" spans="1:14" ht="15.6" x14ac:dyDescent="0.3">
      <c r="A996" s="13" t="str">
        <f t="shared" si="45"/>
        <v>-</v>
      </c>
      <c r="B996" s="27"/>
      <c r="C996" s="26"/>
      <c r="D996" s="26"/>
      <c r="E996" s="26"/>
      <c r="F996" s="26"/>
      <c r="G996" s="34">
        <f>SUMIFS('BASE EXEC. Q.L'!N:N,'BASE EXEC. Q.L'!B:B,VOOS!A996)</f>
        <v>0</v>
      </c>
      <c r="H996" s="15" t="str">
        <f>IFERROR(_xlfn.XLOOKUP(A996,'BASE SQL PLANTIO'!B:B,'BASE SQL PLANTIO'!T:T,"verificar",0),"")</f>
        <v/>
      </c>
      <c r="I996" s="77" t="str">
        <f>IF(_xlfn.MINIFS('BASE SQL PLANTIO'!E:E,'BASE SQL PLANTIO'!B:B,VOOS!A996)=0/1/1900,"",_xlfn.MINIFS('BASE SQL PLANTIO'!E:E,'BASE SQL PLANTIO'!B:B,VOOS!A996))</f>
        <v/>
      </c>
      <c r="J996" s="26"/>
      <c r="K996" s="34" t="str">
        <f t="shared" si="46"/>
        <v/>
      </c>
      <c r="L996" s="35" t="str">
        <f t="shared" si="47"/>
        <v/>
      </c>
      <c r="M996" s="14"/>
      <c r="N996" s="16"/>
    </row>
    <row r="997" spans="1:14" ht="15.6" x14ac:dyDescent="0.3">
      <c r="A997" s="13" t="str">
        <f t="shared" si="45"/>
        <v>-</v>
      </c>
      <c r="B997" s="25"/>
      <c r="C997" s="25"/>
      <c r="D997" s="25"/>
      <c r="E997" s="25"/>
      <c r="F997" s="31"/>
      <c r="G997" s="34">
        <f>SUMIFS('BASE EXEC. Q.L'!N:N,'BASE EXEC. Q.L'!B:B,VOOS!A997)</f>
        <v>0</v>
      </c>
      <c r="H997" s="15" t="str">
        <f>IFERROR(_xlfn.XLOOKUP(A997,'BASE SQL PLANTIO'!B:B,'BASE SQL PLANTIO'!T:T,"verificar",0),"")</f>
        <v/>
      </c>
      <c r="I997" s="77" t="str">
        <f>IF(_xlfn.MINIFS('BASE SQL PLANTIO'!E:E,'BASE SQL PLANTIO'!B:B,VOOS!A997)=0/1/1900,"",_xlfn.MINIFS('BASE SQL PLANTIO'!E:E,'BASE SQL PLANTIO'!B:B,VOOS!A997))</f>
        <v/>
      </c>
      <c r="J997" s="26"/>
      <c r="K997" s="34" t="str">
        <f t="shared" si="46"/>
        <v/>
      </c>
      <c r="L997" s="35" t="str">
        <f t="shared" si="47"/>
        <v/>
      </c>
      <c r="M997" s="14"/>
      <c r="N997" s="16"/>
    </row>
    <row r="998" spans="1:14" ht="15.6" x14ac:dyDescent="0.3">
      <c r="A998" s="13" t="str">
        <f t="shared" si="45"/>
        <v>-</v>
      </c>
      <c r="B998" s="25"/>
      <c r="C998" s="25"/>
      <c r="D998" s="25"/>
      <c r="E998" s="25"/>
      <c r="F998" s="31"/>
      <c r="G998" s="34">
        <f>SUMIFS('BASE EXEC. Q.L'!N:N,'BASE EXEC. Q.L'!B:B,VOOS!A998)</f>
        <v>0</v>
      </c>
      <c r="H998" s="15" t="str">
        <f>IFERROR(_xlfn.XLOOKUP(A998,'BASE SQL PLANTIO'!B:B,'BASE SQL PLANTIO'!T:T,"verificar",0),"")</f>
        <v/>
      </c>
      <c r="I998" s="77" t="str">
        <f>IF(_xlfn.MINIFS('BASE SQL PLANTIO'!E:E,'BASE SQL PLANTIO'!B:B,VOOS!A998)=0/1/1900,"",_xlfn.MINIFS('BASE SQL PLANTIO'!E:E,'BASE SQL PLANTIO'!B:B,VOOS!A998))</f>
        <v/>
      </c>
      <c r="J998" s="26"/>
      <c r="K998" s="34" t="str">
        <f t="shared" si="46"/>
        <v/>
      </c>
      <c r="L998" s="35" t="str">
        <f t="shared" si="47"/>
        <v/>
      </c>
      <c r="M998" s="14"/>
      <c r="N998" s="16"/>
    </row>
    <row r="999" spans="1:14" ht="15.6" x14ac:dyDescent="0.3">
      <c r="A999" s="13" t="str">
        <f t="shared" si="45"/>
        <v>-</v>
      </c>
      <c r="B999" s="27"/>
      <c r="C999" s="26"/>
      <c r="D999" s="26"/>
      <c r="E999" s="26"/>
      <c r="F999" s="26"/>
      <c r="G999" s="34">
        <f>SUMIFS('BASE EXEC. Q.L'!N:N,'BASE EXEC. Q.L'!B:B,VOOS!A999)</f>
        <v>0</v>
      </c>
      <c r="H999" s="15" t="str">
        <f>IFERROR(_xlfn.XLOOKUP(A999,'BASE SQL PLANTIO'!B:B,'BASE SQL PLANTIO'!T:T,"verificar",0),"")</f>
        <v/>
      </c>
      <c r="I999" s="77" t="str">
        <f>IF(_xlfn.MINIFS('BASE SQL PLANTIO'!E:E,'BASE SQL PLANTIO'!B:B,VOOS!A999)=0/1/1900,"",_xlfn.MINIFS('BASE SQL PLANTIO'!E:E,'BASE SQL PLANTIO'!B:B,VOOS!A999))</f>
        <v/>
      </c>
      <c r="J999" s="26"/>
      <c r="K999" s="34" t="str">
        <f t="shared" si="46"/>
        <v/>
      </c>
      <c r="L999" s="35" t="str">
        <f t="shared" si="47"/>
        <v/>
      </c>
      <c r="M999" s="14"/>
      <c r="N999" s="16"/>
    </row>
    <row r="1000" spans="1:14" ht="15.6" x14ac:dyDescent="0.3">
      <c r="A1000" s="13" t="str">
        <f t="shared" si="45"/>
        <v>-</v>
      </c>
      <c r="B1000" s="25"/>
      <c r="C1000" s="25"/>
      <c r="D1000" s="25"/>
      <c r="E1000" s="25"/>
      <c r="F1000" s="31"/>
      <c r="G1000" s="34">
        <f>SUMIFS('BASE EXEC. Q.L'!N:N,'BASE EXEC. Q.L'!B:B,VOOS!A1000)</f>
        <v>0</v>
      </c>
      <c r="H1000" s="15" t="str">
        <f>IFERROR(_xlfn.XLOOKUP(A1000,'BASE SQL PLANTIO'!B:B,'BASE SQL PLANTIO'!T:T,"verificar",0),"")</f>
        <v/>
      </c>
      <c r="I1000" s="77" t="str">
        <f>IF(_xlfn.MINIFS('BASE SQL PLANTIO'!E:E,'BASE SQL PLANTIO'!B:B,VOOS!A1000)=0/1/1900,"",_xlfn.MINIFS('BASE SQL PLANTIO'!E:E,'BASE SQL PLANTIO'!B:B,VOOS!A1000))</f>
        <v/>
      </c>
      <c r="J1000" s="26"/>
      <c r="K1000" s="34" t="str">
        <f t="shared" si="46"/>
        <v/>
      </c>
      <c r="L1000" s="35" t="str">
        <f t="shared" si="47"/>
        <v/>
      </c>
      <c r="M1000" s="14"/>
      <c r="N1000" s="15"/>
    </row>
    <row r="1001" spans="1:14" ht="15.6" x14ac:dyDescent="0.3">
      <c r="A1001" s="13" t="str">
        <f t="shared" si="45"/>
        <v>-</v>
      </c>
      <c r="B1001" s="25"/>
      <c r="C1001" s="25"/>
      <c r="D1001" s="25"/>
      <c r="E1001" s="25"/>
      <c r="F1001" s="31"/>
      <c r="G1001" s="34">
        <f>SUMIFS('BASE EXEC. Q.L'!N:N,'BASE EXEC. Q.L'!B:B,VOOS!A1001)</f>
        <v>0</v>
      </c>
      <c r="H1001" s="15" t="str">
        <f>IFERROR(_xlfn.XLOOKUP(A1001,'BASE SQL PLANTIO'!B:B,'BASE SQL PLANTIO'!T:T,"verificar",0),"")</f>
        <v/>
      </c>
      <c r="I1001" s="77" t="str">
        <f>IF(_xlfn.MINIFS('BASE SQL PLANTIO'!E:E,'BASE SQL PLANTIO'!B:B,VOOS!A1001)=0/1/1900,"",_xlfn.MINIFS('BASE SQL PLANTIO'!E:E,'BASE SQL PLANTIO'!B:B,VOOS!A1001))</f>
        <v/>
      </c>
      <c r="J1001" s="26"/>
      <c r="K1001" s="34" t="str">
        <f t="shared" si="46"/>
        <v/>
      </c>
      <c r="L1001" s="35" t="str">
        <f t="shared" si="47"/>
        <v/>
      </c>
      <c r="M1001" s="14"/>
      <c r="N1001" s="16"/>
    </row>
    <row r="1002" spans="1:14" ht="15.6" x14ac:dyDescent="0.3">
      <c r="A1002" s="13" t="str">
        <f t="shared" si="45"/>
        <v>-</v>
      </c>
      <c r="B1002" s="25"/>
      <c r="C1002" s="25"/>
      <c r="D1002" s="25"/>
      <c r="E1002" s="25"/>
      <c r="F1002" s="31"/>
      <c r="G1002" s="34">
        <f>SUMIFS('BASE EXEC. Q.L'!N:N,'BASE EXEC. Q.L'!B:B,VOOS!A1002)</f>
        <v>0</v>
      </c>
      <c r="H1002" s="15" t="str">
        <f>IFERROR(_xlfn.XLOOKUP(A1002,'BASE SQL PLANTIO'!B:B,'BASE SQL PLANTIO'!T:T,"verificar",0),"")</f>
        <v/>
      </c>
      <c r="I1002" s="77" t="str">
        <f>IF(_xlfn.MINIFS('BASE SQL PLANTIO'!E:E,'BASE SQL PLANTIO'!B:B,VOOS!A1002)=0/1/1900,"",_xlfn.MINIFS('BASE SQL PLANTIO'!E:E,'BASE SQL PLANTIO'!B:B,VOOS!A1002))</f>
        <v/>
      </c>
      <c r="J1002" s="26"/>
      <c r="K1002" s="34" t="str">
        <f t="shared" si="46"/>
        <v/>
      </c>
      <c r="L1002" s="35" t="str">
        <f t="shared" si="47"/>
        <v/>
      </c>
      <c r="M1002" s="14"/>
      <c r="N1002" s="16"/>
    </row>
    <row r="1003" spans="1:14" ht="15.6" x14ac:dyDescent="0.3">
      <c r="A1003" s="13" t="str">
        <f t="shared" si="45"/>
        <v>-</v>
      </c>
      <c r="B1003" s="27"/>
      <c r="C1003" s="26"/>
      <c r="D1003" s="26"/>
      <c r="E1003" s="26"/>
      <c r="F1003" s="26"/>
      <c r="G1003" s="34">
        <f>SUMIFS('BASE EXEC. Q.L'!N:N,'BASE EXEC. Q.L'!B:B,VOOS!A1003)</f>
        <v>0</v>
      </c>
      <c r="H1003" s="15" t="str">
        <f>IFERROR(_xlfn.XLOOKUP(A1003,'BASE SQL PLANTIO'!B:B,'BASE SQL PLANTIO'!T:T,"verificar",0),"")</f>
        <v/>
      </c>
      <c r="I1003" s="77" t="str">
        <f>IF(_xlfn.MINIFS('BASE SQL PLANTIO'!E:E,'BASE SQL PLANTIO'!B:B,VOOS!A1003)=0/1/1900,"",_xlfn.MINIFS('BASE SQL PLANTIO'!E:E,'BASE SQL PLANTIO'!B:B,VOOS!A1003))</f>
        <v/>
      </c>
      <c r="J1003" s="26"/>
      <c r="K1003" s="34" t="str">
        <f t="shared" si="46"/>
        <v/>
      </c>
      <c r="L1003" s="35" t="str">
        <f t="shared" si="47"/>
        <v/>
      </c>
      <c r="M1003" s="14"/>
      <c r="N1003" s="16"/>
    </row>
    <row r="1004" spans="1:14" ht="15.6" x14ac:dyDescent="0.3">
      <c r="A1004" s="13" t="str">
        <f t="shared" si="45"/>
        <v>-</v>
      </c>
      <c r="B1004" s="25"/>
      <c r="C1004" s="25"/>
      <c r="D1004" s="25"/>
      <c r="E1004" s="25"/>
      <c r="F1004" s="31"/>
      <c r="G1004" s="34">
        <f>SUMIFS('BASE EXEC. Q.L'!N:N,'BASE EXEC. Q.L'!B:B,VOOS!A1004)</f>
        <v>0</v>
      </c>
      <c r="H1004" s="15" t="str">
        <f>IFERROR(_xlfn.XLOOKUP(A1004,'BASE SQL PLANTIO'!B:B,'BASE SQL PLANTIO'!T:T,"verificar",0),"")</f>
        <v/>
      </c>
      <c r="I1004" s="77" t="str">
        <f>IF(_xlfn.MINIFS('BASE SQL PLANTIO'!E:E,'BASE SQL PLANTIO'!B:B,VOOS!A1004)=0/1/1900,"",_xlfn.MINIFS('BASE SQL PLANTIO'!E:E,'BASE SQL PLANTIO'!B:B,VOOS!A1004))</f>
        <v/>
      </c>
      <c r="J1004" s="26"/>
      <c r="K1004" s="34" t="str">
        <f t="shared" si="46"/>
        <v/>
      </c>
      <c r="L1004" s="35" t="str">
        <f t="shared" si="47"/>
        <v/>
      </c>
      <c r="M1004" s="14"/>
      <c r="N1004" s="16"/>
    </row>
    <row r="1005" spans="1:14" ht="15.6" x14ac:dyDescent="0.3">
      <c r="A1005" s="13" t="str">
        <f t="shared" si="45"/>
        <v>-</v>
      </c>
      <c r="B1005" s="25"/>
      <c r="C1005" s="25"/>
      <c r="D1005" s="25"/>
      <c r="E1005" s="25"/>
      <c r="F1005" s="31"/>
      <c r="G1005" s="34">
        <f>SUMIFS('BASE EXEC. Q.L'!N:N,'BASE EXEC. Q.L'!B:B,VOOS!A1005)</f>
        <v>0</v>
      </c>
      <c r="H1005" s="15" t="str">
        <f>IFERROR(_xlfn.XLOOKUP(A1005,'BASE SQL PLANTIO'!B:B,'BASE SQL PLANTIO'!T:T,"verificar",0),"")</f>
        <v/>
      </c>
      <c r="I1005" s="77" t="str">
        <f>IF(_xlfn.MINIFS('BASE SQL PLANTIO'!E:E,'BASE SQL PLANTIO'!B:B,VOOS!A1005)=0/1/1900,"",_xlfn.MINIFS('BASE SQL PLANTIO'!E:E,'BASE SQL PLANTIO'!B:B,VOOS!A1005))</f>
        <v/>
      </c>
      <c r="J1005" s="26"/>
      <c r="K1005" s="34" t="str">
        <f t="shared" si="46"/>
        <v/>
      </c>
      <c r="L1005" s="35" t="str">
        <f t="shared" si="47"/>
        <v/>
      </c>
      <c r="M1005" s="14"/>
      <c r="N1005" s="15"/>
    </row>
    <row r="1006" spans="1:14" ht="15.6" x14ac:dyDescent="0.3">
      <c r="A1006" s="13" t="str">
        <f t="shared" si="45"/>
        <v>-</v>
      </c>
      <c r="B1006" s="25"/>
      <c r="C1006" s="25"/>
      <c r="D1006" s="25"/>
      <c r="E1006" s="25"/>
      <c r="F1006" s="31"/>
      <c r="G1006" s="34">
        <f>SUMIFS('BASE EXEC. Q.L'!N:N,'BASE EXEC. Q.L'!B:B,VOOS!A1006)</f>
        <v>0</v>
      </c>
      <c r="H1006" s="15" t="str">
        <f>IFERROR(_xlfn.XLOOKUP(A1006,'BASE SQL PLANTIO'!B:B,'BASE SQL PLANTIO'!T:T,"verificar",0),"")</f>
        <v/>
      </c>
      <c r="I1006" s="77" t="str">
        <f>IF(_xlfn.MINIFS('BASE SQL PLANTIO'!E:E,'BASE SQL PLANTIO'!B:B,VOOS!A1006)=0/1/1900,"",_xlfn.MINIFS('BASE SQL PLANTIO'!E:E,'BASE SQL PLANTIO'!B:B,VOOS!A1006))</f>
        <v/>
      </c>
      <c r="J1006" s="26"/>
      <c r="K1006" s="34" t="str">
        <f t="shared" si="46"/>
        <v/>
      </c>
      <c r="L1006" s="35" t="str">
        <f t="shared" si="47"/>
        <v/>
      </c>
      <c r="M1006" s="14"/>
      <c r="N1006" s="16"/>
    </row>
    <row r="1007" spans="1:14" ht="15.6" x14ac:dyDescent="0.3">
      <c r="A1007" s="13" t="str">
        <f t="shared" si="45"/>
        <v>-</v>
      </c>
      <c r="B1007" s="27"/>
      <c r="C1007" s="26"/>
      <c r="D1007" s="26"/>
      <c r="E1007" s="26"/>
      <c r="F1007" s="26"/>
      <c r="G1007" s="34">
        <f>SUMIFS('BASE EXEC. Q.L'!N:N,'BASE EXEC. Q.L'!B:B,VOOS!A1007)</f>
        <v>0</v>
      </c>
      <c r="H1007" s="15" t="str">
        <f>IFERROR(_xlfn.XLOOKUP(A1007,'BASE SQL PLANTIO'!B:B,'BASE SQL PLANTIO'!T:T,"verificar",0),"")</f>
        <v/>
      </c>
      <c r="I1007" s="77" t="str">
        <f>IF(_xlfn.MINIFS('BASE SQL PLANTIO'!E:E,'BASE SQL PLANTIO'!B:B,VOOS!A1007)=0/1/1900,"",_xlfn.MINIFS('BASE SQL PLANTIO'!E:E,'BASE SQL PLANTIO'!B:B,VOOS!A1007))</f>
        <v/>
      </c>
      <c r="J1007" s="26"/>
      <c r="K1007" s="34" t="str">
        <f t="shared" si="46"/>
        <v/>
      </c>
      <c r="L1007" s="35" t="str">
        <f t="shared" si="47"/>
        <v/>
      </c>
      <c r="M1007" s="14"/>
      <c r="N1007" s="16"/>
    </row>
    <row r="1008" spans="1:14" ht="15.6" x14ac:dyDescent="0.3">
      <c r="A1008" s="13" t="str">
        <f t="shared" si="45"/>
        <v>-</v>
      </c>
      <c r="B1008" s="27"/>
      <c r="C1008" s="26"/>
      <c r="D1008" s="26"/>
      <c r="E1008" s="26"/>
      <c r="F1008" s="26"/>
      <c r="G1008" s="34">
        <f>SUMIFS('BASE EXEC. Q.L'!N:N,'BASE EXEC. Q.L'!B:B,VOOS!A1008)</f>
        <v>0</v>
      </c>
      <c r="H1008" s="15" t="str">
        <f>IFERROR(_xlfn.XLOOKUP(A1008,'BASE SQL PLANTIO'!B:B,'BASE SQL PLANTIO'!T:T,"verificar",0),"")</f>
        <v/>
      </c>
      <c r="I1008" s="77" t="str">
        <f>IF(_xlfn.MINIFS('BASE SQL PLANTIO'!E:E,'BASE SQL PLANTIO'!B:B,VOOS!A1008)=0/1/1900,"",_xlfn.MINIFS('BASE SQL PLANTIO'!E:E,'BASE SQL PLANTIO'!B:B,VOOS!A1008))</f>
        <v/>
      </c>
      <c r="J1008" s="26"/>
      <c r="K1008" s="34" t="str">
        <f t="shared" si="46"/>
        <v/>
      </c>
      <c r="L1008" s="35" t="str">
        <f t="shared" si="47"/>
        <v/>
      </c>
      <c r="M1008" s="14"/>
      <c r="N1008" s="16"/>
    </row>
    <row r="1009" spans="1:14" ht="15.6" x14ac:dyDescent="0.3">
      <c r="A1009" s="13" t="str">
        <f t="shared" si="45"/>
        <v>-</v>
      </c>
      <c r="B1009" s="25"/>
      <c r="C1009" s="25"/>
      <c r="D1009" s="25"/>
      <c r="E1009" s="25"/>
      <c r="F1009" s="31"/>
      <c r="G1009" s="34">
        <f>SUMIFS('BASE EXEC. Q.L'!N:N,'BASE EXEC. Q.L'!B:B,VOOS!A1009)</f>
        <v>0</v>
      </c>
      <c r="H1009" s="15" t="str">
        <f>IFERROR(_xlfn.XLOOKUP(A1009,'BASE SQL PLANTIO'!B:B,'BASE SQL PLANTIO'!T:T,"verificar",0),"")</f>
        <v/>
      </c>
      <c r="I1009" s="77" t="str">
        <f>IF(_xlfn.MINIFS('BASE SQL PLANTIO'!E:E,'BASE SQL PLANTIO'!B:B,VOOS!A1009)=0/1/1900,"",_xlfn.MINIFS('BASE SQL PLANTIO'!E:E,'BASE SQL PLANTIO'!B:B,VOOS!A1009))</f>
        <v/>
      </c>
      <c r="J1009" s="26"/>
      <c r="K1009" s="34" t="str">
        <f t="shared" si="46"/>
        <v/>
      </c>
      <c r="L1009" s="35" t="str">
        <f t="shared" si="47"/>
        <v/>
      </c>
      <c r="M1009" s="14"/>
      <c r="N1009" s="16"/>
    </row>
    <row r="1010" spans="1:14" ht="15.6" x14ac:dyDescent="0.3">
      <c r="A1010" s="13" t="str">
        <f t="shared" si="45"/>
        <v>-</v>
      </c>
      <c r="B1010" s="25"/>
      <c r="C1010" s="25"/>
      <c r="D1010" s="25"/>
      <c r="E1010" s="25"/>
      <c r="F1010" s="31"/>
      <c r="G1010" s="34">
        <f>SUMIFS('BASE EXEC. Q.L'!N:N,'BASE EXEC. Q.L'!B:B,VOOS!A1010)</f>
        <v>0</v>
      </c>
      <c r="H1010" s="15" t="str">
        <f>IFERROR(_xlfn.XLOOKUP(A1010,'BASE SQL PLANTIO'!B:B,'BASE SQL PLANTIO'!T:T,"verificar",0),"")</f>
        <v/>
      </c>
      <c r="I1010" s="77" t="str">
        <f>IF(_xlfn.MINIFS('BASE SQL PLANTIO'!E:E,'BASE SQL PLANTIO'!B:B,VOOS!A1010)=0/1/1900,"",_xlfn.MINIFS('BASE SQL PLANTIO'!E:E,'BASE SQL PLANTIO'!B:B,VOOS!A1010))</f>
        <v/>
      </c>
      <c r="J1010" s="26"/>
      <c r="K1010" s="34" t="str">
        <f t="shared" si="46"/>
        <v/>
      </c>
      <c r="L1010" s="35" t="str">
        <f t="shared" si="47"/>
        <v/>
      </c>
      <c r="M1010" s="14"/>
      <c r="N1010" s="15"/>
    </row>
    <row r="1011" spans="1:14" ht="15.6" x14ac:dyDescent="0.3">
      <c r="A1011" s="13" t="str">
        <f t="shared" si="45"/>
        <v>-</v>
      </c>
      <c r="B1011" s="25"/>
      <c r="C1011" s="25"/>
      <c r="D1011" s="25"/>
      <c r="E1011" s="25"/>
      <c r="F1011" s="31"/>
      <c r="G1011" s="34">
        <f>SUMIFS('BASE EXEC. Q.L'!N:N,'BASE EXEC. Q.L'!B:B,VOOS!A1011)</f>
        <v>0</v>
      </c>
      <c r="H1011" s="15" t="str">
        <f>IFERROR(_xlfn.XLOOKUP(A1011,'BASE SQL PLANTIO'!B:B,'BASE SQL PLANTIO'!T:T,"verificar",0),"")</f>
        <v/>
      </c>
      <c r="I1011" s="77" t="str">
        <f>IF(_xlfn.MINIFS('BASE SQL PLANTIO'!E:E,'BASE SQL PLANTIO'!B:B,VOOS!A1011)=0/1/1900,"",_xlfn.MINIFS('BASE SQL PLANTIO'!E:E,'BASE SQL PLANTIO'!B:B,VOOS!A1011))</f>
        <v/>
      </c>
      <c r="J1011" s="26"/>
      <c r="K1011" s="34" t="str">
        <f t="shared" si="46"/>
        <v/>
      </c>
      <c r="L1011" s="35" t="str">
        <f t="shared" si="47"/>
        <v/>
      </c>
      <c r="M1011" s="14"/>
      <c r="N1011" s="16"/>
    </row>
    <row r="1012" spans="1:14" ht="15.6" x14ac:dyDescent="0.3">
      <c r="A1012" s="13" t="str">
        <f t="shared" si="45"/>
        <v>-</v>
      </c>
      <c r="B1012" s="27"/>
      <c r="C1012" s="26"/>
      <c r="D1012" s="26"/>
      <c r="E1012" s="26"/>
      <c r="F1012" s="26"/>
      <c r="G1012" s="34">
        <f>SUMIFS('BASE EXEC. Q.L'!N:N,'BASE EXEC. Q.L'!B:B,VOOS!A1012)</f>
        <v>0</v>
      </c>
      <c r="H1012" s="15" t="str">
        <f>IFERROR(_xlfn.XLOOKUP(A1012,'BASE SQL PLANTIO'!B:B,'BASE SQL PLANTIO'!T:T,"verificar",0),"")</f>
        <v/>
      </c>
      <c r="I1012" s="77" t="str">
        <f>IF(_xlfn.MINIFS('BASE SQL PLANTIO'!E:E,'BASE SQL PLANTIO'!B:B,VOOS!A1012)=0/1/1900,"",_xlfn.MINIFS('BASE SQL PLANTIO'!E:E,'BASE SQL PLANTIO'!B:B,VOOS!A1012))</f>
        <v/>
      </c>
      <c r="J1012" s="26"/>
      <c r="K1012" s="34" t="str">
        <f t="shared" si="46"/>
        <v/>
      </c>
      <c r="L1012" s="35" t="str">
        <f t="shared" si="47"/>
        <v/>
      </c>
      <c r="M1012" s="14"/>
      <c r="N1012" s="16"/>
    </row>
    <row r="1013" spans="1:14" ht="15.6" x14ac:dyDescent="0.3">
      <c r="A1013" s="13" t="str">
        <f t="shared" si="45"/>
        <v>-</v>
      </c>
      <c r="B1013" s="25"/>
      <c r="C1013" s="25"/>
      <c r="D1013" s="25"/>
      <c r="E1013" s="25"/>
      <c r="F1013" s="31"/>
      <c r="G1013" s="34">
        <f>SUMIFS('BASE EXEC. Q.L'!N:N,'BASE EXEC. Q.L'!B:B,VOOS!A1013)</f>
        <v>0</v>
      </c>
      <c r="H1013" s="15" t="str">
        <f>IFERROR(_xlfn.XLOOKUP(A1013,'BASE SQL PLANTIO'!B:B,'BASE SQL PLANTIO'!T:T,"verificar",0),"")</f>
        <v/>
      </c>
      <c r="I1013" s="77" t="str">
        <f>IF(_xlfn.MINIFS('BASE SQL PLANTIO'!E:E,'BASE SQL PLANTIO'!B:B,VOOS!A1013)=0/1/1900,"",_xlfn.MINIFS('BASE SQL PLANTIO'!E:E,'BASE SQL PLANTIO'!B:B,VOOS!A1013))</f>
        <v/>
      </c>
      <c r="J1013" s="26"/>
      <c r="K1013" s="34" t="str">
        <f t="shared" si="46"/>
        <v/>
      </c>
      <c r="L1013" s="35" t="str">
        <f t="shared" si="47"/>
        <v/>
      </c>
      <c r="M1013" s="14"/>
      <c r="N1013" s="16"/>
    </row>
    <row r="1014" spans="1:14" ht="15.6" x14ac:dyDescent="0.3">
      <c r="A1014" s="13" t="str">
        <f t="shared" si="45"/>
        <v>-</v>
      </c>
      <c r="B1014" s="25"/>
      <c r="C1014" s="25"/>
      <c r="D1014" s="25"/>
      <c r="E1014" s="25"/>
      <c r="F1014" s="31"/>
      <c r="G1014" s="34">
        <f>SUMIFS('BASE EXEC. Q.L'!N:N,'BASE EXEC. Q.L'!B:B,VOOS!A1014)</f>
        <v>0</v>
      </c>
      <c r="H1014" s="15" t="str">
        <f>IFERROR(_xlfn.XLOOKUP(A1014,'BASE SQL PLANTIO'!B:B,'BASE SQL PLANTIO'!T:T,"verificar",0),"")</f>
        <v/>
      </c>
      <c r="I1014" s="77" t="str">
        <f>IF(_xlfn.MINIFS('BASE SQL PLANTIO'!E:E,'BASE SQL PLANTIO'!B:B,VOOS!A1014)=0/1/1900,"",_xlfn.MINIFS('BASE SQL PLANTIO'!E:E,'BASE SQL PLANTIO'!B:B,VOOS!A1014))</f>
        <v/>
      </c>
      <c r="J1014" s="26"/>
      <c r="K1014" s="34" t="str">
        <f t="shared" si="46"/>
        <v/>
      </c>
      <c r="L1014" s="35" t="str">
        <f t="shared" si="47"/>
        <v/>
      </c>
      <c r="M1014" s="14"/>
      <c r="N1014" s="16"/>
    </row>
    <row r="1015" spans="1:14" ht="15.6" x14ac:dyDescent="0.3">
      <c r="A1015" s="13" t="str">
        <f t="shared" si="45"/>
        <v>-</v>
      </c>
      <c r="B1015" s="27"/>
      <c r="C1015" s="26"/>
      <c r="D1015" s="26"/>
      <c r="E1015" s="26"/>
      <c r="F1015" s="26"/>
      <c r="G1015" s="34">
        <f>SUMIFS('BASE EXEC. Q.L'!N:N,'BASE EXEC. Q.L'!B:B,VOOS!A1015)</f>
        <v>0</v>
      </c>
      <c r="H1015" s="15" t="str">
        <f>IFERROR(_xlfn.XLOOKUP(A1015,'BASE SQL PLANTIO'!B:B,'BASE SQL PLANTIO'!T:T,"verificar",0),"")</f>
        <v/>
      </c>
      <c r="I1015" s="77" t="str">
        <f>IF(_xlfn.MINIFS('BASE SQL PLANTIO'!E:E,'BASE SQL PLANTIO'!B:B,VOOS!A1015)=0/1/1900,"",_xlfn.MINIFS('BASE SQL PLANTIO'!E:E,'BASE SQL PLANTIO'!B:B,VOOS!A1015))</f>
        <v/>
      </c>
      <c r="J1015" s="26"/>
      <c r="K1015" s="34" t="str">
        <f t="shared" si="46"/>
        <v/>
      </c>
      <c r="L1015" s="35" t="str">
        <f t="shared" si="47"/>
        <v/>
      </c>
      <c r="M1015" s="14"/>
      <c r="N1015" s="16"/>
    </row>
    <row r="1016" spans="1:14" ht="15.6" x14ac:dyDescent="0.3">
      <c r="A1016" s="13" t="str">
        <f t="shared" si="45"/>
        <v>-</v>
      </c>
      <c r="B1016" s="25"/>
      <c r="C1016" s="25"/>
      <c r="D1016" s="25"/>
      <c r="E1016" s="25"/>
      <c r="F1016" s="31"/>
      <c r="G1016" s="34">
        <f>SUMIFS('BASE EXEC. Q.L'!N:N,'BASE EXEC. Q.L'!B:B,VOOS!A1016)</f>
        <v>0</v>
      </c>
      <c r="H1016" s="15" t="str">
        <f>IFERROR(_xlfn.XLOOKUP(A1016,'BASE SQL PLANTIO'!B:B,'BASE SQL PLANTIO'!T:T,"verificar",0),"")</f>
        <v/>
      </c>
      <c r="I1016" s="77" t="str">
        <f>IF(_xlfn.MINIFS('BASE SQL PLANTIO'!E:E,'BASE SQL PLANTIO'!B:B,VOOS!A1016)=0/1/1900,"",_xlfn.MINIFS('BASE SQL PLANTIO'!E:E,'BASE SQL PLANTIO'!B:B,VOOS!A1016))</f>
        <v/>
      </c>
      <c r="J1016" s="26"/>
      <c r="K1016" s="34" t="str">
        <f t="shared" si="46"/>
        <v/>
      </c>
      <c r="L1016" s="35" t="str">
        <f t="shared" si="47"/>
        <v/>
      </c>
      <c r="M1016" s="14"/>
      <c r="N1016" s="16"/>
    </row>
    <row r="1017" spans="1:14" ht="15.6" x14ac:dyDescent="0.3">
      <c r="A1017" s="13" t="str">
        <f t="shared" si="45"/>
        <v>-</v>
      </c>
      <c r="B1017" s="25"/>
      <c r="C1017" s="25"/>
      <c r="D1017" s="25"/>
      <c r="E1017" s="25"/>
      <c r="F1017" s="31"/>
      <c r="G1017" s="34">
        <f>SUMIFS('BASE EXEC. Q.L'!N:N,'BASE EXEC. Q.L'!B:B,VOOS!A1017)</f>
        <v>0</v>
      </c>
      <c r="H1017" s="15" t="str">
        <f>IFERROR(_xlfn.XLOOKUP(A1017,'BASE SQL PLANTIO'!B:B,'BASE SQL PLANTIO'!T:T,"verificar",0),"")</f>
        <v/>
      </c>
      <c r="I1017" s="77" t="str">
        <f>IF(_xlfn.MINIFS('BASE SQL PLANTIO'!E:E,'BASE SQL PLANTIO'!B:B,VOOS!A1017)=0/1/1900,"",_xlfn.MINIFS('BASE SQL PLANTIO'!E:E,'BASE SQL PLANTIO'!B:B,VOOS!A1017))</f>
        <v/>
      </c>
      <c r="J1017" s="26"/>
      <c r="K1017" s="34" t="str">
        <f t="shared" si="46"/>
        <v/>
      </c>
      <c r="L1017" s="35" t="str">
        <f t="shared" si="47"/>
        <v/>
      </c>
      <c r="M1017" s="14"/>
      <c r="N1017" s="16"/>
    </row>
    <row r="1018" spans="1:14" ht="15.6" x14ac:dyDescent="0.3">
      <c r="A1018" s="13" t="str">
        <f t="shared" si="45"/>
        <v>-</v>
      </c>
      <c r="B1018" s="27"/>
      <c r="C1018" s="26"/>
      <c r="D1018" s="26"/>
      <c r="E1018" s="26"/>
      <c r="F1018" s="26"/>
      <c r="G1018" s="34">
        <f>SUMIFS('BASE EXEC. Q.L'!N:N,'BASE EXEC. Q.L'!B:B,VOOS!A1018)</f>
        <v>0</v>
      </c>
      <c r="H1018" s="15" t="str">
        <f>IFERROR(_xlfn.XLOOKUP(A1018,'BASE SQL PLANTIO'!B:B,'BASE SQL PLANTIO'!T:T,"verificar",0),"")</f>
        <v/>
      </c>
      <c r="I1018" s="77" t="str">
        <f>IF(_xlfn.MINIFS('BASE SQL PLANTIO'!E:E,'BASE SQL PLANTIO'!B:B,VOOS!A1018)=0/1/1900,"",_xlfn.MINIFS('BASE SQL PLANTIO'!E:E,'BASE SQL PLANTIO'!B:B,VOOS!A1018))</f>
        <v/>
      </c>
      <c r="J1018" s="26"/>
      <c r="K1018" s="34" t="str">
        <f t="shared" si="46"/>
        <v/>
      </c>
      <c r="L1018" s="35" t="str">
        <f t="shared" si="47"/>
        <v/>
      </c>
      <c r="M1018" s="14"/>
      <c r="N1018" s="16"/>
    </row>
    <row r="1019" spans="1:14" ht="15.6" x14ac:dyDescent="0.3">
      <c r="A1019" s="13" t="str">
        <f t="shared" si="45"/>
        <v>-</v>
      </c>
      <c r="B1019" s="25"/>
      <c r="C1019" s="25"/>
      <c r="D1019" s="25"/>
      <c r="E1019" s="25"/>
      <c r="F1019" s="31"/>
      <c r="G1019" s="34">
        <f>SUMIFS('BASE EXEC. Q.L'!N:N,'BASE EXEC. Q.L'!B:B,VOOS!A1019)</f>
        <v>0</v>
      </c>
      <c r="H1019" s="15" t="str">
        <f>IFERROR(_xlfn.XLOOKUP(A1019,'BASE SQL PLANTIO'!B:B,'BASE SQL PLANTIO'!T:T,"verificar",0),"")</f>
        <v/>
      </c>
      <c r="I1019" s="77" t="str">
        <f>IF(_xlfn.MINIFS('BASE SQL PLANTIO'!E:E,'BASE SQL PLANTIO'!B:B,VOOS!A1019)=0/1/1900,"",_xlfn.MINIFS('BASE SQL PLANTIO'!E:E,'BASE SQL PLANTIO'!B:B,VOOS!A1019))</f>
        <v/>
      </c>
      <c r="J1019" s="26"/>
      <c r="K1019" s="34" t="str">
        <f t="shared" si="46"/>
        <v/>
      </c>
      <c r="L1019" s="35" t="str">
        <f t="shared" si="47"/>
        <v/>
      </c>
      <c r="M1019" s="14"/>
      <c r="N1019" s="16"/>
    </row>
    <row r="1020" spans="1:14" ht="15.6" x14ac:dyDescent="0.3">
      <c r="A1020" s="13" t="str">
        <f t="shared" si="45"/>
        <v>-</v>
      </c>
      <c r="B1020" s="27"/>
      <c r="C1020" s="26"/>
      <c r="D1020" s="26"/>
      <c r="E1020" s="26"/>
      <c r="F1020" s="26"/>
      <c r="G1020" s="34">
        <f>SUMIFS('BASE EXEC. Q.L'!N:N,'BASE EXEC. Q.L'!B:B,VOOS!A1020)</f>
        <v>0</v>
      </c>
      <c r="H1020" s="15" t="str">
        <f>IFERROR(_xlfn.XLOOKUP(A1020,'BASE SQL PLANTIO'!B:B,'BASE SQL PLANTIO'!T:T,"verificar",0),"")</f>
        <v/>
      </c>
      <c r="I1020" s="77" t="str">
        <f>IF(_xlfn.MINIFS('BASE SQL PLANTIO'!E:E,'BASE SQL PLANTIO'!B:B,VOOS!A1020)=0/1/1900,"",_xlfn.MINIFS('BASE SQL PLANTIO'!E:E,'BASE SQL PLANTIO'!B:B,VOOS!A1020))</f>
        <v/>
      </c>
      <c r="J1020" s="26"/>
      <c r="K1020" s="34" t="str">
        <f t="shared" si="46"/>
        <v/>
      </c>
      <c r="L1020" s="35" t="str">
        <f t="shared" si="47"/>
        <v/>
      </c>
      <c r="M1020" s="14"/>
      <c r="N1020" s="15"/>
    </row>
    <row r="1021" spans="1:14" ht="15.6" x14ac:dyDescent="0.3">
      <c r="A1021" s="13" t="str">
        <f t="shared" si="45"/>
        <v>-</v>
      </c>
      <c r="B1021" s="27"/>
      <c r="C1021" s="26"/>
      <c r="D1021" s="26"/>
      <c r="E1021" s="26"/>
      <c r="F1021" s="26"/>
      <c r="G1021" s="34">
        <f>SUMIFS('BASE EXEC. Q.L'!N:N,'BASE EXEC. Q.L'!B:B,VOOS!A1021)</f>
        <v>0</v>
      </c>
      <c r="H1021" s="15" t="str">
        <f>IFERROR(_xlfn.XLOOKUP(A1021,'BASE SQL PLANTIO'!B:B,'BASE SQL PLANTIO'!T:T,"verificar",0),"")</f>
        <v/>
      </c>
      <c r="I1021" s="77" t="str">
        <f>IF(_xlfn.MINIFS('BASE SQL PLANTIO'!E:E,'BASE SQL PLANTIO'!B:B,VOOS!A1021)=0/1/1900,"",_xlfn.MINIFS('BASE SQL PLANTIO'!E:E,'BASE SQL PLANTIO'!B:B,VOOS!A1021))</f>
        <v/>
      </c>
      <c r="J1021" s="26"/>
      <c r="K1021" s="34" t="str">
        <f t="shared" si="46"/>
        <v/>
      </c>
      <c r="L1021" s="35" t="str">
        <f t="shared" si="47"/>
        <v/>
      </c>
      <c r="M1021" s="14"/>
      <c r="N1021" s="16"/>
    </row>
    <row r="1022" spans="1:14" ht="15.6" x14ac:dyDescent="0.3">
      <c r="A1022" s="13" t="str">
        <f t="shared" si="45"/>
        <v>-</v>
      </c>
      <c r="B1022" s="27"/>
      <c r="C1022" s="26"/>
      <c r="D1022" s="26"/>
      <c r="E1022" s="26"/>
      <c r="F1022" s="26"/>
      <c r="G1022" s="34">
        <f>SUMIFS('BASE EXEC. Q.L'!N:N,'BASE EXEC. Q.L'!B:B,VOOS!A1022)</f>
        <v>0</v>
      </c>
      <c r="H1022" s="15" t="str">
        <f>IFERROR(_xlfn.XLOOKUP(A1022,'BASE SQL PLANTIO'!B:B,'BASE SQL PLANTIO'!T:T,"verificar",0),"")</f>
        <v/>
      </c>
      <c r="I1022" s="77" t="str">
        <f>IF(_xlfn.MINIFS('BASE SQL PLANTIO'!E:E,'BASE SQL PLANTIO'!B:B,VOOS!A1022)=0/1/1900,"",_xlfn.MINIFS('BASE SQL PLANTIO'!E:E,'BASE SQL PLANTIO'!B:B,VOOS!A1022))</f>
        <v/>
      </c>
      <c r="J1022" s="26"/>
      <c r="K1022" s="34" t="str">
        <f t="shared" si="46"/>
        <v/>
      </c>
      <c r="L1022" s="35" t="str">
        <f t="shared" si="47"/>
        <v/>
      </c>
      <c r="M1022" s="14"/>
      <c r="N1022" s="16"/>
    </row>
    <row r="1023" spans="1:14" ht="15.6" x14ac:dyDescent="0.3">
      <c r="A1023" s="13" t="str">
        <f t="shared" si="45"/>
        <v>-</v>
      </c>
      <c r="B1023" s="25"/>
      <c r="C1023" s="25"/>
      <c r="D1023" s="25"/>
      <c r="E1023" s="25"/>
      <c r="F1023" s="31"/>
      <c r="G1023" s="34">
        <f>SUMIFS('BASE EXEC. Q.L'!N:N,'BASE EXEC. Q.L'!B:B,VOOS!A1023)</f>
        <v>0</v>
      </c>
      <c r="H1023" s="15" t="str">
        <f>IFERROR(_xlfn.XLOOKUP(A1023,'BASE SQL PLANTIO'!B:B,'BASE SQL PLANTIO'!T:T,"verificar",0),"")</f>
        <v/>
      </c>
      <c r="I1023" s="77" t="str">
        <f>IF(_xlfn.MINIFS('BASE SQL PLANTIO'!E:E,'BASE SQL PLANTIO'!B:B,VOOS!A1023)=0/1/1900,"",_xlfn.MINIFS('BASE SQL PLANTIO'!E:E,'BASE SQL PLANTIO'!B:B,VOOS!A1023))</f>
        <v/>
      </c>
      <c r="J1023" s="26"/>
      <c r="K1023" s="34" t="str">
        <f t="shared" si="46"/>
        <v/>
      </c>
      <c r="L1023" s="35" t="str">
        <f t="shared" si="47"/>
        <v/>
      </c>
      <c r="M1023" s="14"/>
      <c r="N1023" s="16"/>
    </row>
    <row r="1024" spans="1:14" ht="15.6" x14ac:dyDescent="0.3">
      <c r="A1024" s="13" t="str">
        <f t="shared" si="45"/>
        <v>-</v>
      </c>
      <c r="B1024" s="27"/>
      <c r="C1024" s="26"/>
      <c r="D1024" s="26"/>
      <c r="E1024" s="26"/>
      <c r="F1024" s="26"/>
      <c r="G1024" s="34">
        <f>SUMIFS('BASE EXEC. Q.L'!N:N,'BASE EXEC. Q.L'!B:B,VOOS!A1024)</f>
        <v>0</v>
      </c>
      <c r="H1024" s="15" t="str">
        <f>IFERROR(_xlfn.XLOOKUP(A1024,'BASE SQL PLANTIO'!B:B,'BASE SQL PLANTIO'!T:T,"verificar",0),"")</f>
        <v/>
      </c>
      <c r="I1024" s="77" t="str">
        <f>IF(_xlfn.MINIFS('BASE SQL PLANTIO'!E:E,'BASE SQL PLANTIO'!B:B,VOOS!A1024)=0/1/1900,"",_xlfn.MINIFS('BASE SQL PLANTIO'!E:E,'BASE SQL PLANTIO'!B:B,VOOS!A1024))</f>
        <v/>
      </c>
      <c r="J1024" s="26"/>
      <c r="K1024" s="34" t="str">
        <f t="shared" si="46"/>
        <v/>
      </c>
      <c r="L1024" s="35" t="str">
        <f t="shared" si="47"/>
        <v/>
      </c>
      <c r="M1024" s="14"/>
      <c r="N1024" s="16"/>
    </row>
    <row r="1025" spans="1:14" ht="15.6" x14ac:dyDescent="0.3">
      <c r="A1025" s="13" t="str">
        <f t="shared" si="45"/>
        <v>-</v>
      </c>
      <c r="B1025" s="25"/>
      <c r="C1025" s="25"/>
      <c r="D1025" s="25"/>
      <c r="E1025" s="25"/>
      <c r="F1025" s="31"/>
      <c r="G1025" s="34">
        <f>SUMIFS('BASE EXEC. Q.L'!N:N,'BASE EXEC. Q.L'!B:B,VOOS!A1025)</f>
        <v>0</v>
      </c>
      <c r="H1025" s="15" t="str">
        <f>IFERROR(_xlfn.XLOOKUP(A1025,'BASE SQL PLANTIO'!B:B,'BASE SQL PLANTIO'!T:T,"verificar",0),"")</f>
        <v/>
      </c>
      <c r="I1025" s="77" t="str">
        <f>IF(_xlfn.MINIFS('BASE SQL PLANTIO'!E:E,'BASE SQL PLANTIO'!B:B,VOOS!A1025)=0/1/1900,"",_xlfn.MINIFS('BASE SQL PLANTIO'!E:E,'BASE SQL PLANTIO'!B:B,VOOS!A1025))</f>
        <v/>
      </c>
      <c r="J1025" s="26"/>
      <c r="K1025" s="34" t="str">
        <f t="shared" si="46"/>
        <v/>
      </c>
      <c r="L1025" s="35" t="str">
        <f t="shared" si="47"/>
        <v/>
      </c>
      <c r="M1025" s="14"/>
      <c r="N1025" s="16"/>
    </row>
    <row r="1026" spans="1:14" ht="15.6" x14ac:dyDescent="0.3">
      <c r="A1026" s="13" t="str">
        <f t="shared" si="45"/>
        <v>-</v>
      </c>
      <c r="B1026" s="27"/>
      <c r="C1026" s="26"/>
      <c r="D1026" s="26"/>
      <c r="E1026" s="26"/>
      <c r="F1026" s="26"/>
      <c r="G1026" s="34">
        <f>SUMIFS('BASE EXEC. Q.L'!N:N,'BASE EXEC. Q.L'!B:B,VOOS!A1026)</f>
        <v>0</v>
      </c>
      <c r="H1026" s="15" t="str">
        <f>IFERROR(_xlfn.XLOOKUP(A1026,'BASE SQL PLANTIO'!B:B,'BASE SQL PLANTIO'!T:T,"verificar",0),"")</f>
        <v/>
      </c>
      <c r="I1026" s="77" t="str">
        <f>IF(_xlfn.MINIFS('BASE SQL PLANTIO'!E:E,'BASE SQL PLANTIO'!B:B,VOOS!A1026)=0/1/1900,"",_xlfn.MINIFS('BASE SQL PLANTIO'!E:E,'BASE SQL PLANTIO'!B:B,VOOS!A1026))</f>
        <v/>
      </c>
      <c r="J1026" s="26"/>
      <c r="K1026" s="34" t="str">
        <f t="shared" si="46"/>
        <v/>
      </c>
      <c r="L1026" s="35" t="str">
        <f t="shared" si="47"/>
        <v/>
      </c>
      <c r="M1026" s="14"/>
      <c r="N1026" s="16"/>
    </row>
    <row r="1027" spans="1:14" ht="15.6" x14ac:dyDescent="0.3">
      <c r="A1027" s="13" t="str">
        <f t="shared" si="45"/>
        <v>-</v>
      </c>
      <c r="B1027" s="27"/>
      <c r="C1027" s="26"/>
      <c r="D1027" s="26"/>
      <c r="E1027" s="26"/>
      <c r="F1027" s="26"/>
      <c r="G1027" s="34">
        <f>SUMIFS('BASE EXEC. Q.L'!N:N,'BASE EXEC. Q.L'!B:B,VOOS!A1027)</f>
        <v>0</v>
      </c>
      <c r="H1027" s="15" t="str">
        <f>IFERROR(_xlfn.XLOOKUP(A1027,'BASE SQL PLANTIO'!B:B,'BASE SQL PLANTIO'!T:T,"verificar",0),"")</f>
        <v/>
      </c>
      <c r="I1027" s="77" t="str">
        <f>IF(_xlfn.MINIFS('BASE SQL PLANTIO'!E:E,'BASE SQL PLANTIO'!B:B,VOOS!A1027)=0/1/1900,"",_xlfn.MINIFS('BASE SQL PLANTIO'!E:E,'BASE SQL PLANTIO'!B:B,VOOS!A1027))</f>
        <v/>
      </c>
      <c r="J1027" s="26"/>
      <c r="K1027" s="34" t="str">
        <f t="shared" si="46"/>
        <v/>
      </c>
      <c r="L1027" s="35" t="str">
        <f t="shared" si="47"/>
        <v/>
      </c>
      <c r="M1027" s="14"/>
      <c r="N1027" s="16"/>
    </row>
    <row r="1028" spans="1:14" ht="15.6" x14ac:dyDescent="0.3">
      <c r="A1028" s="13" t="str">
        <f t="shared" si="45"/>
        <v>-</v>
      </c>
      <c r="B1028" s="25"/>
      <c r="C1028" s="25"/>
      <c r="D1028" s="25"/>
      <c r="E1028" s="25"/>
      <c r="F1028" s="31"/>
      <c r="G1028" s="34">
        <f>SUMIFS('BASE EXEC. Q.L'!N:N,'BASE EXEC. Q.L'!B:B,VOOS!A1028)</f>
        <v>0</v>
      </c>
      <c r="H1028" s="15" t="str">
        <f>IFERROR(_xlfn.XLOOKUP(A1028,'BASE SQL PLANTIO'!B:B,'BASE SQL PLANTIO'!T:T,"verificar",0),"")</f>
        <v/>
      </c>
      <c r="I1028" s="77" t="str">
        <f>IF(_xlfn.MINIFS('BASE SQL PLANTIO'!E:E,'BASE SQL PLANTIO'!B:B,VOOS!A1028)=0/1/1900,"",_xlfn.MINIFS('BASE SQL PLANTIO'!E:E,'BASE SQL PLANTIO'!B:B,VOOS!A1028))</f>
        <v/>
      </c>
      <c r="J1028" s="26"/>
      <c r="K1028" s="34" t="str">
        <f t="shared" si="46"/>
        <v/>
      </c>
      <c r="L1028" s="35" t="str">
        <f t="shared" si="47"/>
        <v/>
      </c>
      <c r="M1028" s="14"/>
      <c r="N1028" s="16"/>
    </row>
    <row r="1029" spans="1:14" ht="15.6" x14ac:dyDescent="0.3">
      <c r="A1029" s="13" t="str">
        <f t="shared" ref="A1029:A1092" si="48">CONCATENATE(B1029,"-",E1029)</f>
        <v>-</v>
      </c>
      <c r="B1029" s="25"/>
      <c r="C1029" s="25"/>
      <c r="D1029" s="25"/>
      <c r="E1029" s="25"/>
      <c r="F1029" s="31"/>
      <c r="G1029" s="34">
        <f>SUMIFS('BASE EXEC. Q.L'!N:N,'BASE EXEC. Q.L'!B:B,VOOS!A1029)</f>
        <v>0</v>
      </c>
      <c r="H1029" s="15" t="str">
        <f>IFERROR(_xlfn.XLOOKUP(A1029,'BASE SQL PLANTIO'!B:B,'BASE SQL PLANTIO'!T:T,"verificar",0),"")</f>
        <v/>
      </c>
      <c r="I1029" s="77" t="str">
        <f>IF(_xlfn.MINIFS('BASE SQL PLANTIO'!E:E,'BASE SQL PLANTIO'!B:B,VOOS!A1029)=0/1/1900,"",_xlfn.MINIFS('BASE SQL PLANTIO'!E:E,'BASE SQL PLANTIO'!B:B,VOOS!A1029))</f>
        <v/>
      </c>
      <c r="J1029" s="26"/>
      <c r="K1029" s="34" t="str">
        <f t="shared" ref="K1029:K1092" si="49">IF(I1029="","",$K$3-I1029)</f>
        <v/>
      </c>
      <c r="L1029" s="35" t="str">
        <f t="shared" ref="L1029:L1092" si="50">K1029</f>
        <v/>
      </c>
      <c r="M1029" s="14"/>
      <c r="N1029" s="16"/>
    </row>
    <row r="1030" spans="1:14" ht="15.6" x14ac:dyDescent="0.3">
      <c r="A1030" s="13" t="str">
        <f t="shared" si="48"/>
        <v>-</v>
      </c>
      <c r="B1030" s="25"/>
      <c r="C1030" s="25"/>
      <c r="D1030" s="25"/>
      <c r="E1030" s="25"/>
      <c r="F1030" s="31"/>
      <c r="G1030" s="34">
        <f>SUMIFS('BASE EXEC. Q.L'!N:N,'BASE EXEC. Q.L'!B:B,VOOS!A1030)</f>
        <v>0</v>
      </c>
      <c r="H1030" s="15" t="str">
        <f>IFERROR(_xlfn.XLOOKUP(A1030,'BASE SQL PLANTIO'!B:B,'BASE SQL PLANTIO'!T:T,"verificar",0),"")</f>
        <v/>
      </c>
      <c r="I1030" s="77" t="str">
        <f>IF(_xlfn.MINIFS('BASE SQL PLANTIO'!E:E,'BASE SQL PLANTIO'!B:B,VOOS!A1030)=0/1/1900,"",_xlfn.MINIFS('BASE SQL PLANTIO'!E:E,'BASE SQL PLANTIO'!B:B,VOOS!A1030))</f>
        <v/>
      </c>
      <c r="J1030" s="26"/>
      <c r="K1030" s="34" t="str">
        <f t="shared" si="49"/>
        <v/>
      </c>
      <c r="L1030" s="35" t="str">
        <f t="shared" si="50"/>
        <v/>
      </c>
      <c r="M1030" s="14"/>
      <c r="N1030" s="15"/>
    </row>
    <row r="1031" spans="1:14" ht="15.6" x14ac:dyDescent="0.3">
      <c r="A1031" s="13" t="str">
        <f t="shared" si="48"/>
        <v>-</v>
      </c>
      <c r="B1031" s="27"/>
      <c r="C1031" s="26"/>
      <c r="D1031" s="26"/>
      <c r="E1031" s="26"/>
      <c r="F1031" s="26"/>
      <c r="G1031" s="34">
        <f>SUMIFS('BASE EXEC. Q.L'!N:N,'BASE EXEC. Q.L'!B:B,VOOS!A1031)</f>
        <v>0</v>
      </c>
      <c r="H1031" s="15" t="str">
        <f>IFERROR(_xlfn.XLOOKUP(A1031,'BASE SQL PLANTIO'!B:B,'BASE SQL PLANTIO'!T:T,"verificar",0),"")</f>
        <v/>
      </c>
      <c r="I1031" s="77" t="str">
        <f>IF(_xlfn.MINIFS('BASE SQL PLANTIO'!E:E,'BASE SQL PLANTIO'!B:B,VOOS!A1031)=0/1/1900,"",_xlfn.MINIFS('BASE SQL PLANTIO'!E:E,'BASE SQL PLANTIO'!B:B,VOOS!A1031))</f>
        <v/>
      </c>
      <c r="J1031" s="26"/>
      <c r="K1031" s="34" t="str">
        <f t="shared" si="49"/>
        <v/>
      </c>
      <c r="L1031" s="35" t="str">
        <f t="shared" si="50"/>
        <v/>
      </c>
      <c r="M1031" s="14"/>
      <c r="N1031" s="16"/>
    </row>
    <row r="1032" spans="1:14" ht="15.6" x14ac:dyDescent="0.3">
      <c r="A1032" s="13" t="str">
        <f t="shared" si="48"/>
        <v>-</v>
      </c>
      <c r="B1032" s="27"/>
      <c r="C1032" s="26"/>
      <c r="D1032" s="26"/>
      <c r="E1032" s="26"/>
      <c r="F1032" s="26"/>
      <c r="G1032" s="34">
        <f>SUMIFS('BASE EXEC. Q.L'!N:N,'BASE EXEC. Q.L'!B:B,VOOS!A1032)</f>
        <v>0</v>
      </c>
      <c r="H1032" s="15" t="str">
        <f>IFERROR(_xlfn.XLOOKUP(A1032,'BASE SQL PLANTIO'!B:B,'BASE SQL PLANTIO'!T:T,"verificar",0),"")</f>
        <v/>
      </c>
      <c r="I1032" s="77" t="str">
        <f>IF(_xlfn.MINIFS('BASE SQL PLANTIO'!E:E,'BASE SQL PLANTIO'!B:B,VOOS!A1032)=0/1/1900,"",_xlfn.MINIFS('BASE SQL PLANTIO'!E:E,'BASE SQL PLANTIO'!B:B,VOOS!A1032))</f>
        <v/>
      </c>
      <c r="J1032" s="26"/>
      <c r="K1032" s="34" t="str">
        <f t="shared" si="49"/>
        <v/>
      </c>
      <c r="L1032" s="35" t="str">
        <f t="shared" si="50"/>
        <v/>
      </c>
      <c r="M1032" s="14"/>
      <c r="N1032" s="16"/>
    </row>
    <row r="1033" spans="1:14" ht="15.6" x14ac:dyDescent="0.3">
      <c r="A1033" s="13" t="str">
        <f t="shared" si="48"/>
        <v>-</v>
      </c>
      <c r="B1033" s="25"/>
      <c r="C1033" s="25"/>
      <c r="D1033" s="25"/>
      <c r="E1033" s="25"/>
      <c r="F1033" s="31"/>
      <c r="G1033" s="34">
        <f>SUMIFS('BASE EXEC. Q.L'!N:N,'BASE EXEC. Q.L'!B:B,VOOS!A1033)</f>
        <v>0</v>
      </c>
      <c r="H1033" s="15" t="str">
        <f>IFERROR(_xlfn.XLOOKUP(A1033,'BASE SQL PLANTIO'!B:B,'BASE SQL PLANTIO'!T:T,"verificar",0),"")</f>
        <v/>
      </c>
      <c r="I1033" s="77" t="str">
        <f>IF(_xlfn.MINIFS('BASE SQL PLANTIO'!E:E,'BASE SQL PLANTIO'!B:B,VOOS!A1033)=0/1/1900,"",_xlfn.MINIFS('BASE SQL PLANTIO'!E:E,'BASE SQL PLANTIO'!B:B,VOOS!A1033))</f>
        <v/>
      </c>
      <c r="J1033" s="26"/>
      <c r="K1033" s="34" t="str">
        <f t="shared" si="49"/>
        <v/>
      </c>
      <c r="L1033" s="35" t="str">
        <f t="shared" si="50"/>
        <v/>
      </c>
      <c r="M1033" s="14"/>
      <c r="N1033" s="16"/>
    </row>
    <row r="1034" spans="1:14" ht="15.6" x14ac:dyDescent="0.3">
      <c r="A1034" s="13" t="str">
        <f t="shared" si="48"/>
        <v>-</v>
      </c>
      <c r="B1034" s="25"/>
      <c r="C1034" s="25"/>
      <c r="D1034" s="25"/>
      <c r="E1034" s="25"/>
      <c r="F1034" s="31"/>
      <c r="G1034" s="34">
        <f>SUMIFS('BASE EXEC. Q.L'!N:N,'BASE EXEC. Q.L'!B:B,VOOS!A1034)</f>
        <v>0</v>
      </c>
      <c r="H1034" s="15" t="str">
        <f>IFERROR(_xlfn.XLOOKUP(A1034,'BASE SQL PLANTIO'!B:B,'BASE SQL PLANTIO'!T:T,"verificar",0),"")</f>
        <v/>
      </c>
      <c r="I1034" s="77" t="str">
        <f>IF(_xlfn.MINIFS('BASE SQL PLANTIO'!E:E,'BASE SQL PLANTIO'!B:B,VOOS!A1034)=0/1/1900,"",_xlfn.MINIFS('BASE SQL PLANTIO'!E:E,'BASE SQL PLANTIO'!B:B,VOOS!A1034))</f>
        <v/>
      </c>
      <c r="J1034" s="26"/>
      <c r="K1034" s="34" t="str">
        <f t="shared" si="49"/>
        <v/>
      </c>
      <c r="L1034" s="35" t="str">
        <f t="shared" si="50"/>
        <v/>
      </c>
      <c r="M1034" s="14"/>
      <c r="N1034" s="16"/>
    </row>
    <row r="1035" spans="1:14" ht="15.6" x14ac:dyDescent="0.3">
      <c r="A1035" s="13" t="str">
        <f t="shared" si="48"/>
        <v>-</v>
      </c>
      <c r="B1035" s="25"/>
      <c r="C1035" s="25"/>
      <c r="D1035" s="25"/>
      <c r="E1035" s="25"/>
      <c r="F1035" s="31"/>
      <c r="G1035" s="34">
        <f>SUMIFS('BASE EXEC. Q.L'!N:N,'BASE EXEC. Q.L'!B:B,VOOS!A1035)</f>
        <v>0</v>
      </c>
      <c r="H1035" s="15" t="str">
        <f>IFERROR(_xlfn.XLOOKUP(A1035,'BASE SQL PLANTIO'!B:B,'BASE SQL PLANTIO'!T:T,"verificar",0),"")</f>
        <v/>
      </c>
      <c r="I1035" s="77" t="str">
        <f>IF(_xlfn.MINIFS('BASE SQL PLANTIO'!E:E,'BASE SQL PLANTIO'!B:B,VOOS!A1035)=0/1/1900,"",_xlfn.MINIFS('BASE SQL PLANTIO'!E:E,'BASE SQL PLANTIO'!B:B,VOOS!A1035))</f>
        <v/>
      </c>
      <c r="J1035" s="26"/>
      <c r="K1035" s="34" t="str">
        <f t="shared" si="49"/>
        <v/>
      </c>
      <c r="L1035" s="35" t="str">
        <f t="shared" si="50"/>
        <v/>
      </c>
      <c r="M1035" s="14"/>
      <c r="N1035" s="15"/>
    </row>
    <row r="1036" spans="1:14" ht="15.6" x14ac:dyDescent="0.3">
      <c r="A1036" s="13" t="str">
        <f t="shared" si="48"/>
        <v>-</v>
      </c>
      <c r="B1036" s="27"/>
      <c r="C1036" s="26"/>
      <c r="D1036" s="26"/>
      <c r="E1036" s="26"/>
      <c r="F1036" s="26"/>
      <c r="G1036" s="34">
        <f>SUMIFS('BASE EXEC. Q.L'!N:N,'BASE EXEC. Q.L'!B:B,VOOS!A1036)</f>
        <v>0</v>
      </c>
      <c r="H1036" s="15" t="str">
        <f>IFERROR(_xlfn.XLOOKUP(A1036,'BASE SQL PLANTIO'!B:B,'BASE SQL PLANTIO'!T:T,"verificar",0),"")</f>
        <v/>
      </c>
      <c r="I1036" s="77" t="str">
        <f>IF(_xlfn.MINIFS('BASE SQL PLANTIO'!E:E,'BASE SQL PLANTIO'!B:B,VOOS!A1036)=0/1/1900,"",_xlfn.MINIFS('BASE SQL PLANTIO'!E:E,'BASE SQL PLANTIO'!B:B,VOOS!A1036))</f>
        <v/>
      </c>
      <c r="J1036" s="26"/>
      <c r="K1036" s="34" t="str">
        <f t="shared" si="49"/>
        <v/>
      </c>
      <c r="L1036" s="35" t="str">
        <f t="shared" si="50"/>
        <v/>
      </c>
      <c r="M1036" s="14"/>
      <c r="N1036" s="16"/>
    </row>
    <row r="1037" spans="1:14" ht="15.6" x14ac:dyDescent="0.3">
      <c r="A1037" s="13" t="str">
        <f t="shared" si="48"/>
        <v>-</v>
      </c>
      <c r="B1037" s="27"/>
      <c r="C1037" s="26"/>
      <c r="D1037" s="26"/>
      <c r="E1037" s="26"/>
      <c r="F1037" s="26"/>
      <c r="G1037" s="34">
        <f>SUMIFS('BASE EXEC. Q.L'!N:N,'BASE EXEC. Q.L'!B:B,VOOS!A1037)</f>
        <v>0</v>
      </c>
      <c r="H1037" s="15" t="str">
        <f>IFERROR(_xlfn.XLOOKUP(A1037,'BASE SQL PLANTIO'!B:B,'BASE SQL PLANTIO'!T:T,"verificar",0),"")</f>
        <v/>
      </c>
      <c r="I1037" s="77" t="str">
        <f>IF(_xlfn.MINIFS('BASE SQL PLANTIO'!E:E,'BASE SQL PLANTIO'!B:B,VOOS!A1037)=0/1/1900,"",_xlfn.MINIFS('BASE SQL PLANTIO'!E:E,'BASE SQL PLANTIO'!B:B,VOOS!A1037))</f>
        <v/>
      </c>
      <c r="J1037" s="26"/>
      <c r="K1037" s="34" t="str">
        <f t="shared" si="49"/>
        <v/>
      </c>
      <c r="L1037" s="35" t="str">
        <f t="shared" si="50"/>
        <v/>
      </c>
      <c r="M1037" s="14"/>
      <c r="N1037" s="16"/>
    </row>
    <row r="1038" spans="1:14" ht="15.6" x14ac:dyDescent="0.3">
      <c r="A1038" s="13" t="str">
        <f t="shared" si="48"/>
        <v>-</v>
      </c>
      <c r="B1038" s="25"/>
      <c r="C1038" s="25"/>
      <c r="D1038" s="25"/>
      <c r="E1038" s="25"/>
      <c r="F1038" s="31"/>
      <c r="G1038" s="34">
        <f>SUMIFS('BASE EXEC. Q.L'!N:N,'BASE EXEC. Q.L'!B:B,VOOS!A1038)</f>
        <v>0</v>
      </c>
      <c r="H1038" s="15" t="str">
        <f>IFERROR(_xlfn.XLOOKUP(A1038,'BASE SQL PLANTIO'!B:B,'BASE SQL PLANTIO'!T:T,"verificar",0),"")</f>
        <v/>
      </c>
      <c r="I1038" s="77" t="str">
        <f>IF(_xlfn.MINIFS('BASE SQL PLANTIO'!E:E,'BASE SQL PLANTIO'!B:B,VOOS!A1038)=0/1/1900,"",_xlfn.MINIFS('BASE SQL PLANTIO'!E:E,'BASE SQL PLANTIO'!B:B,VOOS!A1038))</f>
        <v/>
      </c>
      <c r="J1038" s="26"/>
      <c r="K1038" s="34" t="str">
        <f t="shared" si="49"/>
        <v/>
      </c>
      <c r="L1038" s="35" t="str">
        <f t="shared" si="50"/>
        <v/>
      </c>
      <c r="M1038" s="14"/>
      <c r="N1038" s="16"/>
    </row>
    <row r="1039" spans="1:14" ht="15.6" x14ac:dyDescent="0.3">
      <c r="A1039" s="13" t="str">
        <f t="shared" si="48"/>
        <v>-</v>
      </c>
      <c r="B1039" s="25"/>
      <c r="C1039" s="25"/>
      <c r="D1039" s="25"/>
      <c r="E1039" s="25"/>
      <c r="F1039" s="31"/>
      <c r="G1039" s="34">
        <f>SUMIFS('BASE EXEC. Q.L'!N:N,'BASE EXEC. Q.L'!B:B,VOOS!A1039)</f>
        <v>0</v>
      </c>
      <c r="H1039" s="15" t="str">
        <f>IFERROR(_xlfn.XLOOKUP(A1039,'BASE SQL PLANTIO'!B:B,'BASE SQL PLANTIO'!T:T,"verificar",0),"")</f>
        <v/>
      </c>
      <c r="I1039" s="77" t="str">
        <f>IF(_xlfn.MINIFS('BASE SQL PLANTIO'!E:E,'BASE SQL PLANTIO'!B:B,VOOS!A1039)=0/1/1900,"",_xlfn.MINIFS('BASE SQL PLANTIO'!E:E,'BASE SQL PLANTIO'!B:B,VOOS!A1039))</f>
        <v/>
      </c>
      <c r="J1039" s="26"/>
      <c r="K1039" s="34" t="str">
        <f t="shared" si="49"/>
        <v/>
      </c>
      <c r="L1039" s="35" t="str">
        <f t="shared" si="50"/>
        <v/>
      </c>
      <c r="M1039" s="14"/>
      <c r="N1039" s="16"/>
    </row>
    <row r="1040" spans="1:14" ht="15.6" x14ac:dyDescent="0.3">
      <c r="A1040" s="13" t="str">
        <f t="shared" si="48"/>
        <v>-</v>
      </c>
      <c r="B1040" s="25"/>
      <c r="C1040" s="25"/>
      <c r="D1040" s="25"/>
      <c r="E1040" s="25"/>
      <c r="F1040" s="31"/>
      <c r="G1040" s="34">
        <f>SUMIFS('BASE EXEC. Q.L'!N:N,'BASE EXEC. Q.L'!B:B,VOOS!A1040)</f>
        <v>0</v>
      </c>
      <c r="H1040" s="15" t="str">
        <f>IFERROR(_xlfn.XLOOKUP(A1040,'BASE SQL PLANTIO'!B:B,'BASE SQL PLANTIO'!T:T,"verificar",0),"")</f>
        <v/>
      </c>
      <c r="I1040" s="77" t="str">
        <f>IF(_xlfn.MINIFS('BASE SQL PLANTIO'!E:E,'BASE SQL PLANTIO'!B:B,VOOS!A1040)=0/1/1900,"",_xlfn.MINIFS('BASE SQL PLANTIO'!E:E,'BASE SQL PLANTIO'!B:B,VOOS!A1040))</f>
        <v/>
      </c>
      <c r="J1040" s="26"/>
      <c r="K1040" s="34" t="str">
        <f t="shared" si="49"/>
        <v/>
      </c>
      <c r="L1040" s="35" t="str">
        <f t="shared" si="50"/>
        <v/>
      </c>
      <c r="M1040" s="14"/>
      <c r="N1040" s="15"/>
    </row>
    <row r="1041" spans="1:14" ht="15.6" x14ac:dyDescent="0.3">
      <c r="A1041" s="13" t="str">
        <f t="shared" si="48"/>
        <v>-</v>
      </c>
      <c r="B1041" s="27"/>
      <c r="C1041" s="26"/>
      <c r="D1041" s="26"/>
      <c r="E1041" s="26"/>
      <c r="F1041" s="26"/>
      <c r="G1041" s="34">
        <f>SUMIFS('BASE EXEC. Q.L'!N:N,'BASE EXEC. Q.L'!B:B,VOOS!A1041)</f>
        <v>0</v>
      </c>
      <c r="H1041" s="15" t="str">
        <f>IFERROR(_xlfn.XLOOKUP(A1041,'BASE SQL PLANTIO'!B:B,'BASE SQL PLANTIO'!T:T,"verificar",0),"")</f>
        <v/>
      </c>
      <c r="I1041" s="77" t="str">
        <f>IF(_xlfn.MINIFS('BASE SQL PLANTIO'!E:E,'BASE SQL PLANTIO'!B:B,VOOS!A1041)=0/1/1900,"",_xlfn.MINIFS('BASE SQL PLANTIO'!E:E,'BASE SQL PLANTIO'!B:B,VOOS!A1041))</f>
        <v/>
      </c>
      <c r="J1041" s="26"/>
      <c r="K1041" s="34" t="str">
        <f t="shared" si="49"/>
        <v/>
      </c>
      <c r="L1041" s="35" t="str">
        <f t="shared" si="50"/>
        <v/>
      </c>
      <c r="M1041" s="14"/>
      <c r="N1041" s="16"/>
    </row>
    <row r="1042" spans="1:14" ht="15.6" x14ac:dyDescent="0.3">
      <c r="A1042" s="13" t="str">
        <f t="shared" si="48"/>
        <v>-</v>
      </c>
      <c r="B1042" s="27"/>
      <c r="C1042" s="26"/>
      <c r="D1042" s="26"/>
      <c r="E1042" s="26"/>
      <c r="F1042" s="26"/>
      <c r="G1042" s="34">
        <f>SUMIFS('BASE EXEC. Q.L'!N:N,'BASE EXEC. Q.L'!B:B,VOOS!A1042)</f>
        <v>0</v>
      </c>
      <c r="H1042" s="15" t="str">
        <f>IFERROR(_xlfn.XLOOKUP(A1042,'BASE SQL PLANTIO'!B:B,'BASE SQL PLANTIO'!T:T,"verificar",0),"")</f>
        <v/>
      </c>
      <c r="I1042" s="77" t="str">
        <f>IF(_xlfn.MINIFS('BASE SQL PLANTIO'!E:E,'BASE SQL PLANTIO'!B:B,VOOS!A1042)=0/1/1900,"",_xlfn.MINIFS('BASE SQL PLANTIO'!E:E,'BASE SQL PLANTIO'!B:B,VOOS!A1042))</f>
        <v/>
      </c>
      <c r="J1042" s="26"/>
      <c r="K1042" s="34" t="str">
        <f t="shared" si="49"/>
        <v/>
      </c>
      <c r="L1042" s="35" t="str">
        <f t="shared" si="50"/>
        <v/>
      </c>
      <c r="M1042" s="14"/>
      <c r="N1042" s="16"/>
    </row>
    <row r="1043" spans="1:14" ht="15.6" x14ac:dyDescent="0.3">
      <c r="A1043" s="13" t="str">
        <f t="shared" si="48"/>
        <v>-</v>
      </c>
      <c r="B1043" s="25"/>
      <c r="C1043" s="25"/>
      <c r="D1043" s="25"/>
      <c r="E1043" s="25"/>
      <c r="F1043" s="31"/>
      <c r="G1043" s="34">
        <f>SUMIFS('BASE EXEC. Q.L'!N:N,'BASE EXEC. Q.L'!B:B,VOOS!A1043)</f>
        <v>0</v>
      </c>
      <c r="H1043" s="15" t="str">
        <f>IFERROR(_xlfn.XLOOKUP(A1043,'BASE SQL PLANTIO'!B:B,'BASE SQL PLANTIO'!T:T,"verificar",0),"")</f>
        <v/>
      </c>
      <c r="I1043" s="77" t="str">
        <f>IF(_xlfn.MINIFS('BASE SQL PLANTIO'!E:E,'BASE SQL PLANTIO'!B:B,VOOS!A1043)=0/1/1900,"",_xlfn.MINIFS('BASE SQL PLANTIO'!E:E,'BASE SQL PLANTIO'!B:B,VOOS!A1043))</f>
        <v/>
      </c>
      <c r="J1043" s="26"/>
      <c r="K1043" s="34" t="str">
        <f t="shared" si="49"/>
        <v/>
      </c>
      <c r="L1043" s="35" t="str">
        <f t="shared" si="50"/>
        <v/>
      </c>
      <c r="M1043" s="14"/>
      <c r="N1043" s="16"/>
    </row>
    <row r="1044" spans="1:14" ht="15.6" x14ac:dyDescent="0.3">
      <c r="A1044" s="13" t="str">
        <f t="shared" si="48"/>
        <v>-</v>
      </c>
      <c r="B1044" s="25"/>
      <c r="C1044" s="25"/>
      <c r="D1044" s="25"/>
      <c r="E1044" s="25"/>
      <c r="F1044" s="31"/>
      <c r="G1044" s="34">
        <f>SUMIFS('BASE EXEC. Q.L'!N:N,'BASE EXEC. Q.L'!B:B,VOOS!A1044)</f>
        <v>0</v>
      </c>
      <c r="H1044" s="15" t="str">
        <f>IFERROR(_xlfn.XLOOKUP(A1044,'BASE SQL PLANTIO'!B:B,'BASE SQL PLANTIO'!T:T,"verificar",0),"")</f>
        <v/>
      </c>
      <c r="I1044" s="77" t="str">
        <f>IF(_xlfn.MINIFS('BASE SQL PLANTIO'!E:E,'BASE SQL PLANTIO'!B:B,VOOS!A1044)=0/1/1900,"",_xlfn.MINIFS('BASE SQL PLANTIO'!E:E,'BASE SQL PLANTIO'!B:B,VOOS!A1044))</f>
        <v/>
      </c>
      <c r="J1044" s="26"/>
      <c r="K1044" s="34" t="str">
        <f t="shared" si="49"/>
        <v/>
      </c>
      <c r="L1044" s="35" t="str">
        <f t="shared" si="50"/>
        <v/>
      </c>
      <c r="M1044" s="14"/>
      <c r="N1044" s="16"/>
    </row>
    <row r="1045" spans="1:14" ht="15.6" x14ac:dyDescent="0.3">
      <c r="A1045" s="13" t="str">
        <f t="shared" si="48"/>
        <v>-</v>
      </c>
      <c r="B1045" s="25"/>
      <c r="C1045" s="25"/>
      <c r="D1045" s="25"/>
      <c r="E1045" s="25"/>
      <c r="F1045" s="31"/>
      <c r="G1045" s="34">
        <f>SUMIFS('BASE EXEC. Q.L'!N:N,'BASE EXEC. Q.L'!B:B,VOOS!A1045)</f>
        <v>0</v>
      </c>
      <c r="H1045" s="15" t="str">
        <f>IFERROR(_xlfn.XLOOKUP(A1045,'BASE SQL PLANTIO'!B:B,'BASE SQL PLANTIO'!T:T,"verificar",0),"")</f>
        <v/>
      </c>
      <c r="I1045" s="77" t="str">
        <f>IF(_xlfn.MINIFS('BASE SQL PLANTIO'!E:E,'BASE SQL PLANTIO'!B:B,VOOS!A1045)=0/1/1900,"",_xlfn.MINIFS('BASE SQL PLANTIO'!E:E,'BASE SQL PLANTIO'!B:B,VOOS!A1045))</f>
        <v/>
      </c>
      <c r="J1045" s="26"/>
      <c r="K1045" s="34" t="str">
        <f t="shared" si="49"/>
        <v/>
      </c>
      <c r="L1045" s="35" t="str">
        <f t="shared" si="50"/>
        <v/>
      </c>
      <c r="M1045" s="14"/>
      <c r="N1045" s="15"/>
    </row>
    <row r="1046" spans="1:14" ht="15.6" x14ac:dyDescent="0.3">
      <c r="A1046" s="13" t="str">
        <f t="shared" si="48"/>
        <v>-</v>
      </c>
      <c r="B1046" s="27"/>
      <c r="C1046" s="26"/>
      <c r="D1046" s="26"/>
      <c r="E1046" s="26"/>
      <c r="F1046" s="26"/>
      <c r="G1046" s="34">
        <f>SUMIFS('BASE EXEC. Q.L'!N:N,'BASE EXEC. Q.L'!B:B,VOOS!A1046)</f>
        <v>0</v>
      </c>
      <c r="H1046" s="15" t="str">
        <f>IFERROR(_xlfn.XLOOKUP(A1046,'BASE SQL PLANTIO'!B:B,'BASE SQL PLANTIO'!T:T,"verificar",0),"")</f>
        <v/>
      </c>
      <c r="I1046" s="77" t="str">
        <f>IF(_xlfn.MINIFS('BASE SQL PLANTIO'!E:E,'BASE SQL PLANTIO'!B:B,VOOS!A1046)=0/1/1900,"",_xlfn.MINIFS('BASE SQL PLANTIO'!E:E,'BASE SQL PLANTIO'!B:B,VOOS!A1046))</f>
        <v/>
      </c>
      <c r="J1046" s="26"/>
      <c r="K1046" s="34" t="str">
        <f t="shared" si="49"/>
        <v/>
      </c>
      <c r="L1046" s="35" t="str">
        <f t="shared" si="50"/>
        <v/>
      </c>
      <c r="M1046" s="14"/>
      <c r="N1046" s="16"/>
    </row>
    <row r="1047" spans="1:14" ht="15.6" x14ac:dyDescent="0.3">
      <c r="A1047" s="13" t="str">
        <f t="shared" si="48"/>
        <v>-</v>
      </c>
      <c r="B1047" s="27"/>
      <c r="C1047" s="26"/>
      <c r="D1047" s="26"/>
      <c r="E1047" s="26"/>
      <c r="F1047" s="26"/>
      <c r="G1047" s="34">
        <f>SUMIFS('BASE EXEC. Q.L'!N:N,'BASE EXEC. Q.L'!B:B,VOOS!A1047)</f>
        <v>0</v>
      </c>
      <c r="H1047" s="15" t="str">
        <f>IFERROR(_xlfn.XLOOKUP(A1047,'BASE SQL PLANTIO'!B:B,'BASE SQL PLANTIO'!T:T,"verificar",0),"")</f>
        <v/>
      </c>
      <c r="I1047" s="77" t="str">
        <f>IF(_xlfn.MINIFS('BASE SQL PLANTIO'!E:E,'BASE SQL PLANTIO'!B:B,VOOS!A1047)=0/1/1900,"",_xlfn.MINIFS('BASE SQL PLANTIO'!E:E,'BASE SQL PLANTIO'!B:B,VOOS!A1047))</f>
        <v/>
      </c>
      <c r="J1047" s="26"/>
      <c r="K1047" s="34" t="str">
        <f t="shared" si="49"/>
        <v/>
      </c>
      <c r="L1047" s="35" t="str">
        <f t="shared" si="50"/>
        <v/>
      </c>
      <c r="M1047" s="14"/>
      <c r="N1047" s="16"/>
    </row>
    <row r="1048" spans="1:14" ht="15.6" x14ac:dyDescent="0.3">
      <c r="A1048" s="13" t="str">
        <f t="shared" si="48"/>
        <v>-</v>
      </c>
      <c r="B1048" s="25"/>
      <c r="C1048" s="25"/>
      <c r="D1048" s="25"/>
      <c r="E1048" s="25"/>
      <c r="F1048" s="31"/>
      <c r="G1048" s="34">
        <f>SUMIFS('BASE EXEC. Q.L'!N:N,'BASE EXEC. Q.L'!B:B,VOOS!A1048)</f>
        <v>0</v>
      </c>
      <c r="H1048" s="15" t="str">
        <f>IFERROR(_xlfn.XLOOKUP(A1048,'BASE SQL PLANTIO'!B:B,'BASE SQL PLANTIO'!T:T,"verificar",0),"")</f>
        <v/>
      </c>
      <c r="I1048" s="77" t="str">
        <f>IF(_xlfn.MINIFS('BASE SQL PLANTIO'!E:E,'BASE SQL PLANTIO'!B:B,VOOS!A1048)=0/1/1900,"",_xlfn.MINIFS('BASE SQL PLANTIO'!E:E,'BASE SQL PLANTIO'!B:B,VOOS!A1048))</f>
        <v/>
      </c>
      <c r="J1048" s="26"/>
      <c r="K1048" s="34" t="str">
        <f t="shared" si="49"/>
        <v/>
      </c>
      <c r="L1048" s="35" t="str">
        <f t="shared" si="50"/>
        <v/>
      </c>
      <c r="M1048" s="14"/>
      <c r="N1048" s="16"/>
    </row>
    <row r="1049" spans="1:14" ht="15.6" x14ac:dyDescent="0.3">
      <c r="A1049" s="13" t="str">
        <f t="shared" si="48"/>
        <v>-</v>
      </c>
      <c r="B1049" s="25"/>
      <c r="C1049" s="25"/>
      <c r="D1049" s="25"/>
      <c r="E1049" s="25"/>
      <c r="F1049" s="31"/>
      <c r="G1049" s="34">
        <f>SUMIFS('BASE EXEC. Q.L'!N:N,'BASE EXEC. Q.L'!B:B,VOOS!A1049)</f>
        <v>0</v>
      </c>
      <c r="H1049" s="15" t="str">
        <f>IFERROR(_xlfn.XLOOKUP(A1049,'BASE SQL PLANTIO'!B:B,'BASE SQL PLANTIO'!T:T,"verificar",0),"")</f>
        <v/>
      </c>
      <c r="I1049" s="77" t="str">
        <f>IF(_xlfn.MINIFS('BASE SQL PLANTIO'!E:E,'BASE SQL PLANTIO'!B:B,VOOS!A1049)=0/1/1900,"",_xlfn.MINIFS('BASE SQL PLANTIO'!E:E,'BASE SQL PLANTIO'!B:B,VOOS!A1049))</f>
        <v/>
      </c>
      <c r="J1049" s="26"/>
      <c r="K1049" s="34" t="str">
        <f t="shared" si="49"/>
        <v/>
      </c>
      <c r="L1049" s="35" t="str">
        <f t="shared" si="50"/>
        <v/>
      </c>
      <c r="M1049" s="14"/>
      <c r="N1049" s="16"/>
    </row>
    <row r="1050" spans="1:14" ht="15.6" x14ac:dyDescent="0.3">
      <c r="A1050" s="13" t="str">
        <f t="shared" si="48"/>
        <v>-</v>
      </c>
      <c r="B1050" s="25"/>
      <c r="C1050" s="25"/>
      <c r="D1050" s="25"/>
      <c r="E1050" s="25"/>
      <c r="F1050" s="31"/>
      <c r="G1050" s="34">
        <f>SUMIFS('BASE EXEC. Q.L'!N:N,'BASE EXEC. Q.L'!B:B,VOOS!A1050)</f>
        <v>0</v>
      </c>
      <c r="H1050" s="15" t="str">
        <f>IFERROR(_xlfn.XLOOKUP(A1050,'BASE SQL PLANTIO'!B:B,'BASE SQL PLANTIO'!T:T,"verificar",0),"")</f>
        <v/>
      </c>
      <c r="I1050" s="77" t="str">
        <f>IF(_xlfn.MINIFS('BASE SQL PLANTIO'!E:E,'BASE SQL PLANTIO'!B:B,VOOS!A1050)=0/1/1900,"",_xlfn.MINIFS('BASE SQL PLANTIO'!E:E,'BASE SQL PLANTIO'!B:B,VOOS!A1050))</f>
        <v/>
      </c>
      <c r="J1050" s="26"/>
      <c r="K1050" s="34" t="str">
        <f t="shared" si="49"/>
        <v/>
      </c>
      <c r="L1050" s="35" t="str">
        <f t="shared" si="50"/>
        <v/>
      </c>
      <c r="M1050" s="14"/>
      <c r="N1050" s="15"/>
    </row>
    <row r="1051" spans="1:14" ht="15.6" x14ac:dyDescent="0.3">
      <c r="A1051" s="13" t="str">
        <f t="shared" si="48"/>
        <v>-</v>
      </c>
      <c r="B1051" s="27"/>
      <c r="C1051" s="26"/>
      <c r="D1051" s="26"/>
      <c r="E1051" s="26"/>
      <c r="F1051" s="26"/>
      <c r="G1051" s="34">
        <f>SUMIFS('BASE EXEC. Q.L'!N:N,'BASE EXEC. Q.L'!B:B,VOOS!A1051)</f>
        <v>0</v>
      </c>
      <c r="H1051" s="15" t="str">
        <f>IFERROR(_xlfn.XLOOKUP(A1051,'BASE SQL PLANTIO'!B:B,'BASE SQL PLANTIO'!T:T,"verificar",0),"")</f>
        <v/>
      </c>
      <c r="I1051" s="77" t="str">
        <f>IF(_xlfn.MINIFS('BASE SQL PLANTIO'!E:E,'BASE SQL PLANTIO'!B:B,VOOS!A1051)=0/1/1900,"",_xlfn.MINIFS('BASE SQL PLANTIO'!E:E,'BASE SQL PLANTIO'!B:B,VOOS!A1051))</f>
        <v/>
      </c>
      <c r="J1051" s="26"/>
      <c r="K1051" s="34" t="str">
        <f t="shared" si="49"/>
        <v/>
      </c>
      <c r="L1051" s="35" t="str">
        <f t="shared" si="50"/>
        <v/>
      </c>
      <c r="M1051" s="14"/>
      <c r="N1051" s="16"/>
    </row>
    <row r="1052" spans="1:14" ht="15.6" x14ac:dyDescent="0.3">
      <c r="A1052" s="13" t="str">
        <f t="shared" si="48"/>
        <v>-</v>
      </c>
      <c r="B1052" s="27"/>
      <c r="C1052" s="26"/>
      <c r="D1052" s="26"/>
      <c r="E1052" s="26"/>
      <c r="F1052" s="26"/>
      <c r="G1052" s="34">
        <f>SUMIFS('BASE EXEC. Q.L'!N:N,'BASE EXEC. Q.L'!B:B,VOOS!A1052)</f>
        <v>0</v>
      </c>
      <c r="H1052" s="15" t="str">
        <f>IFERROR(_xlfn.XLOOKUP(A1052,'BASE SQL PLANTIO'!B:B,'BASE SQL PLANTIO'!T:T,"verificar",0),"")</f>
        <v/>
      </c>
      <c r="I1052" s="77" t="str">
        <f>IF(_xlfn.MINIFS('BASE SQL PLANTIO'!E:E,'BASE SQL PLANTIO'!B:B,VOOS!A1052)=0/1/1900,"",_xlfn.MINIFS('BASE SQL PLANTIO'!E:E,'BASE SQL PLANTIO'!B:B,VOOS!A1052))</f>
        <v/>
      </c>
      <c r="J1052" s="26"/>
      <c r="K1052" s="34" t="str">
        <f t="shared" si="49"/>
        <v/>
      </c>
      <c r="L1052" s="35" t="str">
        <f t="shared" si="50"/>
        <v/>
      </c>
      <c r="M1052" s="14"/>
      <c r="N1052" s="16"/>
    </row>
    <row r="1053" spans="1:14" ht="15.6" x14ac:dyDescent="0.3">
      <c r="A1053" s="13" t="str">
        <f t="shared" si="48"/>
        <v>-</v>
      </c>
      <c r="B1053" s="25"/>
      <c r="C1053" s="25"/>
      <c r="D1053" s="25"/>
      <c r="E1053" s="25"/>
      <c r="F1053" s="31"/>
      <c r="G1053" s="34">
        <f>SUMIFS('BASE EXEC. Q.L'!N:N,'BASE EXEC. Q.L'!B:B,VOOS!A1053)</f>
        <v>0</v>
      </c>
      <c r="H1053" s="15" t="str">
        <f>IFERROR(_xlfn.XLOOKUP(A1053,'BASE SQL PLANTIO'!B:B,'BASE SQL PLANTIO'!T:T,"verificar",0),"")</f>
        <v/>
      </c>
      <c r="I1053" s="77" t="str">
        <f>IF(_xlfn.MINIFS('BASE SQL PLANTIO'!E:E,'BASE SQL PLANTIO'!B:B,VOOS!A1053)=0/1/1900,"",_xlfn.MINIFS('BASE SQL PLANTIO'!E:E,'BASE SQL PLANTIO'!B:B,VOOS!A1053))</f>
        <v/>
      </c>
      <c r="J1053" s="26"/>
      <c r="K1053" s="34" t="str">
        <f t="shared" si="49"/>
        <v/>
      </c>
      <c r="L1053" s="35" t="str">
        <f t="shared" si="50"/>
        <v/>
      </c>
      <c r="M1053" s="14"/>
      <c r="N1053" s="16"/>
    </row>
    <row r="1054" spans="1:14" ht="15.6" x14ac:dyDescent="0.3">
      <c r="A1054" s="13" t="str">
        <f t="shared" si="48"/>
        <v>-</v>
      </c>
      <c r="B1054" s="25"/>
      <c r="C1054" s="25"/>
      <c r="D1054" s="25"/>
      <c r="E1054" s="25"/>
      <c r="F1054" s="31"/>
      <c r="G1054" s="34">
        <f>SUMIFS('BASE EXEC. Q.L'!N:N,'BASE EXEC. Q.L'!B:B,VOOS!A1054)</f>
        <v>0</v>
      </c>
      <c r="H1054" s="15" t="str">
        <f>IFERROR(_xlfn.XLOOKUP(A1054,'BASE SQL PLANTIO'!B:B,'BASE SQL PLANTIO'!T:T,"verificar",0),"")</f>
        <v/>
      </c>
      <c r="I1054" s="77" t="str">
        <f>IF(_xlfn.MINIFS('BASE SQL PLANTIO'!E:E,'BASE SQL PLANTIO'!B:B,VOOS!A1054)=0/1/1900,"",_xlfn.MINIFS('BASE SQL PLANTIO'!E:E,'BASE SQL PLANTIO'!B:B,VOOS!A1054))</f>
        <v/>
      </c>
      <c r="J1054" s="26"/>
      <c r="K1054" s="34" t="str">
        <f t="shared" si="49"/>
        <v/>
      </c>
      <c r="L1054" s="35" t="str">
        <f t="shared" si="50"/>
        <v/>
      </c>
      <c r="M1054" s="14"/>
      <c r="N1054" s="16"/>
    </row>
    <row r="1055" spans="1:14" ht="15.6" x14ac:dyDescent="0.3">
      <c r="A1055" s="13" t="str">
        <f t="shared" si="48"/>
        <v>-</v>
      </c>
      <c r="B1055" s="25"/>
      <c r="C1055" s="25"/>
      <c r="D1055" s="25"/>
      <c r="E1055" s="25"/>
      <c r="F1055" s="31"/>
      <c r="G1055" s="34">
        <f>SUMIFS('BASE EXEC. Q.L'!N:N,'BASE EXEC. Q.L'!B:B,VOOS!A1055)</f>
        <v>0</v>
      </c>
      <c r="H1055" s="15" t="str">
        <f>IFERROR(_xlfn.XLOOKUP(A1055,'BASE SQL PLANTIO'!B:B,'BASE SQL PLANTIO'!T:T,"verificar",0),"")</f>
        <v/>
      </c>
      <c r="I1055" s="77" t="str">
        <f>IF(_xlfn.MINIFS('BASE SQL PLANTIO'!E:E,'BASE SQL PLANTIO'!B:B,VOOS!A1055)=0/1/1900,"",_xlfn.MINIFS('BASE SQL PLANTIO'!E:E,'BASE SQL PLANTIO'!B:B,VOOS!A1055))</f>
        <v/>
      </c>
      <c r="J1055" s="26"/>
      <c r="K1055" s="34" t="str">
        <f t="shared" si="49"/>
        <v/>
      </c>
      <c r="L1055" s="35" t="str">
        <f t="shared" si="50"/>
        <v/>
      </c>
      <c r="M1055" s="14"/>
      <c r="N1055" s="15"/>
    </row>
    <row r="1056" spans="1:14" ht="15.6" x14ac:dyDescent="0.3">
      <c r="A1056" s="13" t="str">
        <f t="shared" si="48"/>
        <v>-</v>
      </c>
      <c r="B1056" s="27"/>
      <c r="C1056" s="26"/>
      <c r="D1056" s="26"/>
      <c r="E1056" s="26"/>
      <c r="F1056" s="26"/>
      <c r="G1056" s="34">
        <f>SUMIFS('BASE EXEC. Q.L'!N:N,'BASE EXEC. Q.L'!B:B,VOOS!A1056)</f>
        <v>0</v>
      </c>
      <c r="H1056" s="15" t="str">
        <f>IFERROR(_xlfn.XLOOKUP(A1056,'BASE SQL PLANTIO'!B:B,'BASE SQL PLANTIO'!T:T,"verificar",0),"")</f>
        <v/>
      </c>
      <c r="I1056" s="77" t="str">
        <f>IF(_xlfn.MINIFS('BASE SQL PLANTIO'!E:E,'BASE SQL PLANTIO'!B:B,VOOS!A1056)=0/1/1900,"",_xlfn.MINIFS('BASE SQL PLANTIO'!E:E,'BASE SQL PLANTIO'!B:B,VOOS!A1056))</f>
        <v/>
      </c>
      <c r="J1056" s="26"/>
      <c r="K1056" s="34" t="str">
        <f t="shared" si="49"/>
        <v/>
      </c>
      <c r="L1056" s="35" t="str">
        <f t="shared" si="50"/>
        <v/>
      </c>
      <c r="M1056" s="14"/>
      <c r="N1056" s="16"/>
    </row>
    <row r="1057" spans="1:14" ht="15.6" x14ac:dyDescent="0.3">
      <c r="A1057" s="13" t="str">
        <f t="shared" si="48"/>
        <v>-</v>
      </c>
      <c r="B1057" s="27"/>
      <c r="C1057" s="26"/>
      <c r="D1057" s="26"/>
      <c r="E1057" s="26"/>
      <c r="F1057" s="26"/>
      <c r="G1057" s="34">
        <f>SUMIFS('BASE EXEC. Q.L'!N:N,'BASE EXEC. Q.L'!B:B,VOOS!A1057)</f>
        <v>0</v>
      </c>
      <c r="H1057" s="15" t="str">
        <f>IFERROR(_xlfn.XLOOKUP(A1057,'BASE SQL PLANTIO'!B:B,'BASE SQL PLANTIO'!T:T,"verificar",0),"")</f>
        <v/>
      </c>
      <c r="I1057" s="77" t="str">
        <f>IF(_xlfn.MINIFS('BASE SQL PLANTIO'!E:E,'BASE SQL PLANTIO'!B:B,VOOS!A1057)=0/1/1900,"",_xlfn.MINIFS('BASE SQL PLANTIO'!E:E,'BASE SQL PLANTIO'!B:B,VOOS!A1057))</f>
        <v/>
      </c>
      <c r="J1057" s="26"/>
      <c r="K1057" s="34" t="str">
        <f t="shared" si="49"/>
        <v/>
      </c>
      <c r="L1057" s="35" t="str">
        <f t="shared" si="50"/>
        <v/>
      </c>
      <c r="M1057" s="14"/>
      <c r="N1057" s="16"/>
    </row>
    <row r="1058" spans="1:14" ht="15.6" x14ac:dyDescent="0.3">
      <c r="A1058" s="13" t="str">
        <f t="shared" si="48"/>
        <v>-</v>
      </c>
      <c r="B1058" s="25"/>
      <c r="C1058" s="25"/>
      <c r="D1058" s="25"/>
      <c r="E1058" s="25"/>
      <c r="F1058" s="31"/>
      <c r="G1058" s="34">
        <f>SUMIFS('BASE EXEC. Q.L'!N:N,'BASE EXEC. Q.L'!B:B,VOOS!A1058)</f>
        <v>0</v>
      </c>
      <c r="H1058" s="15" t="str">
        <f>IFERROR(_xlfn.XLOOKUP(A1058,'BASE SQL PLANTIO'!B:B,'BASE SQL PLANTIO'!T:T,"verificar",0),"")</f>
        <v/>
      </c>
      <c r="I1058" s="77" t="str">
        <f>IF(_xlfn.MINIFS('BASE SQL PLANTIO'!E:E,'BASE SQL PLANTIO'!B:B,VOOS!A1058)=0/1/1900,"",_xlfn.MINIFS('BASE SQL PLANTIO'!E:E,'BASE SQL PLANTIO'!B:B,VOOS!A1058))</f>
        <v/>
      </c>
      <c r="J1058" s="26"/>
      <c r="K1058" s="34" t="str">
        <f t="shared" si="49"/>
        <v/>
      </c>
      <c r="L1058" s="35" t="str">
        <f t="shared" si="50"/>
        <v/>
      </c>
      <c r="M1058" s="14"/>
      <c r="N1058" s="16"/>
    </row>
    <row r="1059" spans="1:14" ht="15.6" x14ac:dyDescent="0.3">
      <c r="A1059" s="13" t="str">
        <f t="shared" si="48"/>
        <v>-</v>
      </c>
      <c r="B1059" s="25"/>
      <c r="C1059" s="25"/>
      <c r="D1059" s="25"/>
      <c r="E1059" s="25"/>
      <c r="F1059" s="31"/>
      <c r="G1059" s="34">
        <f>SUMIFS('BASE EXEC. Q.L'!N:N,'BASE EXEC. Q.L'!B:B,VOOS!A1059)</f>
        <v>0</v>
      </c>
      <c r="H1059" s="15" t="str">
        <f>IFERROR(_xlfn.XLOOKUP(A1059,'BASE SQL PLANTIO'!B:B,'BASE SQL PLANTIO'!T:T,"verificar",0),"")</f>
        <v/>
      </c>
      <c r="I1059" s="77" t="str">
        <f>IF(_xlfn.MINIFS('BASE SQL PLANTIO'!E:E,'BASE SQL PLANTIO'!B:B,VOOS!A1059)=0/1/1900,"",_xlfn.MINIFS('BASE SQL PLANTIO'!E:E,'BASE SQL PLANTIO'!B:B,VOOS!A1059))</f>
        <v/>
      </c>
      <c r="J1059" s="26"/>
      <c r="K1059" s="34" t="str">
        <f t="shared" si="49"/>
        <v/>
      </c>
      <c r="L1059" s="35" t="str">
        <f t="shared" si="50"/>
        <v/>
      </c>
      <c r="M1059" s="14"/>
      <c r="N1059" s="16"/>
    </row>
    <row r="1060" spans="1:14" ht="15.6" x14ac:dyDescent="0.3">
      <c r="A1060" s="13" t="str">
        <f t="shared" si="48"/>
        <v>-</v>
      </c>
      <c r="B1060" s="25"/>
      <c r="C1060" s="25"/>
      <c r="D1060" s="25"/>
      <c r="E1060" s="25"/>
      <c r="F1060" s="31"/>
      <c r="G1060" s="34">
        <f>SUMIFS('BASE EXEC. Q.L'!N:N,'BASE EXEC. Q.L'!B:B,VOOS!A1060)</f>
        <v>0</v>
      </c>
      <c r="H1060" s="15" t="str">
        <f>IFERROR(_xlfn.XLOOKUP(A1060,'BASE SQL PLANTIO'!B:B,'BASE SQL PLANTIO'!T:T,"verificar",0),"")</f>
        <v/>
      </c>
      <c r="I1060" s="77" t="str">
        <f>IF(_xlfn.MINIFS('BASE SQL PLANTIO'!E:E,'BASE SQL PLANTIO'!B:B,VOOS!A1060)=0/1/1900,"",_xlfn.MINIFS('BASE SQL PLANTIO'!E:E,'BASE SQL PLANTIO'!B:B,VOOS!A1060))</f>
        <v/>
      </c>
      <c r="J1060" s="26"/>
      <c r="K1060" s="34" t="str">
        <f t="shared" si="49"/>
        <v/>
      </c>
      <c r="L1060" s="35" t="str">
        <f t="shared" si="50"/>
        <v/>
      </c>
      <c r="M1060" s="14"/>
      <c r="N1060" s="15"/>
    </row>
    <row r="1061" spans="1:14" ht="15.6" x14ac:dyDescent="0.3">
      <c r="A1061" s="13" t="str">
        <f t="shared" si="48"/>
        <v>-</v>
      </c>
      <c r="B1061" s="27"/>
      <c r="C1061" s="26"/>
      <c r="D1061" s="26"/>
      <c r="E1061" s="26"/>
      <c r="F1061" s="26"/>
      <c r="G1061" s="34">
        <f>SUMIFS('BASE EXEC. Q.L'!N:N,'BASE EXEC. Q.L'!B:B,VOOS!A1061)</f>
        <v>0</v>
      </c>
      <c r="H1061" s="15" t="str">
        <f>IFERROR(_xlfn.XLOOKUP(A1061,'BASE SQL PLANTIO'!B:B,'BASE SQL PLANTIO'!T:T,"verificar",0),"")</f>
        <v/>
      </c>
      <c r="I1061" s="77" t="str">
        <f>IF(_xlfn.MINIFS('BASE SQL PLANTIO'!E:E,'BASE SQL PLANTIO'!B:B,VOOS!A1061)=0/1/1900,"",_xlfn.MINIFS('BASE SQL PLANTIO'!E:E,'BASE SQL PLANTIO'!B:B,VOOS!A1061))</f>
        <v/>
      </c>
      <c r="J1061" s="26"/>
      <c r="K1061" s="34" t="str">
        <f t="shared" si="49"/>
        <v/>
      </c>
      <c r="L1061" s="35" t="str">
        <f t="shared" si="50"/>
        <v/>
      </c>
      <c r="M1061" s="14"/>
      <c r="N1061" s="16"/>
    </row>
    <row r="1062" spans="1:14" ht="15.6" x14ac:dyDescent="0.3">
      <c r="A1062" s="13" t="str">
        <f t="shared" si="48"/>
        <v>-</v>
      </c>
      <c r="B1062" s="27"/>
      <c r="C1062" s="26"/>
      <c r="D1062" s="26"/>
      <c r="E1062" s="26"/>
      <c r="F1062" s="26"/>
      <c r="G1062" s="34">
        <f>SUMIFS('BASE EXEC. Q.L'!N:N,'BASE EXEC. Q.L'!B:B,VOOS!A1062)</f>
        <v>0</v>
      </c>
      <c r="H1062" s="15" t="str">
        <f>IFERROR(_xlfn.XLOOKUP(A1062,'BASE SQL PLANTIO'!B:B,'BASE SQL PLANTIO'!T:T,"verificar",0),"")</f>
        <v/>
      </c>
      <c r="I1062" s="77" t="str">
        <f>IF(_xlfn.MINIFS('BASE SQL PLANTIO'!E:E,'BASE SQL PLANTIO'!B:B,VOOS!A1062)=0/1/1900,"",_xlfn.MINIFS('BASE SQL PLANTIO'!E:E,'BASE SQL PLANTIO'!B:B,VOOS!A1062))</f>
        <v/>
      </c>
      <c r="J1062" s="26"/>
      <c r="K1062" s="34" t="str">
        <f t="shared" si="49"/>
        <v/>
      </c>
      <c r="L1062" s="35" t="str">
        <f t="shared" si="50"/>
        <v/>
      </c>
      <c r="M1062" s="14"/>
      <c r="N1062" s="16"/>
    </row>
    <row r="1063" spans="1:14" ht="15.6" x14ac:dyDescent="0.3">
      <c r="A1063" s="13" t="str">
        <f t="shared" si="48"/>
        <v>-</v>
      </c>
      <c r="B1063" s="25"/>
      <c r="C1063" s="25"/>
      <c r="D1063" s="25"/>
      <c r="E1063" s="25"/>
      <c r="F1063" s="31"/>
      <c r="G1063" s="34">
        <f>SUMIFS('BASE EXEC. Q.L'!N:N,'BASE EXEC. Q.L'!B:B,VOOS!A1063)</f>
        <v>0</v>
      </c>
      <c r="H1063" s="15" t="str">
        <f>IFERROR(_xlfn.XLOOKUP(A1063,'BASE SQL PLANTIO'!B:B,'BASE SQL PLANTIO'!T:T,"verificar",0),"")</f>
        <v/>
      </c>
      <c r="I1063" s="77" t="str">
        <f>IF(_xlfn.MINIFS('BASE SQL PLANTIO'!E:E,'BASE SQL PLANTIO'!B:B,VOOS!A1063)=0/1/1900,"",_xlfn.MINIFS('BASE SQL PLANTIO'!E:E,'BASE SQL PLANTIO'!B:B,VOOS!A1063))</f>
        <v/>
      </c>
      <c r="J1063" s="26"/>
      <c r="K1063" s="34" t="str">
        <f t="shared" si="49"/>
        <v/>
      </c>
      <c r="L1063" s="35" t="str">
        <f t="shared" si="50"/>
        <v/>
      </c>
      <c r="M1063" s="14"/>
      <c r="N1063" s="16"/>
    </row>
    <row r="1064" spans="1:14" ht="15.6" x14ac:dyDescent="0.3">
      <c r="A1064" s="13" t="str">
        <f t="shared" si="48"/>
        <v>-</v>
      </c>
      <c r="B1064" s="25"/>
      <c r="C1064" s="25"/>
      <c r="D1064" s="25"/>
      <c r="E1064" s="25"/>
      <c r="F1064" s="31"/>
      <c r="G1064" s="34">
        <f>SUMIFS('BASE EXEC. Q.L'!N:N,'BASE EXEC. Q.L'!B:B,VOOS!A1064)</f>
        <v>0</v>
      </c>
      <c r="H1064" s="15" t="str">
        <f>IFERROR(_xlfn.XLOOKUP(A1064,'BASE SQL PLANTIO'!B:B,'BASE SQL PLANTIO'!T:T,"verificar",0),"")</f>
        <v/>
      </c>
      <c r="I1064" s="77" t="str">
        <f>IF(_xlfn.MINIFS('BASE SQL PLANTIO'!E:E,'BASE SQL PLANTIO'!B:B,VOOS!A1064)=0/1/1900,"",_xlfn.MINIFS('BASE SQL PLANTIO'!E:E,'BASE SQL PLANTIO'!B:B,VOOS!A1064))</f>
        <v/>
      </c>
      <c r="J1064" s="26"/>
      <c r="K1064" s="34" t="str">
        <f t="shared" si="49"/>
        <v/>
      </c>
      <c r="L1064" s="35" t="str">
        <f t="shared" si="50"/>
        <v/>
      </c>
      <c r="M1064" s="14"/>
      <c r="N1064" s="16"/>
    </row>
    <row r="1065" spans="1:14" ht="15.6" x14ac:dyDescent="0.3">
      <c r="A1065" s="13" t="str">
        <f t="shared" si="48"/>
        <v>-</v>
      </c>
      <c r="B1065" s="25"/>
      <c r="C1065" s="25"/>
      <c r="D1065" s="25"/>
      <c r="E1065" s="25"/>
      <c r="F1065" s="31"/>
      <c r="G1065" s="34">
        <f>SUMIFS('BASE EXEC. Q.L'!N:N,'BASE EXEC. Q.L'!B:B,VOOS!A1065)</f>
        <v>0</v>
      </c>
      <c r="H1065" s="15" t="str">
        <f>IFERROR(_xlfn.XLOOKUP(A1065,'BASE SQL PLANTIO'!B:B,'BASE SQL PLANTIO'!T:T,"verificar",0),"")</f>
        <v/>
      </c>
      <c r="I1065" s="77" t="str">
        <f>IF(_xlfn.MINIFS('BASE SQL PLANTIO'!E:E,'BASE SQL PLANTIO'!B:B,VOOS!A1065)=0/1/1900,"",_xlfn.MINIFS('BASE SQL PLANTIO'!E:E,'BASE SQL PLANTIO'!B:B,VOOS!A1065))</f>
        <v/>
      </c>
      <c r="J1065" s="26"/>
      <c r="K1065" s="34" t="str">
        <f t="shared" si="49"/>
        <v/>
      </c>
      <c r="L1065" s="35" t="str">
        <f t="shared" si="50"/>
        <v/>
      </c>
      <c r="M1065" s="14"/>
      <c r="N1065" s="15"/>
    </row>
    <row r="1066" spans="1:14" ht="15.6" x14ac:dyDescent="0.3">
      <c r="A1066" s="13" t="str">
        <f t="shared" si="48"/>
        <v>-</v>
      </c>
      <c r="B1066" s="27"/>
      <c r="C1066" s="26"/>
      <c r="D1066" s="26"/>
      <c r="E1066" s="26"/>
      <c r="F1066" s="26"/>
      <c r="G1066" s="34">
        <f>SUMIFS('BASE EXEC. Q.L'!N:N,'BASE EXEC. Q.L'!B:B,VOOS!A1066)</f>
        <v>0</v>
      </c>
      <c r="H1066" s="15" t="str">
        <f>IFERROR(_xlfn.XLOOKUP(A1066,'BASE SQL PLANTIO'!B:B,'BASE SQL PLANTIO'!T:T,"verificar",0),"")</f>
        <v/>
      </c>
      <c r="I1066" s="77" t="str">
        <f>IF(_xlfn.MINIFS('BASE SQL PLANTIO'!E:E,'BASE SQL PLANTIO'!B:B,VOOS!A1066)=0/1/1900,"",_xlfn.MINIFS('BASE SQL PLANTIO'!E:E,'BASE SQL PLANTIO'!B:B,VOOS!A1066))</f>
        <v/>
      </c>
      <c r="J1066" s="26"/>
      <c r="K1066" s="34" t="str">
        <f t="shared" si="49"/>
        <v/>
      </c>
      <c r="L1066" s="35" t="str">
        <f t="shared" si="50"/>
        <v/>
      </c>
      <c r="M1066" s="14"/>
      <c r="N1066" s="16"/>
    </row>
    <row r="1067" spans="1:14" ht="15.6" x14ac:dyDescent="0.3">
      <c r="A1067" s="13" t="str">
        <f t="shared" si="48"/>
        <v>-</v>
      </c>
      <c r="B1067" s="27"/>
      <c r="C1067" s="26"/>
      <c r="D1067" s="26"/>
      <c r="E1067" s="26"/>
      <c r="F1067" s="26"/>
      <c r="G1067" s="34">
        <f>SUMIFS('BASE EXEC. Q.L'!N:N,'BASE EXEC. Q.L'!B:B,VOOS!A1067)</f>
        <v>0</v>
      </c>
      <c r="H1067" s="15" t="str">
        <f>IFERROR(_xlfn.XLOOKUP(A1067,'BASE SQL PLANTIO'!B:B,'BASE SQL PLANTIO'!T:T,"verificar",0),"")</f>
        <v/>
      </c>
      <c r="I1067" s="77" t="str">
        <f>IF(_xlfn.MINIFS('BASE SQL PLANTIO'!E:E,'BASE SQL PLANTIO'!B:B,VOOS!A1067)=0/1/1900,"",_xlfn.MINIFS('BASE SQL PLANTIO'!E:E,'BASE SQL PLANTIO'!B:B,VOOS!A1067))</f>
        <v/>
      </c>
      <c r="J1067" s="26"/>
      <c r="K1067" s="34" t="str">
        <f t="shared" si="49"/>
        <v/>
      </c>
      <c r="L1067" s="35" t="str">
        <f t="shared" si="50"/>
        <v/>
      </c>
      <c r="M1067" s="14"/>
      <c r="N1067" s="16"/>
    </row>
    <row r="1068" spans="1:14" ht="15.6" x14ac:dyDescent="0.3">
      <c r="A1068" s="13" t="str">
        <f t="shared" si="48"/>
        <v>-</v>
      </c>
      <c r="B1068" s="25"/>
      <c r="C1068" s="25"/>
      <c r="D1068" s="25"/>
      <c r="E1068" s="25"/>
      <c r="F1068" s="31"/>
      <c r="G1068" s="34">
        <f>SUMIFS('BASE EXEC. Q.L'!N:N,'BASE EXEC. Q.L'!B:B,VOOS!A1068)</f>
        <v>0</v>
      </c>
      <c r="H1068" s="15" t="str">
        <f>IFERROR(_xlfn.XLOOKUP(A1068,'BASE SQL PLANTIO'!B:B,'BASE SQL PLANTIO'!T:T,"verificar",0),"")</f>
        <v/>
      </c>
      <c r="I1068" s="77" t="str">
        <f>IF(_xlfn.MINIFS('BASE SQL PLANTIO'!E:E,'BASE SQL PLANTIO'!B:B,VOOS!A1068)=0/1/1900,"",_xlfn.MINIFS('BASE SQL PLANTIO'!E:E,'BASE SQL PLANTIO'!B:B,VOOS!A1068))</f>
        <v/>
      </c>
      <c r="J1068" s="26"/>
      <c r="K1068" s="34" t="str">
        <f t="shared" si="49"/>
        <v/>
      </c>
      <c r="L1068" s="35" t="str">
        <f t="shared" si="50"/>
        <v/>
      </c>
      <c r="M1068" s="14"/>
      <c r="N1068" s="16"/>
    </row>
    <row r="1069" spans="1:14" ht="15.6" x14ac:dyDescent="0.3">
      <c r="A1069" s="13" t="str">
        <f t="shared" si="48"/>
        <v>-</v>
      </c>
      <c r="B1069" s="25"/>
      <c r="C1069" s="25"/>
      <c r="D1069" s="25"/>
      <c r="E1069" s="25"/>
      <c r="F1069" s="31"/>
      <c r="G1069" s="34">
        <f>SUMIFS('BASE EXEC. Q.L'!N:N,'BASE EXEC. Q.L'!B:B,VOOS!A1069)</f>
        <v>0</v>
      </c>
      <c r="H1069" s="15" t="str">
        <f>IFERROR(_xlfn.XLOOKUP(A1069,'BASE SQL PLANTIO'!B:B,'BASE SQL PLANTIO'!T:T,"verificar",0),"")</f>
        <v/>
      </c>
      <c r="I1069" s="77" t="str">
        <f>IF(_xlfn.MINIFS('BASE SQL PLANTIO'!E:E,'BASE SQL PLANTIO'!B:B,VOOS!A1069)=0/1/1900,"",_xlfn.MINIFS('BASE SQL PLANTIO'!E:E,'BASE SQL PLANTIO'!B:B,VOOS!A1069))</f>
        <v/>
      </c>
      <c r="J1069" s="26"/>
      <c r="K1069" s="34" t="str">
        <f t="shared" si="49"/>
        <v/>
      </c>
      <c r="L1069" s="35" t="str">
        <f t="shared" si="50"/>
        <v/>
      </c>
      <c r="M1069" s="14"/>
      <c r="N1069" s="16"/>
    </row>
    <row r="1070" spans="1:14" ht="15.6" x14ac:dyDescent="0.3">
      <c r="A1070" s="13" t="str">
        <f t="shared" si="48"/>
        <v>-</v>
      </c>
      <c r="B1070" s="25"/>
      <c r="C1070" s="25"/>
      <c r="D1070" s="25"/>
      <c r="E1070" s="25"/>
      <c r="F1070" s="31"/>
      <c r="G1070" s="34">
        <f>SUMIFS('BASE EXEC. Q.L'!N:N,'BASE EXEC. Q.L'!B:B,VOOS!A1070)</f>
        <v>0</v>
      </c>
      <c r="H1070" s="15" t="str">
        <f>IFERROR(_xlfn.XLOOKUP(A1070,'BASE SQL PLANTIO'!B:B,'BASE SQL PLANTIO'!T:T,"verificar",0),"")</f>
        <v/>
      </c>
      <c r="I1070" s="77" t="str">
        <f>IF(_xlfn.MINIFS('BASE SQL PLANTIO'!E:E,'BASE SQL PLANTIO'!B:B,VOOS!A1070)=0/1/1900,"",_xlfn.MINIFS('BASE SQL PLANTIO'!E:E,'BASE SQL PLANTIO'!B:B,VOOS!A1070))</f>
        <v/>
      </c>
      <c r="J1070" s="26"/>
      <c r="K1070" s="34" t="str">
        <f t="shared" si="49"/>
        <v/>
      </c>
      <c r="L1070" s="35" t="str">
        <f t="shared" si="50"/>
        <v/>
      </c>
      <c r="M1070" s="14"/>
      <c r="N1070" s="15"/>
    </row>
    <row r="1071" spans="1:14" ht="15.6" x14ac:dyDescent="0.3">
      <c r="A1071" s="13" t="str">
        <f t="shared" si="48"/>
        <v>-</v>
      </c>
      <c r="B1071" s="27"/>
      <c r="C1071" s="26"/>
      <c r="D1071" s="26"/>
      <c r="E1071" s="26"/>
      <c r="F1071" s="26"/>
      <c r="G1071" s="34">
        <f>SUMIFS('BASE EXEC. Q.L'!N:N,'BASE EXEC. Q.L'!B:B,VOOS!A1071)</f>
        <v>0</v>
      </c>
      <c r="H1071" s="15" t="str">
        <f>IFERROR(_xlfn.XLOOKUP(A1071,'BASE SQL PLANTIO'!B:B,'BASE SQL PLANTIO'!T:T,"verificar",0),"")</f>
        <v/>
      </c>
      <c r="I1071" s="77" t="str">
        <f>IF(_xlfn.MINIFS('BASE SQL PLANTIO'!E:E,'BASE SQL PLANTIO'!B:B,VOOS!A1071)=0/1/1900,"",_xlfn.MINIFS('BASE SQL PLANTIO'!E:E,'BASE SQL PLANTIO'!B:B,VOOS!A1071))</f>
        <v/>
      </c>
      <c r="J1071" s="26"/>
      <c r="K1071" s="34" t="str">
        <f t="shared" si="49"/>
        <v/>
      </c>
      <c r="L1071" s="35" t="str">
        <f t="shared" si="50"/>
        <v/>
      </c>
      <c r="M1071" s="14"/>
      <c r="N1071" s="16"/>
    </row>
    <row r="1072" spans="1:14" ht="15.6" x14ac:dyDescent="0.3">
      <c r="A1072" s="13" t="str">
        <f t="shared" si="48"/>
        <v>-</v>
      </c>
      <c r="B1072" s="27"/>
      <c r="C1072" s="26"/>
      <c r="D1072" s="26"/>
      <c r="E1072" s="26"/>
      <c r="F1072" s="26"/>
      <c r="G1072" s="34">
        <f>SUMIFS('BASE EXEC. Q.L'!N:N,'BASE EXEC. Q.L'!B:B,VOOS!A1072)</f>
        <v>0</v>
      </c>
      <c r="H1072" s="15" t="str">
        <f>IFERROR(_xlfn.XLOOKUP(A1072,'BASE SQL PLANTIO'!B:B,'BASE SQL PLANTIO'!T:T,"verificar",0),"")</f>
        <v/>
      </c>
      <c r="I1072" s="77" t="str">
        <f>IF(_xlfn.MINIFS('BASE SQL PLANTIO'!E:E,'BASE SQL PLANTIO'!B:B,VOOS!A1072)=0/1/1900,"",_xlfn.MINIFS('BASE SQL PLANTIO'!E:E,'BASE SQL PLANTIO'!B:B,VOOS!A1072))</f>
        <v/>
      </c>
      <c r="J1072" s="26"/>
      <c r="K1072" s="34" t="str">
        <f t="shared" si="49"/>
        <v/>
      </c>
      <c r="L1072" s="35" t="str">
        <f t="shared" si="50"/>
        <v/>
      </c>
      <c r="M1072" s="14"/>
      <c r="N1072" s="16"/>
    </row>
    <row r="1073" spans="1:14" ht="15.6" x14ac:dyDescent="0.3">
      <c r="A1073" s="13" t="str">
        <f t="shared" si="48"/>
        <v>-</v>
      </c>
      <c r="B1073" s="25"/>
      <c r="C1073" s="25"/>
      <c r="D1073" s="25"/>
      <c r="E1073" s="25"/>
      <c r="F1073" s="31"/>
      <c r="G1073" s="34">
        <f>SUMIFS('BASE EXEC. Q.L'!N:N,'BASE EXEC. Q.L'!B:B,VOOS!A1073)</f>
        <v>0</v>
      </c>
      <c r="H1073" s="15" t="str">
        <f>IFERROR(_xlfn.XLOOKUP(A1073,'BASE SQL PLANTIO'!B:B,'BASE SQL PLANTIO'!T:T,"verificar",0),"")</f>
        <v/>
      </c>
      <c r="I1073" s="77" t="str">
        <f>IF(_xlfn.MINIFS('BASE SQL PLANTIO'!E:E,'BASE SQL PLANTIO'!B:B,VOOS!A1073)=0/1/1900,"",_xlfn.MINIFS('BASE SQL PLANTIO'!E:E,'BASE SQL PLANTIO'!B:B,VOOS!A1073))</f>
        <v/>
      </c>
      <c r="J1073" s="26"/>
      <c r="K1073" s="34" t="str">
        <f t="shared" si="49"/>
        <v/>
      </c>
      <c r="L1073" s="35" t="str">
        <f t="shared" si="50"/>
        <v/>
      </c>
      <c r="M1073" s="14"/>
      <c r="N1073" s="16"/>
    </row>
    <row r="1074" spans="1:14" ht="15.6" x14ac:dyDescent="0.3">
      <c r="A1074" s="13" t="str">
        <f t="shared" si="48"/>
        <v>-</v>
      </c>
      <c r="B1074" s="25"/>
      <c r="C1074" s="25"/>
      <c r="D1074" s="25"/>
      <c r="E1074" s="25"/>
      <c r="F1074" s="31"/>
      <c r="G1074" s="34">
        <f>SUMIFS('BASE EXEC. Q.L'!N:N,'BASE EXEC. Q.L'!B:B,VOOS!A1074)</f>
        <v>0</v>
      </c>
      <c r="H1074" s="15" t="str">
        <f>IFERROR(_xlfn.XLOOKUP(A1074,'BASE SQL PLANTIO'!B:B,'BASE SQL PLANTIO'!T:T,"verificar",0),"")</f>
        <v/>
      </c>
      <c r="I1074" s="77" t="str">
        <f>IF(_xlfn.MINIFS('BASE SQL PLANTIO'!E:E,'BASE SQL PLANTIO'!B:B,VOOS!A1074)=0/1/1900,"",_xlfn.MINIFS('BASE SQL PLANTIO'!E:E,'BASE SQL PLANTIO'!B:B,VOOS!A1074))</f>
        <v/>
      </c>
      <c r="J1074" s="26"/>
      <c r="K1074" s="34" t="str">
        <f t="shared" si="49"/>
        <v/>
      </c>
      <c r="L1074" s="35" t="str">
        <f t="shared" si="50"/>
        <v/>
      </c>
      <c r="M1074" s="14"/>
      <c r="N1074" s="16"/>
    </row>
    <row r="1075" spans="1:14" ht="15.6" x14ac:dyDescent="0.3">
      <c r="A1075" s="13" t="str">
        <f t="shared" si="48"/>
        <v>-</v>
      </c>
      <c r="B1075" s="25"/>
      <c r="C1075" s="25"/>
      <c r="D1075" s="25"/>
      <c r="E1075" s="25"/>
      <c r="F1075" s="31"/>
      <c r="G1075" s="34">
        <f>SUMIFS('BASE EXEC. Q.L'!N:N,'BASE EXEC. Q.L'!B:B,VOOS!A1075)</f>
        <v>0</v>
      </c>
      <c r="H1075" s="15" t="str">
        <f>IFERROR(_xlfn.XLOOKUP(A1075,'BASE SQL PLANTIO'!B:B,'BASE SQL PLANTIO'!T:T,"verificar",0),"")</f>
        <v/>
      </c>
      <c r="I1075" s="77" t="str">
        <f>IF(_xlfn.MINIFS('BASE SQL PLANTIO'!E:E,'BASE SQL PLANTIO'!B:B,VOOS!A1075)=0/1/1900,"",_xlfn.MINIFS('BASE SQL PLANTIO'!E:E,'BASE SQL PLANTIO'!B:B,VOOS!A1075))</f>
        <v/>
      </c>
      <c r="J1075" s="26"/>
      <c r="K1075" s="34" t="str">
        <f t="shared" si="49"/>
        <v/>
      </c>
      <c r="L1075" s="35" t="str">
        <f t="shared" si="50"/>
        <v/>
      </c>
      <c r="M1075" s="14"/>
      <c r="N1075" s="15"/>
    </row>
    <row r="1076" spans="1:14" ht="15.6" x14ac:dyDescent="0.3">
      <c r="A1076" s="13" t="str">
        <f t="shared" si="48"/>
        <v>-</v>
      </c>
      <c r="B1076" s="27"/>
      <c r="C1076" s="26"/>
      <c r="D1076" s="26"/>
      <c r="E1076" s="26"/>
      <c r="F1076" s="26"/>
      <c r="G1076" s="34">
        <f>SUMIFS('BASE EXEC. Q.L'!N:N,'BASE EXEC. Q.L'!B:B,VOOS!A1076)</f>
        <v>0</v>
      </c>
      <c r="H1076" s="15" t="str">
        <f>IFERROR(_xlfn.XLOOKUP(A1076,'BASE SQL PLANTIO'!B:B,'BASE SQL PLANTIO'!T:T,"verificar",0),"")</f>
        <v/>
      </c>
      <c r="I1076" s="77" t="str">
        <f>IF(_xlfn.MINIFS('BASE SQL PLANTIO'!E:E,'BASE SQL PLANTIO'!B:B,VOOS!A1076)=0/1/1900,"",_xlfn.MINIFS('BASE SQL PLANTIO'!E:E,'BASE SQL PLANTIO'!B:B,VOOS!A1076))</f>
        <v/>
      </c>
      <c r="J1076" s="26"/>
      <c r="K1076" s="34" t="str">
        <f t="shared" si="49"/>
        <v/>
      </c>
      <c r="L1076" s="35" t="str">
        <f t="shared" si="50"/>
        <v/>
      </c>
      <c r="M1076" s="14"/>
      <c r="N1076" s="16"/>
    </row>
    <row r="1077" spans="1:14" ht="15.6" x14ac:dyDescent="0.3">
      <c r="A1077" s="13" t="str">
        <f t="shared" si="48"/>
        <v>-</v>
      </c>
      <c r="B1077" s="27"/>
      <c r="C1077" s="26"/>
      <c r="D1077" s="26"/>
      <c r="E1077" s="26"/>
      <c r="F1077" s="26"/>
      <c r="G1077" s="34">
        <f>SUMIFS('BASE EXEC. Q.L'!N:N,'BASE EXEC. Q.L'!B:B,VOOS!A1077)</f>
        <v>0</v>
      </c>
      <c r="H1077" s="15" t="str">
        <f>IFERROR(_xlfn.XLOOKUP(A1077,'BASE SQL PLANTIO'!B:B,'BASE SQL PLANTIO'!T:T,"verificar",0),"")</f>
        <v/>
      </c>
      <c r="I1077" s="77" t="str">
        <f>IF(_xlfn.MINIFS('BASE SQL PLANTIO'!E:E,'BASE SQL PLANTIO'!B:B,VOOS!A1077)=0/1/1900,"",_xlfn.MINIFS('BASE SQL PLANTIO'!E:E,'BASE SQL PLANTIO'!B:B,VOOS!A1077))</f>
        <v/>
      </c>
      <c r="J1077" s="26"/>
      <c r="K1077" s="34" t="str">
        <f t="shared" si="49"/>
        <v/>
      </c>
      <c r="L1077" s="35" t="str">
        <f t="shared" si="50"/>
        <v/>
      </c>
      <c r="M1077" s="14"/>
      <c r="N1077" s="16"/>
    </row>
    <row r="1078" spans="1:14" ht="15.6" x14ac:dyDescent="0.3">
      <c r="A1078" s="13" t="str">
        <f t="shared" si="48"/>
        <v>-</v>
      </c>
      <c r="B1078" s="25"/>
      <c r="C1078" s="25"/>
      <c r="D1078" s="25"/>
      <c r="E1078" s="25"/>
      <c r="F1078" s="31"/>
      <c r="G1078" s="34">
        <f>SUMIFS('BASE EXEC. Q.L'!N:N,'BASE EXEC. Q.L'!B:B,VOOS!A1078)</f>
        <v>0</v>
      </c>
      <c r="H1078" s="15" t="str">
        <f>IFERROR(_xlfn.XLOOKUP(A1078,'BASE SQL PLANTIO'!B:B,'BASE SQL PLANTIO'!T:T,"verificar",0),"")</f>
        <v/>
      </c>
      <c r="I1078" s="77" t="str">
        <f>IF(_xlfn.MINIFS('BASE SQL PLANTIO'!E:E,'BASE SQL PLANTIO'!B:B,VOOS!A1078)=0/1/1900,"",_xlfn.MINIFS('BASE SQL PLANTIO'!E:E,'BASE SQL PLANTIO'!B:B,VOOS!A1078))</f>
        <v/>
      </c>
      <c r="J1078" s="26"/>
      <c r="K1078" s="34" t="str">
        <f t="shared" si="49"/>
        <v/>
      </c>
      <c r="L1078" s="35" t="str">
        <f t="shared" si="50"/>
        <v/>
      </c>
      <c r="M1078" s="14"/>
      <c r="N1078" s="16"/>
    </row>
    <row r="1079" spans="1:14" ht="15.6" x14ac:dyDescent="0.3">
      <c r="A1079" s="13" t="str">
        <f t="shared" si="48"/>
        <v>-</v>
      </c>
      <c r="B1079" s="25"/>
      <c r="C1079" s="25"/>
      <c r="D1079" s="25"/>
      <c r="E1079" s="25"/>
      <c r="F1079" s="31"/>
      <c r="G1079" s="34">
        <f>SUMIFS('BASE EXEC. Q.L'!N:N,'BASE EXEC. Q.L'!B:B,VOOS!A1079)</f>
        <v>0</v>
      </c>
      <c r="H1079" s="15" t="str">
        <f>IFERROR(_xlfn.XLOOKUP(A1079,'BASE SQL PLANTIO'!B:B,'BASE SQL PLANTIO'!T:T,"verificar",0),"")</f>
        <v/>
      </c>
      <c r="I1079" s="77" t="str">
        <f>IF(_xlfn.MINIFS('BASE SQL PLANTIO'!E:E,'BASE SQL PLANTIO'!B:B,VOOS!A1079)=0/1/1900,"",_xlfn.MINIFS('BASE SQL PLANTIO'!E:E,'BASE SQL PLANTIO'!B:B,VOOS!A1079))</f>
        <v/>
      </c>
      <c r="J1079" s="26"/>
      <c r="K1079" s="34" t="str">
        <f t="shared" si="49"/>
        <v/>
      </c>
      <c r="L1079" s="35" t="str">
        <f t="shared" si="50"/>
        <v/>
      </c>
      <c r="M1079" s="14"/>
      <c r="N1079" s="16"/>
    </row>
    <row r="1080" spans="1:14" ht="15.6" x14ac:dyDescent="0.3">
      <c r="A1080" s="13" t="str">
        <f t="shared" si="48"/>
        <v>-</v>
      </c>
      <c r="B1080" s="25"/>
      <c r="C1080" s="25"/>
      <c r="D1080" s="25"/>
      <c r="E1080" s="25"/>
      <c r="F1080" s="31"/>
      <c r="G1080" s="34">
        <f>SUMIFS('BASE EXEC. Q.L'!N:N,'BASE EXEC. Q.L'!B:B,VOOS!A1080)</f>
        <v>0</v>
      </c>
      <c r="H1080" s="15" t="str">
        <f>IFERROR(_xlfn.XLOOKUP(A1080,'BASE SQL PLANTIO'!B:B,'BASE SQL PLANTIO'!T:T,"verificar",0),"")</f>
        <v/>
      </c>
      <c r="I1080" s="77" t="str">
        <f>IF(_xlfn.MINIFS('BASE SQL PLANTIO'!E:E,'BASE SQL PLANTIO'!B:B,VOOS!A1080)=0/1/1900,"",_xlfn.MINIFS('BASE SQL PLANTIO'!E:E,'BASE SQL PLANTIO'!B:B,VOOS!A1080))</f>
        <v/>
      </c>
      <c r="J1080" s="26"/>
      <c r="K1080" s="34" t="str">
        <f t="shared" si="49"/>
        <v/>
      </c>
      <c r="L1080" s="35" t="str">
        <f t="shared" si="50"/>
        <v/>
      </c>
      <c r="M1080" s="14"/>
      <c r="N1080" s="15"/>
    </row>
    <row r="1081" spans="1:14" ht="15.6" x14ac:dyDescent="0.3">
      <c r="A1081" s="13" t="str">
        <f t="shared" si="48"/>
        <v>-</v>
      </c>
      <c r="B1081" s="27"/>
      <c r="C1081" s="26"/>
      <c r="D1081" s="26"/>
      <c r="E1081" s="26"/>
      <c r="F1081" s="26"/>
      <c r="G1081" s="34">
        <f>SUMIFS('BASE EXEC. Q.L'!N:N,'BASE EXEC. Q.L'!B:B,VOOS!A1081)</f>
        <v>0</v>
      </c>
      <c r="H1081" s="15" t="str">
        <f>IFERROR(_xlfn.XLOOKUP(A1081,'BASE SQL PLANTIO'!B:B,'BASE SQL PLANTIO'!T:T,"verificar",0),"")</f>
        <v/>
      </c>
      <c r="I1081" s="77" t="str">
        <f>IF(_xlfn.MINIFS('BASE SQL PLANTIO'!E:E,'BASE SQL PLANTIO'!B:B,VOOS!A1081)=0/1/1900,"",_xlfn.MINIFS('BASE SQL PLANTIO'!E:E,'BASE SQL PLANTIO'!B:B,VOOS!A1081))</f>
        <v/>
      </c>
      <c r="J1081" s="26"/>
      <c r="K1081" s="34" t="str">
        <f t="shared" si="49"/>
        <v/>
      </c>
      <c r="L1081" s="35" t="str">
        <f t="shared" si="50"/>
        <v/>
      </c>
      <c r="M1081" s="14"/>
      <c r="N1081" s="16"/>
    </row>
    <row r="1082" spans="1:14" ht="15.6" x14ac:dyDescent="0.3">
      <c r="A1082" s="13" t="str">
        <f t="shared" si="48"/>
        <v>-</v>
      </c>
      <c r="B1082" s="27"/>
      <c r="C1082" s="26"/>
      <c r="D1082" s="26"/>
      <c r="E1082" s="26"/>
      <c r="F1082" s="26"/>
      <c r="G1082" s="34">
        <f>SUMIFS('BASE EXEC. Q.L'!N:N,'BASE EXEC. Q.L'!B:B,VOOS!A1082)</f>
        <v>0</v>
      </c>
      <c r="H1082" s="15" t="str">
        <f>IFERROR(_xlfn.XLOOKUP(A1082,'BASE SQL PLANTIO'!B:B,'BASE SQL PLANTIO'!T:T,"verificar",0),"")</f>
        <v/>
      </c>
      <c r="I1082" s="77" t="str">
        <f>IF(_xlfn.MINIFS('BASE SQL PLANTIO'!E:E,'BASE SQL PLANTIO'!B:B,VOOS!A1082)=0/1/1900,"",_xlfn.MINIFS('BASE SQL PLANTIO'!E:E,'BASE SQL PLANTIO'!B:B,VOOS!A1082))</f>
        <v/>
      </c>
      <c r="J1082" s="26"/>
      <c r="K1082" s="34" t="str">
        <f t="shared" si="49"/>
        <v/>
      </c>
      <c r="L1082" s="35" t="str">
        <f t="shared" si="50"/>
        <v/>
      </c>
      <c r="M1082" s="14"/>
      <c r="N1082" s="16"/>
    </row>
    <row r="1083" spans="1:14" ht="15.6" x14ac:dyDescent="0.3">
      <c r="A1083" s="13" t="str">
        <f t="shared" si="48"/>
        <v>-</v>
      </c>
      <c r="B1083" s="25"/>
      <c r="C1083" s="25"/>
      <c r="D1083" s="25"/>
      <c r="E1083" s="25"/>
      <c r="F1083" s="31"/>
      <c r="G1083" s="34">
        <f>SUMIFS('BASE EXEC. Q.L'!N:N,'BASE EXEC. Q.L'!B:B,VOOS!A1083)</f>
        <v>0</v>
      </c>
      <c r="H1083" s="15" t="str">
        <f>IFERROR(_xlfn.XLOOKUP(A1083,'BASE SQL PLANTIO'!B:B,'BASE SQL PLANTIO'!T:T,"verificar",0),"")</f>
        <v/>
      </c>
      <c r="I1083" s="77" t="str">
        <f>IF(_xlfn.MINIFS('BASE SQL PLANTIO'!E:E,'BASE SQL PLANTIO'!B:B,VOOS!A1083)=0/1/1900,"",_xlfn.MINIFS('BASE SQL PLANTIO'!E:E,'BASE SQL PLANTIO'!B:B,VOOS!A1083))</f>
        <v/>
      </c>
      <c r="J1083" s="26"/>
      <c r="K1083" s="34" t="str">
        <f t="shared" si="49"/>
        <v/>
      </c>
      <c r="L1083" s="35" t="str">
        <f t="shared" si="50"/>
        <v/>
      </c>
      <c r="M1083" s="14"/>
      <c r="N1083" s="16"/>
    </row>
    <row r="1084" spans="1:14" ht="15.6" x14ac:dyDescent="0.3">
      <c r="A1084" s="13" t="str">
        <f t="shared" si="48"/>
        <v>-</v>
      </c>
      <c r="B1084" s="25"/>
      <c r="C1084" s="25"/>
      <c r="D1084" s="25"/>
      <c r="E1084" s="25"/>
      <c r="F1084" s="31"/>
      <c r="G1084" s="34">
        <f>SUMIFS('BASE EXEC. Q.L'!N:N,'BASE EXEC. Q.L'!B:B,VOOS!A1084)</f>
        <v>0</v>
      </c>
      <c r="H1084" s="15" t="str">
        <f>IFERROR(_xlfn.XLOOKUP(A1084,'BASE SQL PLANTIO'!B:B,'BASE SQL PLANTIO'!T:T,"verificar",0),"")</f>
        <v/>
      </c>
      <c r="I1084" s="77" t="str">
        <f>IF(_xlfn.MINIFS('BASE SQL PLANTIO'!E:E,'BASE SQL PLANTIO'!B:B,VOOS!A1084)=0/1/1900,"",_xlfn.MINIFS('BASE SQL PLANTIO'!E:E,'BASE SQL PLANTIO'!B:B,VOOS!A1084))</f>
        <v/>
      </c>
      <c r="J1084" s="26"/>
      <c r="K1084" s="34" t="str">
        <f t="shared" si="49"/>
        <v/>
      </c>
      <c r="L1084" s="35" t="str">
        <f t="shared" si="50"/>
        <v/>
      </c>
      <c r="M1084" s="14"/>
      <c r="N1084" s="16"/>
    </row>
    <row r="1085" spans="1:14" ht="15.6" x14ac:dyDescent="0.3">
      <c r="A1085" s="13" t="str">
        <f t="shared" si="48"/>
        <v>-</v>
      </c>
      <c r="B1085" s="25"/>
      <c r="C1085" s="25"/>
      <c r="D1085" s="25"/>
      <c r="E1085" s="25"/>
      <c r="F1085" s="31"/>
      <c r="G1085" s="34">
        <f>SUMIFS('BASE EXEC. Q.L'!N:N,'BASE EXEC. Q.L'!B:B,VOOS!A1085)</f>
        <v>0</v>
      </c>
      <c r="H1085" s="15" t="str">
        <f>IFERROR(_xlfn.XLOOKUP(A1085,'BASE SQL PLANTIO'!B:B,'BASE SQL PLANTIO'!T:T,"verificar",0),"")</f>
        <v/>
      </c>
      <c r="I1085" s="77" t="str">
        <f>IF(_xlfn.MINIFS('BASE SQL PLANTIO'!E:E,'BASE SQL PLANTIO'!B:B,VOOS!A1085)=0/1/1900,"",_xlfn.MINIFS('BASE SQL PLANTIO'!E:E,'BASE SQL PLANTIO'!B:B,VOOS!A1085))</f>
        <v/>
      </c>
      <c r="J1085" s="26"/>
      <c r="K1085" s="34" t="str">
        <f t="shared" si="49"/>
        <v/>
      </c>
      <c r="L1085" s="35" t="str">
        <f t="shared" si="50"/>
        <v/>
      </c>
      <c r="M1085" s="14"/>
      <c r="N1085" s="15"/>
    </row>
    <row r="1086" spans="1:14" ht="15.6" x14ac:dyDescent="0.3">
      <c r="A1086" s="13" t="str">
        <f t="shared" si="48"/>
        <v>-</v>
      </c>
      <c r="B1086" s="27"/>
      <c r="C1086" s="26"/>
      <c r="D1086" s="26"/>
      <c r="E1086" s="26"/>
      <c r="F1086" s="26"/>
      <c r="G1086" s="34">
        <f>SUMIFS('BASE EXEC. Q.L'!N:N,'BASE EXEC. Q.L'!B:B,VOOS!A1086)</f>
        <v>0</v>
      </c>
      <c r="H1086" s="15" t="str">
        <f>IFERROR(_xlfn.XLOOKUP(A1086,'BASE SQL PLANTIO'!B:B,'BASE SQL PLANTIO'!T:T,"verificar",0),"")</f>
        <v/>
      </c>
      <c r="I1086" s="77" t="str">
        <f>IF(_xlfn.MINIFS('BASE SQL PLANTIO'!E:E,'BASE SQL PLANTIO'!B:B,VOOS!A1086)=0/1/1900,"",_xlfn.MINIFS('BASE SQL PLANTIO'!E:E,'BASE SQL PLANTIO'!B:B,VOOS!A1086))</f>
        <v/>
      </c>
      <c r="J1086" s="26"/>
      <c r="K1086" s="34" t="str">
        <f t="shared" si="49"/>
        <v/>
      </c>
      <c r="L1086" s="35" t="str">
        <f t="shared" si="50"/>
        <v/>
      </c>
      <c r="M1086" s="14"/>
      <c r="N1086" s="16"/>
    </row>
    <row r="1087" spans="1:14" ht="15.6" x14ac:dyDescent="0.3">
      <c r="A1087" s="13" t="str">
        <f t="shared" si="48"/>
        <v>-</v>
      </c>
      <c r="B1087" s="27"/>
      <c r="C1087" s="26"/>
      <c r="D1087" s="26"/>
      <c r="E1087" s="26"/>
      <c r="F1087" s="26"/>
      <c r="G1087" s="34">
        <f>SUMIFS('BASE EXEC. Q.L'!N:N,'BASE EXEC. Q.L'!B:B,VOOS!A1087)</f>
        <v>0</v>
      </c>
      <c r="H1087" s="15" t="str">
        <f>IFERROR(_xlfn.XLOOKUP(A1087,'BASE SQL PLANTIO'!B:B,'BASE SQL PLANTIO'!T:T,"verificar",0),"")</f>
        <v/>
      </c>
      <c r="I1087" s="77" t="str">
        <f>IF(_xlfn.MINIFS('BASE SQL PLANTIO'!E:E,'BASE SQL PLANTIO'!B:B,VOOS!A1087)=0/1/1900,"",_xlfn.MINIFS('BASE SQL PLANTIO'!E:E,'BASE SQL PLANTIO'!B:B,VOOS!A1087))</f>
        <v/>
      </c>
      <c r="J1087" s="26"/>
      <c r="K1087" s="34" t="str">
        <f t="shared" si="49"/>
        <v/>
      </c>
      <c r="L1087" s="35" t="str">
        <f t="shared" si="50"/>
        <v/>
      </c>
      <c r="M1087" s="14"/>
      <c r="N1087" s="16"/>
    </row>
    <row r="1088" spans="1:14" ht="15.6" x14ac:dyDescent="0.3">
      <c r="A1088" s="13" t="str">
        <f t="shared" si="48"/>
        <v>-</v>
      </c>
      <c r="B1088" s="25"/>
      <c r="C1088" s="25"/>
      <c r="D1088" s="25"/>
      <c r="E1088" s="25"/>
      <c r="F1088" s="31"/>
      <c r="G1088" s="34">
        <f>SUMIFS('BASE EXEC. Q.L'!N:N,'BASE EXEC. Q.L'!B:B,VOOS!A1088)</f>
        <v>0</v>
      </c>
      <c r="H1088" s="15" t="str">
        <f>IFERROR(_xlfn.XLOOKUP(A1088,'BASE SQL PLANTIO'!B:B,'BASE SQL PLANTIO'!T:T,"verificar",0),"")</f>
        <v/>
      </c>
      <c r="I1088" s="77" t="str">
        <f>IF(_xlfn.MINIFS('BASE SQL PLANTIO'!E:E,'BASE SQL PLANTIO'!B:B,VOOS!A1088)=0/1/1900,"",_xlfn.MINIFS('BASE SQL PLANTIO'!E:E,'BASE SQL PLANTIO'!B:B,VOOS!A1088))</f>
        <v/>
      </c>
      <c r="J1088" s="26"/>
      <c r="K1088" s="34" t="str">
        <f t="shared" si="49"/>
        <v/>
      </c>
      <c r="L1088" s="35" t="str">
        <f t="shared" si="50"/>
        <v/>
      </c>
      <c r="M1088" s="14"/>
      <c r="N1088" s="16"/>
    </row>
    <row r="1089" spans="1:14" ht="15.6" x14ac:dyDescent="0.3">
      <c r="A1089" s="13" t="str">
        <f t="shared" si="48"/>
        <v>-</v>
      </c>
      <c r="B1089" s="25"/>
      <c r="C1089" s="25"/>
      <c r="D1089" s="25"/>
      <c r="E1089" s="25"/>
      <c r="F1089" s="31"/>
      <c r="G1089" s="34">
        <f>SUMIFS('BASE EXEC. Q.L'!N:N,'BASE EXEC. Q.L'!B:B,VOOS!A1089)</f>
        <v>0</v>
      </c>
      <c r="H1089" s="15" t="str">
        <f>IFERROR(_xlfn.XLOOKUP(A1089,'BASE SQL PLANTIO'!B:B,'BASE SQL PLANTIO'!T:T,"verificar",0),"")</f>
        <v/>
      </c>
      <c r="I1089" s="77" t="str">
        <f>IF(_xlfn.MINIFS('BASE SQL PLANTIO'!E:E,'BASE SQL PLANTIO'!B:B,VOOS!A1089)=0/1/1900,"",_xlfn.MINIFS('BASE SQL PLANTIO'!E:E,'BASE SQL PLANTIO'!B:B,VOOS!A1089))</f>
        <v/>
      </c>
      <c r="J1089" s="26"/>
      <c r="K1089" s="34" t="str">
        <f t="shared" si="49"/>
        <v/>
      </c>
      <c r="L1089" s="35" t="str">
        <f t="shared" si="50"/>
        <v/>
      </c>
      <c r="M1089" s="14"/>
      <c r="N1089" s="16"/>
    </row>
    <row r="1090" spans="1:14" ht="15.6" x14ac:dyDescent="0.3">
      <c r="A1090" s="13" t="str">
        <f t="shared" si="48"/>
        <v>-</v>
      </c>
      <c r="B1090" s="25"/>
      <c r="C1090" s="25"/>
      <c r="D1090" s="25"/>
      <c r="E1090" s="25"/>
      <c r="F1090" s="31"/>
      <c r="G1090" s="34">
        <f>SUMIFS('BASE EXEC. Q.L'!N:N,'BASE EXEC. Q.L'!B:B,VOOS!A1090)</f>
        <v>0</v>
      </c>
      <c r="H1090" s="15" t="str">
        <f>IFERROR(_xlfn.XLOOKUP(A1090,'BASE SQL PLANTIO'!B:B,'BASE SQL PLANTIO'!T:T,"verificar",0),"")</f>
        <v/>
      </c>
      <c r="I1090" s="77" t="str">
        <f>IF(_xlfn.MINIFS('BASE SQL PLANTIO'!E:E,'BASE SQL PLANTIO'!B:B,VOOS!A1090)=0/1/1900,"",_xlfn.MINIFS('BASE SQL PLANTIO'!E:E,'BASE SQL PLANTIO'!B:B,VOOS!A1090))</f>
        <v/>
      </c>
      <c r="J1090" s="26"/>
      <c r="K1090" s="34" t="str">
        <f t="shared" si="49"/>
        <v/>
      </c>
      <c r="L1090" s="35" t="str">
        <f t="shared" si="50"/>
        <v/>
      </c>
      <c r="M1090" s="14"/>
      <c r="N1090" s="15"/>
    </row>
    <row r="1091" spans="1:14" ht="15.6" x14ac:dyDescent="0.3">
      <c r="A1091" s="13" t="str">
        <f t="shared" si="48"/>
        <v>-</v>
      </c>
      <c r="B1091" s="27"/>
      <c r="C1091" s="26"/>
      <c r="D1091" s="26"/>
      <c r="E1091" s="26"/>
      <c r="F1091" s="26"/>
      <c r="G1091" s="34">
        <f>SUMIFS('BASE EXEC. Q.L'!N:N,'BASE EXEC. Q.L'!B:B,VOOS!A1091)</f>
        <v>0</v>
      </c>
      <c r="H1091" s="15" t="str">
        <f>IFERROR(_xlfn.XLOOKUP(A1091,'BASE SQL PLANTIO'!B:B,'BASE SQL PLANTIO'!T:T,"verificar",0),"")</f>
        <v/>
      </c>
      <c r="I1091" s="77" t="str">
        <f>IF(_xlfn.MINIFS('BASE SQL PLANTIO'!E:E,'BASE SQL PLANTIO'!B:B,VOOS!A1091)=0/1/1900,"",_xlfn.MINIFS('BASE SQL PLANTIO'!E:E,'BASE SQL PLANTIO'!B:B,VOOS!A1091))</f>
        <v/>
      </c>
      <c r="J1091" s="26"/>
      <c r="K1091" s="34" t="str">
        <f t="shared" si="49"/>
        <v/>
      </c>
      <c r="L1091" s="35" t="str">
        <f t="shared" si="50"/>
        <v/>
      </c>
      <c r="M1091" s="14"/>
      <c r="N1091" s="16"/>
    </row>
    <row r="1092" spans="1:14" ht="15.6" x14ac:dyDescent="0.3">
      <c r="A1092" s="13" t="str">
        <f t="shared" si="48"/>
        <v>-</v>
      </c>
      <c r="B1092" s="27"/>
      <c r="C1092" s="26"/>
      <c r="D1092" s="26"/>
      <c r="E1092" s="26"/>
      <c r="F1092" s="26"/>
      <c r="G1092" s="34">
        <f>SUMIFS('BASE EXEC. Q.L'!N:N,'BASE EXEC. Q.L'!B:B,VOOS!A1092)</f>
        <v>0</v>
      </c>
      <c r="H1092" s="15" t="str">
        <f>IFERROR(_xlfn.XLOOKUP(A1092,'BASE SQL PLANTIO'!B:B,'BASE SQL PLANTIO'!T:T,"verificar",0),"")</f>
        <v/>
      </c>
      <c r="I1092" s="77" t="str">
        <f>IF(_xlfn.MINIFS('BASE SQL PLANTIO'!E:E,'BASE SQL PLANTIO'!B:B,VOOS!A1092)=0/1/1900,"",_xlfn.MINIFS('BASE SQL PLANTIO'!E:E,'BASE SQL PLANTIO'!B:B,VOOS!A1092))</f>
        <v/>
      </c>
      <c r="J1092" s="26"/>
      <c r="K1092" s="34" t="str">
        <f t="shared" si="49"/>
        <v/>
      </c>
      <c r="L1092" s="35" t="str">
        <f t="shared" si="50"/>
        <v/>
      </c>
      <c r="M1092" s="14"/>
      <c r="N1092" s="16"/>
    </row>
    <row r="1093" spans="1:14" ht="15.6" x14ac:dyDescent="0.3">
      <c r="A1093" s="13" t="str">
        <f t="shared" ref="A1093:A1156" si="51">CONCATENATE(B1093,"-",E1093)</f>
        <v>-</v>
      </c>
      <c r="B1093" s="25"/>
      <c r="C1093" s="25"/>
      <c r="D1093" s="25"/>
      <c r="E1093" s="25"/>
      <c r="F1093" s="31"/>
      <c r="G1093" s="34">
        <f>SUMIFS('BASE EXEC. Q.L'!N:N,'BASE EXEC. Q.L'!B:B,VOOS!A1093)</f>
        <v>0</v>
      </c>
      <c r="H1093" s="15" t="str">
        <f>IFERROR(_xlfn.XLOOKUP(A1093,'BASE SQL PLANTIO'!B:B,'BASE SQL PLANTIO'!T:T,"verificar",0),"")</f>
        <v/>
      </c>
      <c r="I1093" s="77" t="str">
        <f>IF(_xlfn.MINIFS('BASE SQL PLANTIO'!E:E,'BASE SQL PLANTIO'!B:B,VOOS!A1093)=0/1/1900,"",_xlfn.MINIFS('BASE SQL PLANTIO'!E:E,'BASE SQL PLANTIO'!B:B,VOOS!A1093))</f>
        <v/>
      </c>
      <c r="J1093" s="26"/>
      <c r="K1093" s="34" t="str">
        <f t="shared" ref="K1093:K1156" si="52">IF(I1093="","",$K$3-I1093)</f>
        <v/>
      </c>
      <c r="L1093" s="35" t="str">
        <f t="shared" ref="L1093:L1156" si="53">K1093</f>
        <v/>
      </c>
      <c r="M1093" s="14"/>
      <c r="N1093" s="16"/>
    </row>
    <row r="1094" spans="1:14" ht="15.6" x14ac:dyDescent="0.3">
      <c r="A1094" s="13" t="str">
        <f t="shared" si="51"/>
        <v>-</v>
      </c>
      <c r="B1094" s="25"/>
      <c r="C1094" s="25"/>
      <c r="D1094" s="25"/>
      <c r="E1094" s="25"/>
      <c r="F1094" s="31"/>
      <c r="G1094" s="34">
        <f>SUMIFS('BASE EXEC. Q.L'!N:N,'BASE EXEC. Q.L'!B:B,VOOS!A1094)</f>
        <v>0</v>
      </c>
      <c r="H1094" s="15" t="str">
        <f>IFERROR(_xlfn.XLOOKUP(A1094,'BASE SQL PLANTIO'!B:B,'BASE SQL PLANTIO'!T:T,"verificar",0),"")</f>
        <v/>
      </c>
      <c r="I1094" s="77" t="str">
        <f>IF(_xlfn.MINIFS('BASE SQL PLANTIO'!E:E,'BASE SQL PLANTIO'!B:B,VOOS!A1094)=0/1/1900,"",_xlfn.MINIFS('BASE SQL PLANTIO'!E:E,'BASE SQL PLANTIO'!B:B,VOOS!A1094))</f>
        <v/>
      </c>
      <c r="J1094" s="26"/>
      <c r="K1094" s="34" t="str">
        <f t="shared" si="52"/>
        <v/>
      </c>
      <c r="L1094" s="35" t="str">
        <f t="shared" si="53"/>
        <v/>
      </c>
      <c r="M1094" s="14"/>
      <c r="N1094" s="16"/>
    </row>
    <row r="1095" spans="1:14" ht="15.6" x14ac:dyDescent="0.3">
      <c r="A1095" s="13" t="str">
        <f t="shared" si="51"/>
        <v>-</v>
      </c>
      <c r="B1095" s="25"/>
      <c r="C1095" s="25"/>
      <c r="D1095" s="25"/>
      <c r="E1095" s="25"/>
      <c r="F1095" s="31"/>
      <c r="G1095" s="34">
        <f>SUMIFS('BASE EXEC. Q.L'!N:N,'BASE EXEC. Q.L'!B:B,VOOS!A1095)</f>
        <v>0</v>
      </c>
      <c r="H1095" s="15" t="str">
        <f>IFERROR(_xlfn.XLOOKUP(A1095,'BASE SQL PLANTIO'!B:B,'BASE SQL PLANTIO'!T:T,"verificar",0),"")</f>
        <v/>
      </c>
      <c r="I1095" s="77" t="str">
        <f>IF(_xlfn.MINIFS('BASE SQL PLANTIO'!E:E,'BASE SQL PLANTIO'!B:B,VOOS!A1095)=0/1/1900,"",_xlfn.MINIFS('BASE SQL PLANTIO'!E:E,'BASE SQL PLANTIO'!B:B,VOOS!A1095))</f>
        <v/>
      </c>
      <c r="J1095" s="26"/>
      <c r="K1095" s="34" t="str">
        <f t="shared" si="52"/>
        <v/>
      </c>
      <c r="L1095" s="35" t="str">
        <f t="shared" si="53"/>
        <v/>
      </c>
      <c r="M1095" s="14"/>
      <c r="N1095" s="16"/>
    </row>
    <row r="1096" spans="1:14" ht="15.6" x14ac:dyDescent="0.3">
      <c r="A1096" s="13" t="str">
        <f t="shared" si="51"/>
        <v>-</v>
      </c>
      <c r="B1096" s="27"/>
      <c r="C1096" s="26"/>
      <c r="D1096" s="26"/>
      <c r="E1096" s="26"/>
      <c r="F1096" s="26"/>
      <c r="G1096" s="34">
        <f>SUMIFS('BASE EXEC. Q.L'!N:N,'BASE EXEC. Q.L'!B:B,VOOS!A1096)</f>
        <v>0</v>
      </c>
      <c r="H1096" s="15" t="str">
        <f>IFERROR(_xlfn.XLOOKUP(A1096,'BASE SQL PLANTIO'!B:B,'BASE SQL PLANTIO'!T:T,"verificar",0),"")</f>
        <v/>
      </c>
      <c r="I1096" s="77" t="str">
        <f>IF(_xlfn.MINIFS('BASE SQL PLANTIO'!E:E,'BASE SQL PLANTIO'!B:B,VOOS!A1096)=0/1/1900,"",_xlfn.MINIFS('BASE SQL PLANTIO'!E:E,'BASE SQL PLANTIO'!B:B,VOOS!A1096))</f>
        <v/>
      </c>
      <c r="J1096" s="26"/>
      <c r="K1096" s="34" t="str">
        <f t="shared" si="52"/>
        <v/>
      </c>
      <c r="L1096" s="35" t="str">
        <f t="shared" si="53"/>
        <v/>
      </c>
      <c r="M1096" s="14"/>
      <c r="N1096" s="16"/>
    </row>
    <row r="1097" spans="1:14" ht="15.6" x14ac:dyDescent="0.3">
      <c r="A1097" s="13" t="str">
        <f t="shared" si="51"/>
        <v>-</v>
      </c>
      <c r="B1097" s="27"/>
      <c r="C1097" s="26"/>
      <c r="D1097" s="26"/>
      <c r="E1097" s="26"/>
      <c r="F1097" s="26"/>
      <c r="G1097" s="34">
        <f>SUMIFS('BASE EXEC. Q.L'!N:N,'BASE EXEC. Q.L'!B:B,VOOS!A1097)</f>
        <v>0</v>
      </c>
      <c r="H1097" s="15" t="str">
        <f>IFERROR(_xlfn.XLOOKUP(A1097,'BASE SQL PLANTIO'!B:B,'BASE SQL PLANTIO'!T:T,"verificar",0),"")</f>
        <v/>
      </c>
      <c r="I1097" s="77" t="str">
        <f>IF(_xlfn.MINIFS('BASE SQL PLANTIO'!E:E,'BASE SQL PLANTIO'!B:B,VOOS!A1097)=0/1/1900,"",_xlfn.MINIFS('BASE SQL PLANTIO'!E:E,'BASE SQL PLANTIO'!B:B,VOOS!A1097))</f>
        <v/>
      </c>
      <c r="J1097" s="26"/>
      <c r="K1097" s="34" t="str">
        <f t="shared" si="52"/>
        <v/>
      </c>
      <c r="L1097" s="35" t="str">
        <f t="shared" si="53"/>
        <v/>
      </c>
      <c r="M1097" s="14"/>
      <c r="N1097" s="16"/>
    </row>
    <row r="1098" spans="1:14" ht="15.6" x14ac:dyDescent="0.3">
      <c r="A1098" s="13" t="str">
        <f t="shared" si="51"/>
        <v>-</v>
      </c>
      <c r="B1098" s="25"/>
      <c r="C1098" s="25"/>
      <c r="D1098" s="25"/>
      <c r="E1098" s="25"/>
      <c r="F1098" s="31"/>
      <c r="G1098" s="34">
        <f>SUMIFS('BASE EXEC. Q.L'!N:N,'BASE EXEC. Q.L'!B:B,VOOS!A1098)</f>
        <v>0</v>
      </c>
      <c r="H1098" s="15" t="str">
        <f>IFERROR(_xlfn.XLOOKUP(A1098,'BASE SQL PLANTIO'!B:B,'BASE SQL PLANTIO'!T:T,"verificar",0),"")</f>
        <v/>
      </c>
      <c r="I1098" s="77" t="str">
        <f>IF(_xlfn.MINIFS('BASE SQL PLANTIO'!E:E,'BASE SQL PLANTIO'!B:B,VOOS!A1098)=0/1/1900,"",_xlfn.MINIFS('BASE SQL PLANTIO'!E:E,'BASE SQL PLANTIO'!B:B,VOOS!A1098))</f>
        <v/>
      </c>
      <c r="J1098" s="26"/>
      <c r="K1098" s="34" t="str">
        <f t="shared" si="52"/>
        <v/>
      </c>
      <c r="L1098" s="35" t="str">
        <f t="shared" si="53"/>
        <v/>
      </c>
      <c r="M1098" s="14"/>
      <c r="N1098" s="16"/>
    </row>
    <row r="1099" spans="1:14" ht="15.6" x14ac:dyDescent="0.3">
      <c r="A1099" s="13" t="str">
        <f t="shared" si="51"/>
        <v>-</v>
      </c>
      <c r="B1099" s="25"/>
      <c r="C1099" s="25"/>
      <c r="D1099" s="25"/>
      <c r="E1099" s="25"/>
      <c r="F1099" s="31"/>
      <c r="G1099" s="34">
        <f>SUMIFS('BASE EXEC. Q.L'!N:N,'BASE EXEC. Q.L'!B:B,VOOS!A1099)</f>
        <v>0</v>
      </c>
      <c r="H1099" s="15" t="str">
        <f>IFERROR(_xlfn.XLOOKUP(A1099,'BASE SQL PLANTIO'!B:B,'BASE SQL PLANTIO'!T:T,"verificar",0),"")</f>
        <v/>
      </c>
      <c r="I1099" s="77" t="str">
        <f>IF(_xlfn.MINIFS('BASE SQL PLANTIO'!E:E,'BASE SQL PLANTIO'!B:B,VOOS!A1099)=0/1/1900,"",_xlfn.MINIFS('BASE SQL PLANTIO'!E:E,'BASE SQL PLANTIO'!B:B,VOOS!A1099))</f>
        <v/>
      </c>
      <c r="J1099" s="26"/>
      <c r="K1099" s="34" t="str">
        <f t="shared" si="52"/>
        <v/>
      </c>
      <c r="L1099" s="35" t="str">
        <f t="shared" si="53"/>
        <v/>
      </c>
      <c r="M1099" s="14"/>
      <c r="N1099" s="16"/>
    </row>
    <row r="1100" spans="1:14" ht="15.6" x14ac:dyDescent="0.3">
      <c r="A1100" s="13" t="str">
        <f t="shared" si="51"/>
        <v>-</v>
      </c>
      <c r="B1100" s="25"/>
      <c r="C1100" s="25"/>
      <c r="D1100" s="25"/>
      <c r="E1100" s="25"/>
      <c r="F1100" s="31"/>
      <c r="G1100" s="34">
        <f>SUMIFS('BASE EXEC. Q.L'!N:N,'BASE EXEC. Q.L'!B:B,VOOS!A1100)</f>
        <v>0</v>
      </c>
      <c r="H1100" s="15" t="str">
        <f>IFERROR(_xlfn.XLOOKUP(A1100,'BASE SQL PLANTIO'!B:B,'BASE SQL PLANTIO'!T:T,"verificar",0),"")</f>
        <v/>
      </c>
      <c r="I1100" s="77" t="str">
        <f>IF(_xlfn.MINIFS('BASE SQL PLANTIO'!E:E,'BASE SQL PLANTIO'!B:B,VOOS!A1100)=0/1/1900,"",_xlfn.MINIFS('BASE SQL PLANTIO'!E:E,'BASE SQL PLANTIO'!B:B,VOOS!A1100))</f>
        <v/>
      </c>
      <c r="J1100" s="26"/>
      <c r="K1100" s="34" t="str">
        <f t="shared" si="52"/>
        <v/>
      </c>
      <c r="L1100" s="35" t="str">
        <f t="shared" si="53"/>
        <v/>
      </c>
      <c r="M1100" s="14"/>
      <c r="N1100" s="16"/>
    </row>
    <row r="1101" spans="1:14" ht="15.6" x14ac:dyDescent="0.3">
      <c r="A1101" s="13" t="str">
        <f t="shared" si="51"/>
        <v>-</v>
      </c>
      <c r="B1101" s="27"/>
      <c r="C1101" s="26"/>
      <c r="D1101" s="26"/>
      <c r="E1101" s="26"/>
      <c r="F1101" s="26"/>
      <c r="G1101" s="34">
        <f>SUMIFS('BASE EXEC. Q.L'!N:N,'BASE EXEC. Q.L'!B:B,VOOS!A1101)</f>
        <v>0</v>
      </c>
      <c r="H1101" s="15" t="str">
        <f>IFERROR(_xlfn.XLOOKUP(A1101,'BASE SQL PLANTIO'!B:B,'BASE SQL PLANTIO'!T:T,"verificar",0),"")</f>
        <v/>
      </c>
      <c r="I1101" s="77" t="str">
        <f>IF(_xlfn.MINIFS('BASE SQL PLANTIO'!E:E,'BASE SQL PLANTIO'!B:B,VOOS!A1101)=0/1/1900,"",_xlfn.MINIFS('BASE SQL PLANTIO'!E:E,'BASE SQL PLANTIO'!B:B,VOOS!A1101))</f>
        <v/>
      </c>
      <c r="J1101" s="26"/>
      <c r="K1101" s="34" t="str">
        <f t="shared" si="52"/>
        <v/>
      </c>
      <c r="L1101" s="35" t="str">
        <f t="shared" si="53"/>
        <v/>
      </c>
      <c r="M1101" s="14"/>
      <c r="N1101" s="16"/>
    </row>
    <row r="1102" spans="1:14" ht="15.6" x14ac:dyDescent="0.3">
      <c r="A1102" s="13" t="str">
        <f t="shared" si="51"/>
        <v>-</v>
      </c>
      <c r="B1102" s="27"/>
      <c r="C1102" s="26"/>
      <c r="D1102" s="26"/>
      <c r="E1102" s="26"/>
      <c r="F1102" s="26"/>
      <c r="G1102" s="34">
        <f>SUMIFS('BASE EXEC. Q.L'!N:N,'BASE EXEC. Q.L'!B:B,VOOS!A1102)</f>
        <v>0</v>
      </c>
      <c r="H1102" s="15" t="str">
        <f>IFERROR(_xlfn.XLOOKUP(A1102,'BASE SQL PLANTIO'!B:B,'BASE SQL PLANTIO'!T:T,"verificar",0),"")</f>
        <v/>
      </c>
      <c r="I1102" s="77" t="str">
        <f>IF(_xlfn.MINIFS('BASE SQL PLANTIO'!E:E,'BASE SQL PLANTIO'!B:B,VOOS!A1102)=0/1/1900,"",_xlfn.MINIFS('BASE SQL PLANTIO'!E:E,'BASE SQL PLANTIO'!B:B,VOOS!A1102))</f>
        <v/>
      </c>
      <c r="J1102" s="26"/>
      <c r="K1102" s="34" t="str">
        <f t="shared" si="52"/>
        <v/>
      </c>
      <c r="L1102" s="35" t="str">
        <f t="shared" si="53"/>
        <v/>
      </c>
      <c r="M1102" s="14"/>
      <c r="N1102" s="16"/>
    </row>
    <row r="1103" spans="1:14" ht="15.6" x14ac:dyDescent="0.3">
      <c r="A1103" s="13" t="str">
        <f t="shared" si="51"/>
        <v>-</v>
      </c>
      <c r="B1103" s="25"/>
      <c r="C1103" s="25"/>
      <c r="D1103" s="25"/>
      <c r="E1103" s="25"/>
      <c r="F1103" s="31"/>
      <c r="G1103" s="34">
        <f>SUMIFS('BASE EXEC. Q.L'!N:N,'BASE EXEC. Q.L'!B:B,VOOS!A1103)</f>
        <v>0</v>
      </c>
      <c r="H1103" s="15" t="str">
        <f>IFERROR(_xlfn.XLOOKUP(A1103,'BASE SQL PLANTIO'!B:B,'BASE SQL PLANTIO'!T:T,"verificar",0),"")</f>
        <v/>
      </c>
      <c r="I1103" s="77" t="str">
        <f>IF(_xlfn.MINIFS('BASE SQL PLANTIO'!E:E,'BASE SQL PLANTIO'!B:B,VOOS!A1103)=0/1/1900,"",_xlfn.MINIFS('BASE SQL PLANTIO'!E:E,'BASE SQL PLANTIO'!B:B,VOOS!A1103))</f>
        <v/>
      </c>
      <c r="J1103" s="26"/>
      <c r="K1103" s="34" t="str">
        <f t="shared" si="52"/>
        <v/>
      </c>
      <c r="L1103" s="35" t="str">
        <f t="shared" si="53"/>
        <v/>
      </c>
      <c r="M1103" s="14"/>
      <c r="N1103" s="16"/>
    </row>
    <row r="1104" spans="1:14" ht="15.6" x14ac:dyDescent="0.3">
      <c r="A1104" s="13" t="str">
        <f t="shared" si="51"/>
        <v>-</v>
      </c>
      <c r="B1104" s="25"/>
      <c r="C1104" s="25"/>
      <c r="D1104" s="25"/>
      <c r="E1104" s="25"/>
      <c r="F1104" s="31"/>
      <c r="G1104" s="34">
        <f>SUMIFS('BASE EXEC. Q.L'!N:N,'BASE EXEC. Q.L'!B:B,VOOS!A1104)</f>
        <v>0</v>
      </c>
      <c r="H1104" s="15" t="str">
        <f>IFERROR(_xlfn.XLOOKUP(A1104,'BASE SQL PLANTIO'!B:B,'BASE SQL PLANTIO'!T:T,"verificar",0),"")</f>
        <v/>
      </c>
      <c r="I1104" s="77" t="str">
        <f>IF(_xlfn.MINIFS('BASE SQL PLANTIO'!E:E,'BASE SQL PLANTIO'!B:B,VOOS!A1104)=0/1/1900,"",_xlfn.MINIFS('BASE SQL PLANTIO'!E:E,'BASE SQL PLANTIO'!B:B,VOOS!A1104))</f>
        <v/>
      </c>
      <c r="J1104" s="26"/>
      <c r="K1104" s="34" t="str">
        <f t="shared" si="52"/>
        <v/>
      </c>
      <c r="L1104" s="35" t="str">
        <f t="shared" si="53"/>
        <v/>
      </c>
      <c r="M1104" s="14"/>
      <c r="N1104" s="16"/>
    </row>
    <row r="1105" spans="1:14" ht="15.6" x14ac:dyDescent="0.3">
      <c r="A1105" s="13" t="str">
        <f t="shared" si="51"/>
        <v>-</v>
      </c>
      <c r="B1105" s="25"/>
      <c r="C1105" s="25"/>
      <c r="D1105" s="25"/>
      <c r="E1105" s="25"/>
      <c r="F1105" s="31"/>
      <c r="G1105" s="34">
        <f>SUMIFS('BASE EXEC. Q.L'!N:N,'BASE EXEC. Q.L'!B:B,VOOS!A1105)</f>
        <v>0</v>
      </c>
      <c r="H1105" s="15" t="str">
        <f>IFERROR(_xlfn.XLOOKUP(A1105,'BASE SQL PLANTIO'!B:B,'BASE SQL PLANTIO'!T:T,"verificar",0),"")</f>
        <v/>
      </c>
      <c r="I1105" s="77" t="str">
        <f>IF(_xlfn.MINIFS('BASE SQL PLANTIO'!E:E,'BASE SQL PLANTIO'!B:B,VOOS!A1105)=0/1/1900,"",_xlfn.MINIFS('BASE SQL PLANTIO'!E:E,'BASE SQL PLANTIO'!B:B,VOOS!A1105))</f>
        <v/>
      </c>
      <c r="J1105" s="26"/>
      <c r="K1105" s="34" t="str">
        <f t="shared" si="52"/>
        <v/>
      </c>
      <c r="L1105" s="35" t="str">
        <f t="shared" si="53"/>
        <v/>
      </c>
      <c r="M1105" s="14"/>
      <c r="N1105" s="16"/>
    </row>
    <row r="1106" spans="1:14" ht="15.6" x14ac:dyDescent="0.3">
      <c r="A1106" s="13" t="str">
        <f t="shared" si="51"/>
        <v>-</v>
      </c>
      <c r="B1106" s="27"/>
      <c r="C1106" s="26"/>
      <c r="D1106" s="26"/>
      <c r="E1106" s="26"/>
      <c r="F1106" s="26"/>
      <c r="G1106" s="34">
        <f>SUMIFS('BASE EXEC. Q.L'!N:N,'BASE EXEC. Q.L'!B:B,VOOS!A1106)</f>
        <v>0</v>
      </c>
      <c r="H1106" s="15" t="str">
        <f>IFERROR(_xlfn.XLOOKUP(A1106,'BASE SQL PLANTIO'!B:B,'BASE SQL PLANTIO'!T:T,"verificar",0),"")</f>
        <v/>
      </c>
      <c r="I1106" s="77" t="str">
        <f>IF(_xlfn.MINIFS('BASE SQL PLANTIO'!E:E,'BASE SQL PLANTIO'!B:B,VOOS!A1106)=0/1/1900,"",_xlfn.MINIFS('BASE SQL PLANTIO'!E:E,'BASE SQL PLANTIO'!B:B,VOOS!A1106))</f>
        <v/>
      </c>
      <c r="J1106" s="26"/>
      <c r="K1106" s="34" t="str">
        <f t="shared" si="52"/>
        <v/>
      </c>
      <c r="L1106" s="35" t="str">
        <f t="shared" si="53"/>
        <v/>
      </c>
      <c r="M1106" s="14"/>
      <c r="N1106" s="16"/>
    </row>
    <row r="1107" spans="1:14" ht="15.6" x14ac:dyDescent="0.3">
      <c r="A1107" s="13" t="str">
        <f t="shared" si="51"/>
        <v>-</v>
      </c>
      <c r="B1107" s="27"/>
      <c r="C1107" s="26"/>
      <c r="D1107" s="26"/>
      <c r="E1107" s="26"/>
      <c r="F1107" s="26"/>
      <c r="G1107" s="34">
        <f>SUMIFS('BASE EXEC. Q.L'!N:N,'BASE EXEC. Q.L'!B:B,VOOS!A1107)</f>
        <v>0</v>
      </c>
      <c r="H1107" s="15" t="str">
        <f>IFERROR(_xlfn.XLOOKUP(A1107,'BASE SQL PLANTIO'!B:B,'BASE SQL PLANTIO'!T:T,"verificar",0),"")</f>
        <v/>
      </c>
      <c r="I1107" s="77" t="str">
        <f>IF(_xlfn.MINIFS('BASE SQL PLANTIO'!E:E,'BASE SQL PLANTIO'!B:B,VOOS!A1107)=0/1/1900,"",_xlfn.MINIFS('BASE SQL PLANTIO'!E:E,'BASE SQL PLANTIO'!B:B,VOOS!A1107))</f>
        <v/>
      </c>
      <c r="J1107" s="26"/>
      <c r="K1107" s="34" t="str">
        <f t="shared" si="52"/>
        <v/>
      </c>
      <c r="L1107" s="35" t="str">
        <f t="shared" si="53"/>
        <v/>
      </c>
      <c r="M1107" s="14"/>
      <c r="N1107" s="16"/>
    </row>
    <row r="1108" spans="1:14" ht="15.6" x14ac:dyDescent="0.3">
      <c r="A1108" s="13" t="str">
        <f t="shared" si="51"/>
        <v>-</v>
      </c>
      <c r="B1108" s="27"/>
      <c r="C1108" s="26"/>
      <c r="D1108" s="26"/>
      <c r="E1108" s="26"/>
      <c r="F1108" s="26"/>
      <c r="G1108" s="34">
        <f>SUMIFS('BASE EXEC. Q.L'!N:N,'BASE EXEC. Q.L'!B:B,VOOS!A1108)</f>
        <v>0</v>
      </c>
      <c r="H1108" s="15" t="str">
        <f>IFERROR(_xlfn.XLOOKUP(A1108,'BASE SQL PLANTIO'!B:B,'BASE SQL PLANTIO'!T:T,"verificar",0),"")</f>
        <v/>
      </c>
      <c r="I1108" s="77" t="str">
        <f>IF(_xlfn.MINIFS('BASE SQL PLANTIO'!E:E,'BASE SQL PLANTIO'!B:B,VOOS!A1108)=0/1/1900,"",_xlfn.MINIFS('BASE SQL PLANTIO'!E:E,'BASE SQL PLANTIO'!B:B,VOOS!A1108))</f>
        <v/>
      </c>
      <c r="J1108" s="26"/>
      <c r="K1108" s="34" t="str">
        <f t="shared" si="52"/>
        <v/>
      </c>
      <c r="L1108" s="35" t="str">
        <f t="shared" si="53"/>
        <v/>
      </c>
      <c r="M1108" s="14"/>
      <c r="N1108" s="16"/>
    </row>
    <row r="1109" spans="1:14" ht="15.6" x14ac:dyDescent="0.3">
      <c r="A1109" s="13" t="str">
        <f t="shared" si="51"/>
        <v>-</v>
      </c>
      <c r="B1109" s="27"/>
      <c r="C1109" s="26"/>
      <c r="D1109" s="26"/>
      <c r="E1109" s="26"/>
      <c r="F1109" s="26"/>
      <c r="G1109" s="34">
        <f>SUMIFS('BASE EXEC. Q.L'!N:N,'BASE EXEC. Q.L'!B:B,VOOS!A1109)</f>
        <v>0</v>
      </c>
      <c r="H1109" s="15" t="str">
        <f>IFERROR(_xlfn.XLOOKUP(A1109,'BASE SQL PLANTIO'!B:B,'BASE SQL PLANTIO'!T:T,"verificar",0),"")</f>
        <v/>
      </c>
      <c r="I1109" s="77" t="str">
        <f>IF(_xlfn.MINIFS('BASE SQL PLANTIO'!E:E,'BASE SQL PLANTIO'!B:B,VOOS!A1109)=0/1/1900,"",_xlfn.MINIFS('BASE SQL PLANTIO'!E:E,'BASE SQL PLANTIO'!B:B,VOOS!A1109))</f>
        <v/>
      </c>
      <c r="J1109" s="26"/>
      <c r="K1109" s="34" t="str">
        <f t="shared" si="52"/>
        <v/>
      </c>
      <c r="L1109" s="35" t="str">
        <f t="shared" si="53"/>
        <v/>
      </c>
      <c r="M1109" s="14"/>
      <c r="N1109" s="16"/>
    </row>
    <row r="1110" spans="1:14" ht="15.6" x14ac:dyDescent="0.3">
      <c r="A1110" s="13" t="str">
        <f t="shared" si="51"/>
        <v>-</v>
      </c>
      <c r="B1110" s="27"/>
      <c r="C1110" s="26"/>
      <c r="D1110" s="26"/>
      <c r="E1110" s="26"/>
      <c r="F1110" s="26"/>
      <c r="G1110" s="34">
        <f>SUMIFS('BASE EXEC. Q.L'!N:N,'BASE EXEC. Q.L'!B:B,VOOS!A1110)</f>
        <v>0</v>
      </c>
      <c r="H1110" s="15" t="str">
        <f>IFERROR(_xlfn.XLOOKUP(A1110,'BASE SQL PLANTIO'!B:B,'BASE SQL PLANTIO'!T:T,"verificar",0),"")</f>
        <v/>
      </c>
      <c r="I1110" s="77" t="str">
        <f>IF(_xlfn.MINIFS('BASE SQL PLANTIO'!E:E,'BASE SQL PLANTIO'!B:B,VOOS!A1110)=0/1/1900,"",_xlfn.MINIFS('BASE SQL PLANTIO'!E:E,'BASE SQL PLANTIO'!B:B,VOOS!A1110))</f>
        <v/>
      </c>
      <c r="J1110" s="26"/>
      <c r="K1110" s="34" t="str">
        <f t="shared" si="52"/>
        <v/>
      </c>
      <c r="L1110" s="35" t="str">
        <f t="shared" si="53"/>
        <v/>
      </c>
      <c r="M1110" s="14"/>
      <c r="N1110" s="15"/>
    </row>
    <row r="1111" spans="1:14" ht="15.6" x14ac:dyDescent="0.3">
      <c r="A1111" s="13" t="str">
        <f t="shared" si="51"/>
        <v>-</v>
      </c>
      <c r="B1111" s="27"/>
      <c r="C1111" s="26"/>
      <c r="D1111" s="26"/>
      <c r="E1111" s="26"/>
      <c r="F1111" s="26"/>
      <c r="G1111" s="34">
        <f>SUMIFS('BASE EXEC. Q.L'!N:N,'BASE EXEC. Q.L'!B:B,VOOS!A1111)</f>
        <v>0</v>
      </c>
      <c r="H1111" s="15" t="str">
        <f>IFERROR(_xlfn.XLOOKUP(A1111,'BASE SQL PLANTIO'!B:B,'BASE SQL PLANTIO'!T:T,"verificar",0),"")</f>
        <v/>
      </c>
      <c r="I1111" s="77" t="str">
        <f>IF(_xlfn.MINIFS('BASE SQL PLANTIO'!E:E,'BASE SQL PLANTIO'!B:B,VOOS!A1111)=0/1/1900,"",_xlfn.MINIFS('BASE SQL PLANTIO'!E:E,'BASE SQL PLANTIO'!B:B,VOOS!A1111))</f>
        <v/>
      </c>
      <c r="J1111" s="26"/>
      <c r="K1111" s="34" t="str">
        <f t="shared" si="52"/>
        <v/>
      </c>
      <c r="L1111" s="35" t="str">
        <f t="shared" si="53"/>
        <v/>
      </c>
      <c r="M1111" s="14"/>
      <c r="N1111" s="16"/>
    </row>
    <row r="1112" spans="1:14" ht="15.6" x14ac:dyDescent="0.3">
      <c r="A1112" s="13" t="str">
        <f t="shared" si="51"/>
        <v>-</v>
      </c>
      <c r="B1112" s="27"/>
      <c r="C1112" s="26"/>
      <c r="D1112" s="26"/>
      <c r="E1112" s="26"/>
      <c r="F1112" s="26"/>
      <c r="G1112" s="34">
        <f>SUMIFS('BASE EXEC. Q.L'!N:N,'BASE EXEC. Q.L'!B:B,VOOS!A1112)</f>
        <v>0</v>
      </c>
      <c r="H1112" s="15" t="str">
        <f>IFERROR(_xlfn.XLOOKUP(A1112,'BASE SQL PLANTIO'!B:B,'BASE SQL PLANTIO'!T:T,"verificar",0),"")</f>
        <v/>
      </c>
      <c r="I1112" s="77" t="str">
        <f>IF(_xlfn.MINIFS('BASE SQL PLANTIO'!E:E,'BASE SQL PLANTIO'!B:B,VOOS!A1112)=0/1/1900,"",_xlfn.MINIFS('BASE SQL PLANTIO'!E:E,'BASE SQL PLANTIO'!B:B,VOOS!A1112))</f>
        <v/>
      </c>
      <c r="J1112" s="26"/>
      <c r="K1112" s="34" t="str">
        <f t="shared" si="52"/>
        <v/>
      </c>
      <c r="L1112" s="35" t="str">
        <f t="shared" si="53"/>
        <v/>
      </c>
      <c r="M1112" s="14"/>
      <c r="N1112" s="16"/>
    </row>
    <row r="1113" spans="1:14" ht="15.6" x14ac:dyDescent="0.3">
      <c r="A1113" s="13" t="str">
        <f t="shared" si="51"/>
        <v>-</v>
      </c>
      <c r="B1113" s="27"/>
      <c r="C1113" s="26"/>
      <c r="D1113" s="26"/>
      <c r="E1113" s="26"/>
      <c r="F1113" s="26"/>
      <c r="G1113" s="34">
        <f>SUMIFS('BASE EXEC. Q.L'!N:N,'BASE EXEC. Q.L'!B:B,VOOS!A1113)</f>
        <v>0</v>
      </c>
      <c r="H1113" s="15" t="str">
        <f>IFERROR(_xlfn.XLOOKUP(A1113,'BASE SQL PLANTIO'!B:B,'BASE SQL PLANTIO'!T:T,"verificar",0),"")</f>
        <v/>
      </c>
      <c r="I1113" s="77" t="str">
        <f>IF(_xlfn.MINIFS('BASE SQL PLANTIO'!E:E,'BASE SQL PLANTIO'!B:B,VOOS!A1113)=0/1/1900,"",_xlfn.MINIFS('BASE SQL PLANTIO'!E:E,'BASE SQL PLANTIO'!B:B,VOOS!A1113))</f>
        <v/>
      </c>
      <c r="J1113" s="26"/>
      <c r="K1113" s="34" t="str">
        <f t="shared" si="52"/>
        <v/>
      </c>
      <c r="L1113" s="35" t="str">
        <f t="shared" si="53"/>
        <v/>
      </c>
      <c r="M1113" s="14"/>
      <c r="N1113" s="16"/>
    </row>
    <row r="1114" spans="1:14" ht="15.6" x14ac:dyDescent="0.3">
      <c r="A1114" s="13" t="str">
        <f t="shared" si="51"/>
        <v>-</v>
      </c>
      <c r="B1114" s="27"/>
      <c r="C1114" s="26"/>
      <c r="D1114" s="26"/>
      <c r="E1114" s="26"/>
      <c r="F1114" s="26"/>
      <c r="G1114" s="34">
        <f>SUMIFS('BASE EXEC. Q.L'!N:N,'BASE EXEC. Q.L'!B:B,VOOS!A1114)</f>
        <v>0</v>
      </c>
      <c r="H1114" s="15" t="str">
        <f>IFERROR(_xlfn.XLOOKUP(A1114,'BASE SQL PLANTIO'!B:B,'BASE SQL PLANTIO'!T:T,"verificar",0),"")</f>
        <v/>
      </c>
      <c r="I1114" s="77" t="str">
        <f>IF(_xlfn.MINIFS('BASE SQL PLANTIO'!E:E,'BASE SQL PLANTIO'!B:B,VOOS!A1114)=0/1/1900,"",_xlfn.MINIFS('BASE SQL PLANTIO'!E:E,'BASE SQL PLANTIO'!B:B,VOOS!A1114))</f>
        <v/>
      </c>
      <c r="J1114" s="26"/>
      <c r="K1114" s="34" t="str">
        <f t="shared" si="52"/>
        <v/>
      </c>
      <c r="L1114" s="35" t="str">
        <f t="shared" si="53"/>
        <v/>
      </c>
      <c r="M1114" s="14"/>
      <c r="N1114" s="16"/>
    </row>
    <row r="1115" spans="1:14" ht="15.6" x14ac:dyDescent="0.3">
      <c r="A1115" s="13" t="str">
        <f t="shared" si="51"/>
        <v>-</v>
      </c>
      <c r="B1115" s="25"/>
      <c r="C1115" s="25"/>
      <c r="D1115" s="25"/>
      <c r="E1115" s="25"/>
      <c r="F1115" s="31"/>
      <c r="G1115" s="34">
        <f>SUMIFS('BASE EXEC. Q.L'!N:N,'BASE EXEC. Q.L'!B:B,VOOS!A1115)</f>
        <v>0</v>
      </c>
      <c r="H1115" s="15" t="str">
        <f>IFERROR(_xlfn.XLOOKUP(A1115,'BASE SQL PLANTIO'!B:B,'BASE SQL PLANTIO'!T:T,"verificar",0),"")</f>
        <v/>
      </c>
      <c r="I1115" s="77" t="str">
        <f>IF(_xlfn.MINIFS('BASE SQL PLANTIO'!E:E,'BASE SQL PLANTIO'!B:B,VOOS!A1115)=0/1/1900,"",_xlfn.MINIFS('BASE SQL PLANTIO'!E:E,'BASE SQL PLANTIO'!B:B,VOOS!A1115))</f>
        <v/>
      </c>
      <c r="J1115" s="26"/>
      <c r="K1115" s="34" t="str">
        <f t="shared" si="52"/>
        <v/>
      </c>
      <c r="L1115" s="35" t="str">
        <f t="shared" si="53"/>
        <v/>
      </c>
      <c r="M1115" s="14"/>
      <c r="N1115" s="15"/>
    </row>
    <row r="1116" spans="1:14" ht="15.6" x14ac:dyDescent="0.3">
      <c r="A1116" s="13" t="str">
        <f t="shared" si="51"/>
        <v>-</v>
      </c>
      <c r="B1116" s="25"/>
      <c r="C1116" s="25"/>
      <c r="D1116" s="25"/>
      <c r="E1116" s="25"/>
      <c r="F1116" s="31"/>
      <c r="G1116" s="34">
        <f>SUMIFS('BASE EXEC. Q.L'!N:N,'BASE EXEC. Q.L'!B:B,VOOS!A1116)</f>
        <v>0</v>
      </c>
      <c r="H1116" s="15" t="str">
        <f>IFERROR(_xlfn.XLOOKUP(A1116,'BASE SQL PLANTIO'!B:B,'BASE SQL PLANTIO'!T:T,"verificar",0),"")</f>
        <v/>
      </c>
      <c r="I1116" s="77" t="str">
        <f>IF(_xlfn.MINIFS('BASE SQL PLANTIO'!E:E,'BASE SQL PLANTIO'!B:B,VOOS!A1116)=0/1/1900,"",_xlfn.MINIFS('BASE SQL PLANTIO'!E:E,'BASE SQL PLANTIO'!B:B,VOOS!A1116))</f>
        <v/>
      </c>
      <c r="J1116" s="26"/>
      <c r="K1116" s="34" t="str">
        <f t="shared" si="52"/>
        <v/>
      </c>
      <c r="L1116" s="35" t="str">
        <f t="shared" si="53"/>
        <v/>
      </c>
      <c r="M1116" s="14"/>
      <c r="N1116" s="16"/>
    </row>
    <row r="1117" spans="1:14" ht="15.6" x14ac:dyDescent="0.3">
      <c r="A1117" s="13" t="str">
        <f t="shared" si="51"/>
        <v>-</v>
      </c>
      <c r="B1117" s="27"/>
      <c r="C1117" s="26"/>
      <c r="D1117" s="26"/>
      <c r="E1117" s="26"/>
      <c r="F1117" s="26"/>
      <c r="G1117" s="34">
        <f>SUMIFS('BASE EXEC. Q.L'!N:N,'BASE EXEC. Q.L'!B:B,VOOS!A1117)</f>
        <v>0</v>
      </c>
      <c r="H1117" s="15" t="str">
        <f>IFERROR(_xlfn.XLOOKUP(A1117,'BASE SQL PLANTIO'!B:B,'BASE SQL PLANTIO'!T:T,"verificar",0),"")</f>
        <v/>
      </c>
      <c r="I1117" s="77" t="str">
        <f>IF(_xlfn.MINIFS('BASE SQL PLANTIO'!E:E,'BASE SQL PLANTIO'!B:B,VOOS!A1117)=0/1/1900,"",_xlfn.MINIFS('BASE SQL PLANTIO'!E:E,'BASE SQL PLANTIO'!B:B,VOOS!A1117))</f>
        <v/>
      </c>
      <c r="J1117" s="26"/>
      <c r="K1117" s="34" t="str">
        <f t="shared" si="52"/>
        <v/>
      </c>
      <c r="L1117" s="35" t="str">
        <f t="shared" si="53"/>
        <v/>
      </c>
      <c r="M1117" s="14"/>
      <c r="N1117" s="16"/>
    </row>
    <row r="1118" spans="1:14" ht="15.6" x14ac:dyDescent="0.3">
      <c r="A1118" s="13" t="str">
        <f t="shared" si="51"/>
        <v>-</v>
      </c>
      <c r="B1118" s="27"/>
      <c r="C1118" s="26"/>
      <c r="D1118" s="26"/>
      <c r="E1118" s="26"/>
      <c r="F1118" s="26"/>
      <c r="G1118" s="34">
        <f>SUMIFS('BASE EXEC. Q.L'!N:N,'BASE EXEC. Q.L'!B:B,VOOS!A1118)</f>
        <v>0</v>
      </c>
      <c r="H1118" s="15" t="str">
        <f>IFERROR(_xlfn.XLOOKUP(A1118,'BASE SQL PLANTIO'!B:B,'BASE SQL PLANTIO'!T:T,"verificar",0),"")</f>
        <v/>
      </c>
      <c r="I1118" s="77" t="str">
        <f>IF(_xlfn.MINIFS('BASE SQL PLANTIO'!E:E,'BASE SQL PLANTIO'!B:B,VOOS!A1118)=0/1/1900,"",_xlfn.MINIFS('BASE SQL PLANTIO'!E:E,'BASE SQL PLANTIO'!B:B,VOOS!A1118))</f>
        <v/>
      </c>
      <c r="J1118" s="26"/>
      <c r="K1118" s="34" t="str">
        <f t="shared" si="52"/>
        <v/>
      </c>
      <c r="L1118" s="35" t="str">
        <f t="shared" si="53"/>
        <v/>
      </c>
      <c r="M1118" s="14"/>
      <c r="N1118" s="16"/>
    </row>
    <row r="1119" spans="1:14" ht="15.6" x14ac:dyDescent="0.3">
      <c r="A1119" s="13" t="str">
        <f t="shared" si="51"/>
        <v>-</v>
      </c>
      <c r="B1119" s="25"/>
      <c r="C1119" s="25"/>
      <c r="D1119" s="25"/>
      <c r="E1119" s="25"/>
      <c r="F1119" s="31"/>
      <c r="G1119" s="34">
        <f>SUMIFS('BASE EXEC. Q.L'!N:N,'BASE EXEC. Q.L'!B:B,VOOS!A1119)</f>
        <v>0</v>
      </c>
      <c r="H1119" s="15" t="str">
        <f>IFERROR(_xlfn.XLOOKUP(A1119,'BASE SQL PLANTIO'!B:B,'BASE SQL PLANTIO'!T:T,"verificar",0),"")</f>
        <v/>
      </c>
      <c r="I1119" s="77" t="str">
        <f>IF(_xlfn.MINIFS('BASE SQL PLANTIO'!E:E,'BASE SQL PLANTIO'!B:B,VOOS!A1119)=0/1/1900,"",_xlfn.MINIFS('BASE SQL PLANTIO'!E:E,'BASE SQL PLANTIO'!B:B,VOOS!A1119))</f>
        <v/>
      </c>
      <c r="J1119" s="26"/>
      <c r="K1119" s="34" t="str">
        <f t="shared" si="52"/>
        <v/>
      </c>
      <c r="L1119" s="35" t="str">
        <f t="shared" si="53"/>
        <v/>
      </c>
      <c r="M1119" s="14"/>
      <c r="N1119" s="16"/>
    </row>
    <row r="1120" spans="1:14" ht="15.6" x14ac:dyDescent="0.3">
      <c r="A1120" s="13" t="str">
        <f t="shared" si="51"/>
        <v>-</v>
      </c>
      <c r="B1120" s="25"/>
      <c r="C1120" s="25"/>
      <c r="D1120" s="25"/>
      <c r="E1120" s="25"/>
      <c r="F1120" s="31"/>
      <c r="G1120" s="34">
        <f>SUMIFS('BASE EXEC. Q.L'!N:N,'BASE EXEC. Q.L'!B:B,VOOS!A1120)</f>
        <v>0</v>
      </c>
      <c r="H1120" s="15" t="str">
        <f>IFERROR(_xlfn.XLOOKUP(A1120,'BASE SQL PLANTIO'!B:B,'BASE SQL PLANTIO'!T:T,"verificar",0),"")</f>
        <v/>
      </c>
      <c r="I1120" s="77" t="str">
        <f>IF(_xlfn.MINIFS('BASE SQL PLANTIO'!E:E,'BASE SQL PLANTIO'!B:B,VOOS!A1120)=0/1/1900,"",_xlfn.MINIFS('BASE SQL PLANTIO'!E:E,'BASE SQL PLANTIO'!B:B,VOOS!A1120))</f>
        <v/>
      </c>
      <c r="J1120" s="26"/>
      <c r="K1120" s="34" t="str">
        <f t="shared" si="52"/>
        <v/>
      </c>
      <c r="L1120" s="35" t="str">
        <f t="shared" si="53"/>
        <v/>
      </c>
      <c r="M1120" s="14"/>
      <c r="N1120" s="15"/>
    </row>
    <row r="1121" spans="1:14" ht="15.6" x14ac:dyDescent="0.3">
      <c r="A1121" s="13" t="str">
        <f t="shared" si="51"/>
        <v>-</v>
      </c>
      <c r="B1121" s="25"/>
      <c r="C1121" s="25"/>
      <c r="D1121" s="25"/>
      <c r="E1121" s="25"/>
      <c r="F1121" s="31"/>
      <c r="G1121" s="34">
        <f>SUMIFS('BASE EXEC. Q.L'!N:N,'BASE EXEC. Q.L'!B:B,VOOS!A1121)</f>
        <v>0</v>
      </c>
      <c r="H1121" s="15" t="str">
        <f>IFERROR(_xlfn.XLOOKUP(A1121,'BASE SQL PLANTIO'!B:B,'BASE SQL PLANTIO'!T:T,"verificar",0),"")</f>
        <v/>
      </c>
      <c r="I1121" s="77" t="str">
        <f>IF(_xlfn.MINIFS('BASE SQL PLANTIO'!E:E,'BASE SQL PLANTIO'!B:B,VOOS!A1121)=0/1/1900,"",_xlfn.MINIFS('BASE SQL PLANTIO'!E:E,'BASE SQL PLANTIO'!B:B,VOOS!A1121))</f>
        <v/>
      </c>
      <c r="J1121" s="26"/>
      <c r="K1121" s="34" t="str">
        <f t="shared" si="52"/>
        <v/>
      </c>
      <c r="L1121" s="35" t="str">
        <f t="shared" si="53"/>
        <v/>
      </c>
      <c r="M1121" s="14"/>
      <c r="N1121" s="16"/>
    </row>
    <row r="1122" spans="1:14" ht="15.6" x14ac:dyDescent="0.3">
      <c r="A1122" s="13" t="str">
        <f t="shared" si="51"/>
        <v>-</v>
      </c>
      <c r="B1122" s="27"/>
      <c r="C1122" s="26"/>
      <c r="D1122" s="26"/>
      <c r="E1122" s="26"/>
      <c r="F1122" s="26"/>
      <c r="G1122" s="34">
        <f>SUMIFS('BASE EXEC. Q.L'!N:N,'BASE EXEC. Q.L'!B:B,VOOS!A1122)</f>
        <v>0</v>
      </c>
      <c r="H1122" s="15" t="str">
        <f>IFERROR(_xlfn.XLOOKUP(A1122,'BASE SQL PLANTIO'!B:B,'BASE SQL PLANTIO'!T:T,"verificar",0),"")</f>
        <v/>
      </c>
      <c r="I1122" s="77" t="str">
        <f>IF(_xlfn.MINIFS('BASE SQL PLANTIO'!E:E,'BASE SQL PLANTIO'!B:B,VOOS!A1122)=0/1/1900,"",_xlfn.MINIFS('BASE SQL PLANTIO'!E:E,'BASE SQL PLANTIO'!B:B,VOOS!A1122))</f>
        <v/>
      </c>
      <c r="J1122" s="26"/>
      <c r="K1122" s="34" t="str">
        <f t="shared" si="52"/>
        <v/>
      </c>
      <c r="L1122" s="35" t="str">
        <f t="shared" si="53"/>
        <v/>
      </c>
      <c r="M1122" s="14"/>
      <c r="N1122" s="16"/>
    </row>
    <row r="1123" spans="1:14" ht="15.6" x14ac:dyDescent="0.3">
      <c r="A1123" s="13" t="str">
        <f t="shared" si="51"/>
        <v>-</v>
      </c>
      <c r="B1123" s="27"/>
      <c r="C1123" s="26"/>
      <c r="D1123" s="26"/>
      <c r="E1123" s="26"/>
      <c r="F1123" s="26"/>
      <c r="G1123" s="34">
        <f>SUMIFS('BASE EXEC. Q.L'!N:N,'BASE EXEC. Q.L'!B:B,VOOS!A1123)</f>
        <v>0</v>
      </c>
      <c r="H1123" s="15" t="str">
        <f>IFERROR(_xlfn.XLOOKUP(A1123,'BASE SQL PLANTIO'!B:B,'BASE SQL PLANTIO'!T:T,"verificar",0),"")</f>
        <v/>
      </c>
      <c r="I1123" s="77" t="str">
        <f>IF(_xlfn.MINIFS('BASE SQL PLANTIO'!E:E,'BASE SQL PLANTIO'!B:B,VOOS!A1123)=0/1/1900,"",_xlfn.MINIFS('BASE SQL PLANTIO'!E:E,'BASE SQL PLANTIO'!B:B,VOOS!A1123))</f>
        <v/>
      </c>
      <c r="J1123" s="26"/>
      <c r="K1123" s="34" t="str">
        <f t="shared" si="52"/>
        <v/>
      </c>
      <c r="L1123" s="35" t="str">
        <f t="shared" si="53"/>
        <v/>
      </c>
      <c r="M1123" s="14"/>
      <c r="N1123" s="16"/>
    </row>
    <row r="1124" spans="1:14" ht="15.6" x14ac:dyDescent="0.3">
      <c r="A1124" s="13" t="str">
        <f t="shared" si="51"/>
        <v>-</v>
      </c>
      <c r="B1124" s="25"/>
      <c r="C1124" s="25"/>
      <c r="D1124" s="25"/>
      <c r="E1124" s="25"/>
      <c r="F1124" s="31"/>
      <c r="G1124" s="34">
        <f>SUMIFS('BASE EXEC. Q.L'!N:N,'BASE EXEC. Q.L'!B:B,VOOS!A1124)</f>
        <v>0</v>
      </c>
      <c r="H1124" s="15" t="str">
        <f>IFERROR(_xlfn.XLOOKUP(A1124,'BASE SQL PLANTIO'!B:B,'BASE SQL PLANTIO'!T:T,"verificar",0),"")</f>
        <v/>
      </c>
      <c r="I1124" s="77" t="str">
        <f>IF(_xlfn.MINIFS('BASE SQL PLANTIO'!E:E,'BASE SQL PLANTIO'!B:B,VOOS!A1124)=0/1/1900,"",_xlfn.MINIFS('BASE SQL PLANTIO'!E:E,'BASE SQL PLANTIO'!B:B,VOOS!A1124))</f>
        <v/>
      </c>
      <c r="J1124" s="26"/>
      <c r="K1124" s="34" t="str">
        <f t="shared" si="52"/>
        <v/>
      </c>
      <c r="L1124" s="35" t="str">
        <f t="shared" si="53"/>
        <v/>
      </c>
      <c r="M1124" s="14"/>
      <c r="N1124" s="16"/>
    </row>
    <row r="1125" spans="1:14" ht="15.6" x14ac:dyDescent="0.3">
      <c r="A1125" s="13" t="str">
        <f t="shared" si="51"/>
        <v>-</v>
      </c>
      <c r="B1125" s="27"/>
      <c r="C1125" s="26"/>
      <c r="D1125" s="26"/>
      <c r="E1125" s="26"/>
      <c r="F1125" s="26"/>
      <c r="G1125" s="34">
        <f>SUMIFS('BASE EXEC. Q.L'!N:N,'BASE EXEC. Q.L'!B:B,VOOS!A1125)</f>
        <v>0</v>
      </c>
      <c r="H1125" s="15" t="str">
        <f>IFERROR(_xlfn.XLOOKUP(A1125,'BASE SQL PLANTIO'!B:B,'BASE SQL PLANTIO'!T:T,"verificar",0),"")</f>
        <v/>
      </c>
      <c r="I1125" s="77" t="str">
        <f>IF(_xlfn.MINIFS('BASE SQL PLANTIO'!E:E,'BASE SQL PLANTIO'!B:B,VOOS!A1125)=0/1/1900,"",_xlfn.MINIFS('BASE SQL PLANTIO'!E:E,'BASE SQL PLANTIO'!B:B,VOOS!A1125))</f>
        <v/>
      </c>
      <c r="J1125" s="26"/>
      <c r="K1125" s="34" t="str">
        <f t="shared" si="52"/>
        <v/>
      </c>
      <c r="L1125" s="35" t="str">
        <f t="shared" si="53"/>
        <v/>
      </c>
      <c r="M1125" s="14"/>
      <c r="N1125" s="15"/>
    </row>
    <row r="1126" spans="1:14" ht="15.6" x14ac:dyDescent="0.3">
      <c r="A1126" s="13" t="str">
        <f t="shared" si="51"/>
        <v>-</v>
      </c>
      <c r="B1126" s="27"/>
      <c r="C1126" s="26"/>
      <c r="D1126" s="26"/>
      <c r="E1126" s="26"/>
      <c r="F1126" s="26"/>
      <c r="G1126" s="34">
        <f>SUMIFS('BASE EXEC. Q.L'!N:N,'BASE EXEC. Q.L'!B:B,VOOS!A1126)</f>
        <v>0</v>
      </c>
      <c r="H1126" s="15" t="str">
        <f>IFERROR(_xlfn.XLOOKUP(A1126,'BASE SQL PLANTIO'!B:B,'BASE SQL PLANTIO'!T:T,"verificar",0),"")</f>
        <v/>
      </c>
      <c r="I1126" s="77" t="str">
        <f>IF(_xlfn.MINIFS('BASE SQL PLANTIO'!E:E,'BASE SQL PLANTIO'!B:B,VOOS!A1126)=0/1/1900,"",_xlfn.MINIFS('BASE SQL PLANTIO'!E:E,'BASE SQL PLANTIO'!B:B,VOOS!A1126))</f>
        <v/>
      </c>
      <c r="J1126" s="26"/>
      <c r="K1126" s="34" t="str">
        <f t="shared" si="52"/>
        <v/>
      </c>
      <c r="L1126" s="35" t="str">
        <f t="shared" si="53"/>
        <v/>
      </c>
      <c r="M1126" s="14"/>
      <c r="N1126" s="16"/>
    </row>
    <row r="1127" spans="1:14" ht="15.6" x14ac:dyDescent="0.3">
      <c r="A1127" s="13" t="str">
        <f t="shared" si="51"/>
        <v>-</v>
      </c>
      <c r="B1127" s="27"/>
      <c r="C1127" s="26"/>
      <c r="D1127" s="26"/>
      <c r="E1127" s="26"/>
      <c r="F1127" s="26"/>
      <c r="G1127" s="34">
        <f>SUMIFS('BASE EXEC. Q.L'!N:N,'BASE EXEC. Q.L'!B:B,VOOS!A1127)</f>
        <v>0</v>
      </c>
      <c r="H1127" s="15" t="str">
        <f>IFERROR(_xlfn.XLOOKUP(A1127,'BASE SQL PLANTIO'!B:B,'BASE SQL PLANTIO'!T:T,"verificar",0),"")</f>
        <v/>
      </c>
      <c r="I1127" s="77" t="str">
        <f>IF(_xlfn.MINIFS('BASE SQL PLANTIO'!E:E,'BASE SQL PLANTIO'!B:B,VOOS!A1127)=0/1/1900,"",_xlfn.MINIFS('BASE SQL PLANTIO'!E:E,'BASE SQL PLANTIO'!B:B,VOOS!A1127))</f>
        <v/>
      </c>
      <c r="J1127" s="26"/>
      <c r="K1127" s="34" t="str">
        <f t="shared" si="52"/>
        <v/>
      </c>
      <c r="L1127" s="35" t="str">
        <f t="shared" si="53"/>
        <v/>
      </c>
      <c r="M1127" s="14"/>
      <c r="N1127" s="16"/>
    </row>
    <row r="1128" spans="1:14" ht="15.6" x14ac:dyDescent="0.3">
      <c r="A1128" s="13" t="str">
        <f t="shared" si="51"/>
        <v>-</v>
      </c>
      <c r="B1128" s="27"/>
      <c r="C1128" s="26"/>
      <c r="D1128" s="26"/>
      <c r="E1128" s="26"/>
      <c r="F1128" s="26"/>
      <c r="G1128" s="34">
        <f>SUMIFS('BASE EXEC. Q.L'!N:N,'BASE EXEC. Q.L'!B:B,VOOS!A1128)</f>
        <v>0</v>
      </c>
      <c r="H1128" s="15" t="str">
        <f>IFERROR(_xlfn.XLOOKUP(A1128,'BASE SQL PLANTIO'!B:B,'BASE SQL PLANTIO'!T:T,"verificar",0),"")</f>
        <v/>
      </c>
      <c r="I1128" s="77" t="str">
        <f>IF(_xlfn.MINIFS('BASE SQL PLANTIO'!E:E,'BASE SQL PLANTIO'!B:B,VOOS!A1128)=0/1/1900,"",_xlfn.MINIFS('BASE SQL PLANTIO'!E:E,'BASE SQL PLANTIO'!B:B,VOOS!A1128))</f>
        <v/>
      </c>
      <c r="J1128" s="26"/>
      <c r="K1128" s="34" t="str">
        <f t="shared" si="52"/>
        <v/>
      </c>
      <c r="L1128" s="35" t="str">
        <f t="shared" si="53"/>
        <v/>
      </c>
      <c r="M1128" s="14"/>
      <c r="N1128" s="16"/>
    </row>
    <row r="1129" spans="1:14" ht="15.6" x14ac:dyDescent="0.3">
      <c r="A1129" s="13" t="str">
        <f t="shared" si="51"/>
        <v>-</v>
      </c>
      <c r="B1129" s="25"/>
      <c r="C1129" s="25"/>
      <c r="D1129" s="25"/>
      <c r="E1129" s="25"/>
      <c r="F1129" s="26"/>
      <c r="G1129" s="34">
        <f>SUMIFS('BASE EXEC. Q.L'!N:N,'BASE EXEC. Q.L'!B:B,VOOS!A1129)</f>
        <v>0</v>
      </c>
      <c r="H1129" s="15" t="str">
        <f>IFERROR(_xlfn.XLOOKUP(A1129,'BASE SQL PLANTIO'!B:B,'BASE SQL PLANTIO'!T:T,"verificar",0),"")</f>
        <v/>
      </c>
      <c r="I1129" s="77" t="str">
        <f>IF(_xlfn.MINIFS('BASE SQL PLANTIO'!E:E,'BASE SQL PLANTIO'!B:B,VOOS!A1129)=0/1/1900,"",_xlfn.MINIFS('BASE SQL PLANTIO'!E:E,'BASE SQL PLANTIO'!B:B,VOOS!A1129))</f>
        <v/>
      </c>
      <c r="J1129" s="26"/>
      <c r="K1129" s="34" t="str">
        <f t="shared" si="52"/>
        <v/>
      </c>
      <c r="L1129" s="35" t="str">
        <f t="shared" si="53"/>
        <v/>
      </c>
      <c r="M1129" s="14"/>
      <c r="N1129" s="16"/>
    </row>
    <row r="1130" spans="1:14" ht="15.6" x14ac:dyDescent="0.3">
      <c r="A1130" s="13" t="str">
        <f t="shared" si="51"/>
        <v>-</v>
      </c>
      <c r="B1130" s="25"/>
      <c r="C1130" s="25"/>
      <c r="D1130" s="25"/>
      <c r="E1130" s="25"/>
      <c r="F1130" s="26"/>
      <c r="G1130" s="34">
        <f>SUMIFS('BASE EXEC. Q.L'!N:N,'BASE EXEC. Q.L'!B:B,VOOS!A1130)</f>
        <v>0</v>
      </c>
      <c r="H1130" s="15" t="str">
        <f>IFERROR(_xlfn.XLOOKUP(A1130,'BASE SQL PLANTIO'!B:B,'BASE SQL PLANTIO'!T:T,"verificar",0),"")</f>
        <v/>
      </c>
      <c r="I1130" s="77" t="str">
        <f>IF(_xlfn.MINIFS('BASE SQL PLANTIO'!E:E,'BASE SQL PLANTIO'!B:B,VOOS!A1130)=0/1/1900,"",_xlfn.MINIFS('BASE SQL PLANTIO'!E:E,'BASE SQL PLANTIO'!B:B,VOOS!A1130))</f>
        <v/>
      </c>
      <c r="J1130" s="26"/>
      <c r="K1130" s="34" t="str">
        <f t="shared" si="52"/>
        <v/>
      </c>
      <c r="L1130" s="35" t="str">
        <f t="shared" si="53"/>
        <v/>
      </c>
      <c r="M1130" s="14"/>
      <c r="N1130" s="15"/>
    </row>
    <row r="1131" spans="1:14" ht="15.6" x14ac:dyDescent="0.3">
      <c r="A1131" s="13" t="str">
        <f t="shared" si="51"/>
        <v>-</v>
      </c>
      <c r="B1131" s="27"/>
      <c r="C1131" s="26"/>
      <c r="D1131" s="26"/>
      <c r="E1131" s="26"/>
      <c r="F1131" s="26"/>
      <c r="G1131" s="34">
        <f>SUMIFS('BASE EXEC. Q.L'!N:N,'BASE EXEC. Q.L'!B:B,VOOS!A1131)</f>
        <v>0</v>
      </c>
      <c r="H1131" s="15" t="str">
        <f>IFERROR(_xlfn.XLOOKUP(A1131,'BASE SQL PLANTIO'!B:B,'BASE SQL PLANTIO'!T:T,"verificar",0),"")</f>
        <v/>
      </c>
      <c r="I1131" s="77" t="str">
        <f>IF(_xlfn.MINIFS('BASE SQL PLANTIO'!E:E,'BASE SQL PLANTIO'!B:B,VOOS!A1131)=0/1/1900,"",_xlfn.MINIFS('BASE SQL PLANTIO'!E:E,'BASE SQL PLANTIO'!B:B,VOOS!A1131))</f>
        <v/>
      </c>
      <c r="J1131" s="26"/>
      <c r="K1131" s="34" t="str">
        <f t="shared" si="52"/>
        <v/>
      </c>
      <c r="L1131" s="35" t="str">
        <f t="shared" si="53"/>
        <v/>
      </c>
      <c r="M1131" s="14"/>
      <c r="N1131" s="16"/>
    </row>
    <row r="1132" spans="1:14" ht="15.6" x14ac:dyDescent="0.3">
      <c r="A1132" s="13" t="str">
        <f t="shared" si="51"/>
        <v>-</v>
      </c>
      <c r="B1132" s="27"/>
      <c r="C1132" s="26"/>
      <c r="D1132" s="26"/>
      <c r="E1132" s="26"/>
      <c r="F1132" s="26"/>
      <c r="G1132" s="34">
        <f>SUMIFS('BASE EXEC. Q.L'!N:N,'BASE EXEC. Q.L'!B:B,VOOS!A1132)</f>
        <v>0</v>
      </c>
      <c r="H1132" s="15" t="str">
        <f>IFERROR(_xlfn.XLOOKUP(A1132,'BASE SQL PLANTIO'!B:B,'BASE SQL PLANTIO'!T:T,"verificar",0),"")</f>
        <v/>
      </c>
      <c r="I1132" s="77" t="str">
        <f>IF(_xlfn.MINIFS('BASE SQL PLANTIO'!E:E,'BASE SQL PLANTIO'!B:B,VOOS!A1132)=0/1/1900,"",_xlfn.MINIFS('BASE SQL PLANTIO'!E:E,'BASE SQL PLANTIO'!B:B,VOOS!A1132))</f>
        <v/>
      </c>
      <c r="J1132" s="26"/>
      <c r="K1132" s="34" t="str">
        <f t="shared" si="52"/>
        <v/>
      </c>
      <c r="L1132" s="35" t="str">
        <f t="shared" si="53"/>
        <v/>
      </c>
      <c r="M1132" s="14"/>
      <c r="N1132" s="16"/>
    </row>
    <row r="1133" spans="1:14" ht="15.6" x14ac:dyDescent="0.3">
      <c r="A1133" s="13" t="str">
        <f t="shared" si="51"/>
        <v>-</v>
      </c>
      <c r="B1133" s="27"/>
      <c r="C1133" s="26"/>
      <c r="D1133" s="26"/>
      <c r="E1133" s="26"/>
      <c r="F1133" s="26"/>
      <c r="G1133" s="34">
        <f>SUMIFS('BASE EXEC. Q.L'!N:N,'BASE EXEC. Q.L'!B:B,VOOS!A1133)</f>
        <v>0</v>
      </c>
      <c r="H1133" s="15" t="str">
        <f>IFERROR(_xlfn.XLOOKUP(A1133,'BASE SQL PLANTIO'!B:B,'BASE SQL PLANTIO'!T:T,"verificar",0),"")</f>
        <v/>
      </c>
      <c r="I1133" s="77" t="str">
        <f>IF(_xlfn.MINIFS('BASE SQL PLANTIO'!E:E,'BASE SQL PLANTIO'!B:B,VOOS!A1133)=0/1/1900,"",_xlfn.MINIFS('BASE SQL PLANTIO'!E:E,'BASE SQL PLANTIO'!B:B,VOOS!A1133))</f>
        <v/>
      </c>
      <c r="J1133" s="26"/>
      <c r="K1133" s="34" t="str">
        <f t="shared" si="52"/>
        <v/>
      </c>
      <c r="L1133" s="35" t="str">
        <f t="shared" si="53"/>
        <v/>
      </c>
      <c r="M1133" s="14"/>
      <c r="N1133" s="16"/>
    </row>
    <row r="1134" spans="1:14" ht="15.6" x14ac:dyDescent="0.3">
      <c r="A1134" s="13" t="str">
        <f t="shared" si="51"/>
        <v>-</v>
      </c>
      <c r="B1134" s="27"/>
      <c r="C1134" s="26"/>
      <c r="D1134" s="26"/>
      <c r="E1134" s="26"/>
      <c r="F1134" s="26"/>
      <c r="G1134" s="34">
        <f>SUMIFS('BASE EXEC. Q.L'!N:N,'BASE EXEC. Q.L'!B:B,VOOS!A1134)</f>
        <v>0</v>
      </c>
      <c r="H1134" s="15" t="str">
        <f>IFERROR(_xlfn.XLOOKUP(A1134,'BASE SQL PLANTIO'!B:B,'BASE SQL PLANTIO'!T:T,"verificar",0),"")</f>
        <v/>
      </c>
      <c r="I1134" s="77" t="str">
        <f>IF(_xlfn.MINIFS('BASE SQL PLANTIO'!E:E,'BASE SQL PLANTIO'!B:B,VOOS!A1134)=0/1/1900,"",_xlfn.MINIFS('BASE SQL PLANTIO'!E:E,'BASE SQL PLANTIO'!B:B,VOOS!A1134))</f>
        <v/>
      </c>
      <c r="J1134" s="26"/>
      <c r="K1134" s="34" t="str">
        <f t="shared" si="52"/>
        <v/>
      </c>
      <c r="L1134" s="35" t="str">
        <f t="shared" si="53"/>
        <v/>
      </c>
      <c r="M1134" s="14"/>
      <c r="N1134" s="16"/>
    </row>
    <row r="1135" spans="1:14" ht="15.6" x14ac:dyDescent="0.3">
      <c r="A1135" s="13" t="str">
        <f t="shared" si="51"/>
        <v>-</v>
      </c>
      <c r="B1135" s="25"/>
      <c r="C1135" s="25"/>
      <c r="D1135" s="25"/>
      <c r="E1135" s="25"/>
      <c r="F1135" s="31"/>
      <c r="G1135" s="34">
        <f>SUMIFS('BASE EXEC. Q.L'!N:N,'BASE EXEC. Q.L'!B:B,VOOS!A1135)</f>
        <v>0</v>
      </c>
      <c r="H1135" s="15" t="str">
        <f>IFERROR(_xlfn.XLOOKUP(A1135,'BASE SQL PLANTIO'!B:B,'BASE SQL PLANTIO'!T:T,"verificar",0),"")</f>
        <v/>
      </c>
      <c r="I1135" s="77" t="str">
        <f>IF(_xlfn.MINIFS('BASE SQL PLANTIO'!E:E,'BASE SQL PLANTIO'!B:B,VOOS!A1135)=0/1/1900,"",_xlfn.MINIFS('BASE SQL PLANTIO'!E:E,'BASE SQL PLANTIO'!B:B,VOOS!A1135))</f>
        <v/>
      </c>
      <c r="J1135" s="26"/>
      <c r="K1135" s="34" t="str">
        <f t="shared" si="52"/>
        <v/>
      </c>
      <c r="L1135" s="35" t="str">
        <f t="shared" si="53"/>
        <v/>
      </c>
      <c r="M1135" s="14"/>
      <c r="N1135" s="15"/>
    </row>
    <row r="1136" spans="1:14" ht="15.6" x14ac:dyDescent="0.3">
      <c r="A1136" s="13" t="str">
        <f t="shared" si="51"/>
        <v>-</v>
      </c>
      <c r="B1136" s="27"/>
      <c r="C1136" s="26"/>
      <c r="D1136" s="26"/>
      <c r="E1136" s="26"/>
      <c r="F1136" s="26"/>
      <c r="G1136" s="34">
        <f>SUMIFS('BASE EXEC. Q.L'!N:N,'BASE EXEC. Q.L'!B:B,VOOS!A1136)</f>
        <v>0</v>
      </c>
      <c r="H1136" s="15" t="str">
        <f>IFERROR(_xlfn.XLOOKUP(A1136,'BASE SQL PLANTIO'!B:B,'BASE SQL PLANTIO'!T:T,"verificar",0),"")</f>
        <v/>
      </c>
      <c r="I1136" s="77" t="str">
        <f>IF(_xlfn.MINIFS('BASE SQL PLANTIO'!E:E,'BASE SQL PLANTIO'!B:B,VOOS!A1136)=0/1/1900,"",_xlfn.MINIFS('BASE SQL PLANTIO'!E:E,'BASE SQL PLANTIO'!B:B,VOOS!A1136))</f>
        <v/>
      </c>
      <c r="J1136" s="26"/>
      <c r="K1136" s="34" t="str">
        <f t="shared" si="52"/>
        <v/>
      </c>
      <c r="L1136" s="35" t="str">
        <f t="shared" si="53"/>
        <v/>
      </c>
      <c r="M1136" s="14"/>
      <c r="N1136" s="16"/>
    </row>
    <row r="1137" spans="1:14" ht="15.6" x14ac:dyDescent="0.3">
      <c r="A1137" s="13" t="str">
        <f t="shared" si="51"/>
        <v>-</v>
      </c>
      <c r="B1137" s="27"/>
      <c r="C1137" s="26"/>
      <c r="D1137" s="26"/>
      <c r="E1137" s="26"/>
      <c r="F1137" s="26"/>
      <c r="G1137" s="34">
        <f>SUMIFS('BASE EXEC. Q.L'!N:N,'BASE EXEC. Q.L'!B:B,VOOS!A1137)</f>
        <v>0</v>
      </c>
      <c r="H1137" s="15" t="str">
        <f>IFERROR(_xlfn.XLOOKUP(A1137,'BASE SQL PLANTIO'!B:B,'BASE SQL PLANTIO'!T:T,"verificar",0),"")</f>
        <v/>
      </c>
      <c r="I1137" s="77" t="str">
        <f>IF(_xlfn.MINIFS('BASE SQL PLANTIO'!E:E,'BASE SQL PLANTIO'!B:B,VOOS!A1137)=0/1/1900,"",_xlfn.MINIFS('BASE SQL PLANTIO'!E:E,'BASE SQL PLANTIO'!B:B,VOOS!A1137))</f>
        <v/>
      </c>
      <c r="J1137" s="26"/>
      <c r="K1137" s="34" t="str">
        <f t="shared" si="52"/>
        <v/>
      </c>
      <c r="L1137" s="35" t="str">
        <f t="shared" si="53"/>
        <v/>
      </c>
      <c r="M1137" s="14"/>
      <c r="N1137" s="16"/>
    </row>
    <row r="1138" spans="1:14" ht="15.6" x14ac:dyDescent="0.3">
      <c r="A1138" s="13" t="str">
        <f t="shared" si="51"/>
        <v>-</v>
      </c>
      <c r="B1138" s="25"/>
      <c r="C1138" s="25"/>
      <c r="D1138" s="25"/>
      <c r="E1138" s="25"/>
      <c r="F1138" s="31"/>
      <c r="G1138" s="34">
        <f>SUMIFS('BASE EXEC. Q.L'!N:N,'BASE EXEC. Q.L'!B:B,VOOS!A1138)</f>
        <v>0</v>
      </c>
      <c r="H1138" s="15" t="str">
        <f>IFERROR(_xlfn.XLOOKUP(A1138,'BASE SQL PLANTIO'!B:B,'BASE SQL PLANTIO'!T:T,"verificar",0),"")</f>
        <v/>
      </c>
      <c r="I1138" s="77" t="str">
        <f>IF(_xlfn.MINIFS('BASE SQL PLANTIO'!E:E,'BASE SQL PLANTIO'!B:B,VOOS!A1138)=0/1/1900,"",_xlfn.MINIFS('BASE SQL PLANTIO'!E:E,'BASE SQL PLANTIO'!B:B,VOOS!A1138))</f>
        <v/>
      </c>
      <c r="J1138" s="26"/>
      <c r="K1138" s="34" t="str">
        <f t="shared" si="52"/>
        <v/>
      </c>
      <c r="L1138" s="35" t="str">
        <f t="shared" si="53"/>
        <v/>
      </c>
      <c r="M1138" s="14"/>
      <c r="N1138" s="16"/>
    </row>
    <row r="1139" spans="1:14" ht="15.6" x14ac:dyDescent="0.3">
      <c r="A1139" s="13" t="str">
        <f t="shared" si="51"/>
        <v>-</v>
      </c>
      <c r="B1139" s="25"/>
      <c r="C1139" s="25"/>
      <c r="D1139" s="25"/>
      <c r="E1139" s="25"/>
      <c r="F1139" s="31"/>
      <c r="G1139" s="34">
        <f>SUMIFS('BASE EXEC. Q.L'!N:N,'BASE EXEC. Q.L'!B:B,VOOS!A1139)</f>
        <v>0</v>
      </c>
      <c r="H1139" s="15" t="str">
        <f>IFERROR(_xlfn.XLOOKUP(A1139,'BASE SQL PLANTIO'!B:B,'BASE SQL PLANTIO'!T:T,"verificar",0),"")</f>
        <v/>
      </c>
      <c r="I1139" s="77" t="str">
        <f>IF(_xlfn.MINIFS('BASE SQL PLANTIO'!E:E,'BASE SQL PLANTIO'!B:B,VOOS!A1139)=0/1/1900,"",_xlfn.MINIFS('BASE SQL PLANTIO'!E:E,'BASE SQL PLANTIO'!B:B,VOOS!A1139))</f>
        <v/>
      </c>
      <c r="J1139" s="26"/>
      <c r="K1139" s="34" t="str">
        <f t="shared" si="52"/>
        <v/>
      </c>
      <c r="L1139" s="35" t="str">
        <f t="shared" si="53"/>
        <v/>
      </c>
      <c r="M1139" s="14"/>
      <c r="N1139" s="16"/>
    </row>
    <row r="1140" spans="1:14" ht="15.6" x14ac:dyDescent="0.3">
      <c r="A1140" s="13" t="str">
        <f t="shared" si="51"/>
        <v>-</v>
      </c>
      <c r="B1140" s="25"/>
      <c r="C1140" s="25"/>
      <c r="D1140" s="25"/>
      <c r="E1140" s="25"/>
      <c r="F1140" s="31"/>
      <c r="G1140" s="34">
        <f>SUMIFS('BASE EXEC. Q.L'!N:N,'BASE EXEC. Q.L'!B:B,VOOS!A1140)</f>
        <v>0</v>
      </c>
      <c r="H1140" s="15" t="str">
        <f>IFERROR(_xlfn.XLOOKUP(A1140,'BASE SQL PLANTIO'!B:B,'BASE SQL PLANTIO'!T:T,"verificar",0),"")</f>
        <v/>
      </c>
      <c r="I1140" s="77" t="str">
        <f>IF(_xlfn.MINIFS('BASE SQL PLANTIO'!E:E,'BASE SQL PLANTIO'!B:B,VOOS!A1140)=0/1/1900,"",_xlfn.MINIFS('BASE SQL PLANTIO'!E:E,'BASE SQL PLANTIO'!B:B,VOOS!A1140))</f>
        <v/>
      </c>
      <c r="J1140" s="26"/>
      <c r="K1140" s="34" t="str">
        <f t="shared" si="52"/>
        <v/>
      </c>
      <c r="L1140" s="35" t="str">
        <f t="shared" si="53"/>
        <v/>
      </c>
      <c r="M1140" s="14"/>
      <c r="N1140" s="15"/>
    </row>
    <row r="1141" spans="1:14" ht="15.6" x14ac:dyDescent="0.3">
      <c r="A1141" s="13" t="str">
        <f t="shared" si="51"/>
        <v>-</v>
      </c>
      <c r="B1141" s="27"/>
      <c r="C1141" s="26"/>
      <c r="D1141" s="26"/>
      <c r="E1141" s="26"/>
      <c r="F1141" s="26"/>
      <c r="G1141" s="34">
        <f>SUMIFS('BASE EXEC. Q.L'!N:N,'BASE EXEC. Q.L'!B:B,VOOS!A1141)</f>
        <v>0</v>
      </c>
      <c r="H1141" s="15" t="str">
        <f>IFERROR(_xlfn.XLOOKUP(A1141,'BASE SQL PLANTIO'!B:B,'BASE SQL PLANTIO'!T:T,"verificar",0),"")</f>
        <v/>
      </c>
      <c r="I1141" s="77" t="str">
        <f>IF(_xlfn.MINIFS('BASE SQL PLANTIO'!E:E,'BASE SQL PLANTIO'!B:B,VOOS!A1141)=0/1/1900,"",_xlfn.MINIFS('BASE SQL PLANTIO'!E:E,'BASE SQL PLANTIO'!B:B,VOOS!A1141))</f>
        <v/>
      </c>
      <c r="J1141" s="26"/>
      <c r="K1141" s="34" t="str">
        <f t="shared" si="52"/>
        <v/>
      </c>
      <c r="L1141" s="35" t="str">
        <f t="shared" si="53"/>
        <v/>
      </c>
      <c r="M1141" s="14"/>
      <c r="N1141" s="16"/>
    </row>
    <row r="1142" spans="1:14" ht="15.6" x14ac:dyDescent="0.3">
      <c r="A1142" s="13" t="str">
        <f t="shared" si="51"/>
        <v>-</v>
      </c>
      <c r="B1142" s="27"/>
      <c r="C1142" s="26"/>
      <c r="D1142" s="26"/>
      <c r="E1142" s="26"/>
      <c r="F1142" s="26"/>
      <c r="G1142" s="34">
        <f>SUMIFS('BASE EXEC. Q.L'!N:N,'BASE EXEC. Q.L'!B:B,VOOS!A1142)</f>
        <v>0</v>
      </c>
      <c r="H1142" s="15" t="str">
        <f>IFERROR(_xlfn.XLOOKUP(A1142,'BASE SQL PLANTIO'!B:B,'BASE SQL PLANTIO'!T:T,"verificar",0),"")</f>
        <v/>
      </c>
      <c r="I1142" s="77" t="str">
        <f>IF(_xlfn.MINIFS('BASE SQL PLANTIO'!E:E,'BASE SQL PLANTIO'!B:B,VOOS!A1142)=0/1/1900,"",_xlfn.MINIFS('BASE SQL PLANTIO'!E:E,'BASE SQL PLANTIO'!B:B,VOOS!A1142))</f>
        <v/>
      </c>
      <c r="J1142" s="26"/>
      <c r="K1142" s="34" t="str">
        <f t="shared" si="52"/>
        <v/>
      </c>
      <c r="L1142" s="35" t="str">
        <f t="shared" si="53"/>
        <v/>
      </c>
      <c r="M1142" s="14"/>
      <c r="N1142" s="16"/>
    </row>
    <row r="1143" spans="1:14" ht="15.6" x14ac:dyDescent="0.3">
      <c r="A1143" s="13" t="str">
        <f t="shared" si="51"/>
        <v>-</v>
      </c>
      <c r="B1143" s="25"/>
      <c r="C1143" s="25"/>
      <c r="D1143" s="25"/>
      <c r="E1143" s="25"/>
      <c r="F1143" s="31"/>
      <c r="G1143" s="34">
        <f>SUMIFS('BASE EXEC. Q.L'!N:N,'BASE EXEC. Q.L'!B:B,VOOS!A1143)</f>
        <v>0</v>
      </c>
      <c r="H1143" s="15" t="str">
        <f>IFERROR(_xlfn.XLOOKUP(A1143,'BASE SQL PLANTIO'!B:B,'BASE SQL PLANTIO'!T:T,"verificar",0),"")</f>
        <v/>
      </c>
      <c r="I1143" s="77" t="str">
        <f>IF(_xlfn.MINIFS('BASE SQL PLANTIO'!E:E,'BASE SQL PLANTIO'!B:B,VOOS!A1143)=0/1/1900,"",_xlfn.MINIFS('BASE SQL PLANTIO'!E:E,'BASE SQL PLANTIO'!B:B,VOOS!A1143))</f>
        <v/>
      </c>
      <c r="J1143" s="26"/>
      <c r="K1143" s="34" t="str">
        <f t="shared" si="52"/>
        <v/>
      </c>
      <c r="L1143" s="35" t="str">
        <f t="shared" si="53"/>
        <v/>
      </c>
      <c r="M1143" s="14"/>
      <c r="N1143" s="16"/>
    </row>
    <row r="1144" spans="1:14" ht="15.6" x14ac:dyDescent="0.3">
      <c r="A1144" s="13" t="str">
        <f t="shared" si="51"/>
        <v>-</v>
      </c>
      <c r="B1144" s="25"/>
      <c r="C1144" s="25"/>
      <c r="D1144" s="25"/>
      <c r="E1144" s="25"/>
      <c r="F1144" s="31"/>
      <c r="G1144" s="34">
        <f>SUMIFS('BASE EXEC. Q.L'!N:N,'BASE EXEC. Q.L'!B:B,VOOS!A1144)</f>
        <v>0</v>
      </c>
      <c r="H1144" s="15" t="str">
        <f>IFERROR(_xlfn.XLOOKUP(A1144,'BASE SQL PLANTIO'!B:B,'BASE SQL PLANTIO'!T:T,"verificar",0),"")</f>
        <v/>
      </c>
      <c r="I1144" s="77" t="str">
        <f>IF(_xlfn.MINIFS('BASE SQL PLANTIO'!E:E,'BASE SQL PLANTIO'!B:B,VOOS!A1144)=0/1/1900,"",_xlfn.MINIFS('BASE SQL PLANTIO'!E:E,'BASE SQL PLANTIO'!B:B,VOOS!A1144))</f>
        <v/>
      </c>
      <c r="J1144" s="26"/>
      <c r="K1144" s="34" t="str">
        <f t="shared" si="52"/>
        <v/>
      </c>
      <c r="L1144" s="35" t="str">
        <f t="shared" si="53"/>
        <v/>
      </c>
      <c r="M1144" s="14"/>
      <c r="N1144" s="16"/>
    </row>
    <row r="1145" spans="1:14" ht="15.6" x14ac:dyDescent="0.3">
      <c r="A1145" s="13" t="str">
        <f t="shared" si="51"/>
        <v>-</v>
      </c>
      <c r="B1145" s="25"/>
      <c r="C1145" s="25"/>
      <c r="D1145" s="25"/>
      <c r="E1145" s="25"/>
      <c r="F1145" s="31"/>
      <c r="G1145" s="34">
        <f>SUMIFS('BASE EXEC. Q.L'!N:N,'BASE EXEC. Q.L'!B:B,VOOS!A1145)</f>
        <v>0</v>
      </c>
      <c r="H1145" s="15" t="str">
        <f>IFERROR(_xlfn.XLOOKUP(A1145,'BASE SQL PLANTIO'!B:B,'BASE SQL PLANTIO'!T:T,"verificar",0),"")</f>
        <v/>
      </c>
      <c r="I1145" s="77" t="str">
        <f>IF(_xlfn.MINIFS('BASE SQL PLANTIO'!E:E,'BASE SQL PLANTIO'!B:B,VOOS!A1145)=0/1/1900,"",_xlfn.MINIFS('BASE SQL PLANTIO'!E:E,'BASE SQL PLANTIO'!B:B,VOOS!A1145))</f>
        <v/>
      </c>
      <c r="J1145" s="26"/>
      <c r="K1145" s="34" t="str">
        <f t="shared" si="52"/>
        <v/>
      </c>
      <c r="L1145" s="35" t="str">
        <f t="shared" si="53"/>
        <v/>
      </c>
      <c r="M1145" s="14"/>
      <c r="N1145" s="15"/>
    </row>
    <row r="1146" spans="1:14" ht="15.6" x14ac:dyDescent="0.3">
      <c r="A1146" s="13" t="str">
        <f t="shared" si="51"/>
        <v>-</v>
      </c>
      <c r="B1146" s="27"/>
      <c r="C1146" s="26"/>
      <c r="D1146" s="26"/>
      <c r="E1146" s="26"/>
      <c r="F1146" s="26"/>
      <c r="G1146" s="34">
        <f>SUMIFS('BASE EXEC. Q.L'!N:N,'BASE EXEC. Q.L'!B:B,VOOS!A1146)</f>
        <v>0</v>
      </c>
      <c r="H1146" s="15" t="str">
        <f>IFERROR(_xlfn.XLOOKUP(A1146,'BASE SQL PLANTIO'!B:B,'BASE SQL PLANTIO'!T:T,"verificar",0),"")</f>
        <v/>
      </c>
      <c r="I1146" s="77" t="str">
        <f>IF(_xlfn.MINIFS('BASE SQL PLANTIO'!E:E,'BASE SQL PLANTIO'!B:B,VOOS!A1146)=0/1/1900,"",_xlfn.MINIFS('BASE SQL PLANTIO'!E:E,'BASE SQL PLANTIO'!B:B,VOOS!A1146))</f>
        <v/>
      </c>
      <c r="J1146" s="26"/>
      <c r="K1146" s="34" t="str">
        <f t="shared" si="52"/>
        <v/>
      </c>
      <c r="L1146" s="35" t="str">
        <f t="shared" si="53"/>
        <v/>
      </c>
      <c r="M1146" s="14"/>
      <c r="N1146" s="16"/>
    </row>
    <row r="1147" spans="1:14" ht="15.6" x14ac:dyDescent="0.3">
      <c r="A1147" s="13" t="str">
        <f t="shared" si="51"/>
        <v>-</v>
      </c>
      <c r="B1147" s="27"/>
      <c r="C1147" s="26"/>
      <c r="D1147" s="26"/>
      <c r="E1147" s="26"/>
      <c r="F1147" s="26"/>
      <c r="G1147" s="34">
        <f>SUMIFS('BASE EXEC. Q.L'!N:N,'BASE EXEC. Q.L'!B:B,VOOS!A1147)</f>
        <v>0</v>
      </c>
      <c r="H1147" s="15" t="str">
        <f>IFERROR(_xlfn.XLOOKUP(A1147,'BASE SQL PLANTIO'!B:B,'BASE SQL PLANTIO'!T:T,"verificar",0),"")</f>
        <v/>
      </c>
      <c r="I1147" s="77" t="str">
        <f>IF(_xlfn.MINIFS('BASE SQL PLANTIO'!E:E,'BASE SQL PLANTIO'!B:B,VOOS!A1147)=0/1/1900,"",_xlfn.MINIFS('BASE SQL PLANTIO'!E:E,'BASE SQL PLANTIO'!B:B,VOOS!A1147))</f>
        <v/>
      </c>
      <c r="J1147" s="26"/>
      <c r="K1147" s="34" t="str">
        <f t="shared" si="52"/>
        <v/>
      </c>
      <c r="L1147" s="35" t="str">
        <f t="shared" si="53"/>
        <v/>
      </c>
      <c r="M1147" s="14"/>
      <c r="N1147" s="16"/>
    </row>
    <row r="1148" spans="1:14" ht="15.6" x14ac:dyDescent="0.3">
      <c r="A1148" s="13" t="str">
        <f t="shared" si="51"/>
        <v>-</v>
      </c>
      <c r="B1148" s="25"/>
      <c r="C1148" s="25"/>
      <c r="D1148" s="25"/>
      <c r="E1148" s="25"/>
      <c r="F1148" s="31"/>
      <c r="G1148" s="34">
        <f>SUMIFS('BASE EXEC. Q.L'!N:N,'BASE EXEC. Q.L'!B:B,VOOS!A1148)</f>
        <v>0</v>
      </c>
      <c r="H1148" s="15" t="str">
        <f>IFERROR(_xlfn.XLOOKUP(A1148,'BASE SQL PLANTIO'!B:B,'BASE SQL PLANTIO'!T:T,"verificar",0),"")</f>
        <v/>
      </c>
      <c r="I1148" s="77" t="str">
        <f>IF(_xlfn.MINIFS('BASE SQL PLANTIO'!E:E,'BASE SQL PLANTIO'!B:B,VOOS!A1148)=0/1/1900,"",_xlfn.MINIFS('BASE SQL PLANTIO'!E:E,'BASE SQL PLANTIO'!B:B,VOOS!A1148))</f>
        <v/>
      </c>
      <c r="J1148" s="26"/>
      <c r="K1148" s="34" t="str">
        <f t="shared" si="52"/>
        <v/>
      </c>
      <c r="L1148" s="35" t="str">
        <f t="shared" si="53"/>
        <v/>
      </c>
      <c r="M1148" s="14"/>
      <c r="N1148" s="16"/>
    </row>
    <row r="1149" spans="1:14" ht="15.6" x14ac:dyDescent="0.3">
      <c r="A1149" s="13" t="str">
        <f t="shared" si="51"/>
        <v>-</v>
      </c>
      <c r="B1149" s="25"/>
      <c r="C1149" s="25"/>
      <c r="D1149" s="25"/>
      <c r="E1149" s="25"/>
      <c r="F1149" s="31"/>
      <c r="G1149" s="34">
        <f>SUMIFS('BASE EXEC. Q.L'!N:N,'BASE EXEC. Q.L'!B:B,VOOS!A1149)</f>
        <v>0</v>
      </c>
      <c r="H1149" s="15" t="str">
        <f>IFERROR(_xlfn.XLOOKUP(A1149,'BASE SQL PLANTIO'!B:B,'BASE SQL PLANTIO'!T:T,"verificar",0),"")</f>
        <v/>
      </c>
      <c r="I1149" s="77" t="str">
        <f>IF(_xlfn.MINIFS('BASE SQL PLANTIO'!E:E,'BASE SQL PLANTIO'!B:B,VOOS!A1149)=0/1/1900,"",_xlfn.MINIFS('BASE SQL PLANTIO'!E:E,'BASE SQL PLANTIO'!B:B,VOOS!A1149))</f>
        <v/>
      </c>
      <c r="J1149" s="26"/>
      <c r="K1149" s="34" t="str">
        <f t="shared" si="52"/>
        <v/>
      </c>
      <c r="L1149" s="35" t="str">
        <f t="shared" si="53"/>
        <v/>
      </c>
      <c r="M1149" s="14"/>
      <c r="N1149" s="16"/>
    </row>
    <row r="1150" spans="1:14" ht="15.6" x14ac:dyDescent="0.3">
      <c r="A1150" s="13" t="str">
        <f t="shared" si="51"/>
        <v>-</v>
      </c>
      <c r="B1150" s="25"/>
      <c r="C1150" s="25"/>
      <c r="D1150" s="25"/>
      <c r="E1150" s="25"/>
      <c r="F1150" s="31"/>
      <c r="G1150" s="34">
        <f>SUMIFS('BASE EXEC. Q.L'!N:N,'BASE EXEC. Q.L'!B:B,VOOS!A1150)</f>
        <v>0</v>
      </c>
      <c r="H1150" s="15" t="str">
        <f>IFERROR(_xlfn.XLOOKUP(A1150,'BASE SQL PLANTIO'!B:B,'BASE SQL PLANTIO'!T:T,"verificar",0),"")</f>
        <v/>
      </c>
      <c r="I1150" s="77" t="str">
        <f>IF(_xlfn.MINIFS('BASE SQL PLANTIO'!E:E,'BASE SQL PLANTIO'!B:B,VOOS!A1150)=0/1/1900,"",_xlfn.MINIFS('BASE SQL PLANTIO'!E:E,'BASE SQL PLANTIO'!B:B,VOOS!A1150))</f>
        <v/>
      </c>
      <c r="J1150" s="26"/>
      <c r="K1150" s="34" t="str">
        <f t="shared" si="52"/>
        <v/>
      </c>
      <c r="L1150" s="35" t="str">
        <f t="shared" si="53"/>
        <v/>
      </c>
      <c r="M1150" s="14"/>
      <c r="N1150" s="15"/>
    </row>
    <row r="1151" spans="1:14" ht="15.6" x14ac:dyDescent="0.3">
      <c r="A1151" s="13" t="str">
        <f t="shared" si="51"/>
        <v>-</v>
      </c>
      <c r="B1151" s="27"/>
      <c r="C1151" s="26"/>
      <c r="D1151" s="26"/>
      <c r="E1151" s="26"/>
      <c r="F1151" s="26"/>
      <c r="G1151" s="34">
        <f>SUMIFS('BASE EXEC. Q.L'!N:N,'BASE EXEC. Q.L'!B:B,VOOS!A1151)</f>
        <v>0</v>
      </c>
      <c r="H1151" s="15" t="str">
        <f>IFERROR(_xlfn.XLOOKUP(A1151,'BASE SQL PLANTIO'!B:B,'BASE SQL PLANTIO'!T:T,"verificar",0),"")</f>
        <v/>
      </c>
      <c r="I1151" s="77" t="str">
        <f>IF(_xlfn.MINIFS('BASE SQL PLANTIO'!E:E,'BASE SQL PLANTIO'!B:B,VOOS!A1151)=0/1/1900,"",_xlfn.MINIFS('BASE SQL PLANTIO'!E:E,'BASE SQL PLANTIO'!B:B,VOOS!A1151))</f>
        <v/>
      </c>
      <c r="J1151" s="26"/>
      <c r="K1151" s="34" t="str">
        <f t="shared" si="52"/>
        <v/>
      </c>
      <c r="L1151" s="35" t="str">
        <f t="shared" si="53"/>
        <v/>
      </c>
      <c r="M1151" s="14"/>
      <c r="N1151" s="16"/>
    </row>
    <row r="1152" spans="1:14" ht="15.6" x14ac:dyDescent="0.3">
      <c r="A1152" s="13" t="str">
        <f t="shared" si="51"/>
        <v>-</v>
      </c>
      <c r="B1152" s="27"/>
      <c r="C1152" s="26"/>
      <c r="D1152" s="26"/>
      <c r="E1152" s="26"/>
      <c r="F1152" s="26"/>
      <c r="G1152" s="34">
        <f>SUMIFS('BASE EXEC. Q.L'!N:N,'BASE EXEC. Q.L'!B:B,VOOS!A1152)</f>
        <v>0</v>
      </c>
      <c r="H1152" s="15" t="str">
        <f>IFERROR(_xlfn.XLOOKUP(A1152,'BASE SQL PLANTIO'!B:B,'BASE SQL PLANTIO'!T:T,"verificar",0),"")</f>
        <v/>
      </c>
      <c r="I1152" s="77" t="str">
        <f>IF(_xlfn.MINIFS('BASE SQL PLANTIO'!E:E,'BASE SQL PLANTIO'!B:B,VOOS!A1152)=0/1/1900,"",_xlfn.MINIFS('BASE SQL PLANTIO'!E:E,'BASE SQL PLANTIO'!B:B,VOOS!A1152))</f>
        <v/>
      </c>
      <c r="J1152" s="26"/>
      <c r="K1152" s="34" t="str">
        <f t="shared" si="52"/>
        <v/>
      </c>
      <c r="L1152" s="35" t="str">
        <f t="shared" si="53"/>
        <v/>
      </c>
      <c r="M1152" s="14"/>
      <c r="N1152" s="16"/>
    </row>
    <row r="1153" spans="1:14" ht="15.6" x14ac:dyDescent="0.3">
      <c r="A1153" s="13" t="str">
        <f t="shared" si="51"/>
        <v>-</v>
      </c>
      <c r="B1153" s="25"/>
      <c r="C1153" s="25"/>
      <c r="D1153" s="25"/>
      <c r="E1153" s="25"/>
      <c r="F1153" s="31"/>
      <c r="G1153" s="34">
        <f>SUMIFS('BASE EXEC. Q.L'!N:N,'BASE EXEC. Q.L'!B:B,VOOS!A1153)</f>
        <v>0</v>
      </c>
      <c r="H1153" s="15" t="str">
        <f>IFERROR(_xlfn.XLOOKUP(A1153,'BASE SQL PLANTIO'!B:B,'BASE SQL PLANTIO'!T:T,"verificar",0),"")</f>
        <v/>
      </c>
      <c r="I1153" s="77" t="str">
        <f>IF(_xlfn.MINIFS('BASE SQL PLANTIO'!E:E,'BASE SQL PLANTIO'!B:B,VOOS!A1153)=0/1/1900,"",_xlfn.MINIFS('BASE SQL PLANTIO'!E:E,'BASE SQL PLANTIO'!B:B,VOOS!A1153))</f>
        <v/>
      </c>
      <c r="J1153" s="26"/>
      <c r="K1153" s="34" t="str">
        <f t="shared" si="52"/>
        <v/>
      </c>
      <c r="L1153" s="35" t="str">
        <f t="shared" si="53"/>
        <v/>
      </c>
      <c r="M1153" s="14"/>
      <c r="N1153" s="16"/>
    </row>
    <row r="1154" spans="1:14" ht="15.6" x14ac:dyDescent="0.3">
      <c r="A1154" s="13" t="str">
        <f t="shared" si="51"/>
        <v>-</v>
      </c>
      <c r="B1154" s="25"/>
      <c r="C1154" s="25"/>
      <c r="D1154" s="25"/>
      <c r="E1154" s="25"/>
      <c r="F1154" s="31"/>
      <c r="G1154" s="34">
        <f>SUMIFS('BASE EXEC. Q.L'!N:N,'BASE EXEC. Q.L'!B:B,VOOS!A1154)</f>
        <v>0</v>
      </c>
      <c r="H1154" s="15" t="str">
        <f>IFERROR(_xlfn.XLOOKUP(A1154,'BASE SQL PLANTIO'!B:B,'BASE SQL PLANTIO'!T:T,"verificar",0),"")</f>
        <v/>
      </c>
      <c r="I1154" s="77" t="str">
        <f>IF(_xlfn.MINIFS('BASE SQL PLANTIO'!E:E,'BASE SQL PLANTIO'!B:B,VOOS!A1154)=0/1/1900,"",_xlfn.MINIFS('BASE SQL PLANTIO'!E:E,'BASE SQL PLANTIO'!B:B,VOOS!A1154))</f>
        <v/>
      </c>
      <c r="J1154" s="26"/>
      <c r="K1154" s="34" t="str">
        <f t="shared" si="52"/>
        <v/>
      </c>
      <c r="L1154" s="35" t="str">
        <f t="shared" si="53"/>
        <v/>
      </c>
      <c r="M1154" s="14"/>
      <c r="N1154" s="16"/>
    </row>
    <row r="1155" spans="1:14" ht="15.6" x14ac:dyDescent="0.3">
      <c r="A1155" s="13" t="str">
        <f t="shared" si="51"/>
        <v>-</v>
      </c>
      <c r="B1155" s="25"/>
      <c r="C1155" s="25"/>
      <c r="D1155" s="25"/>
      <c r="E1155" s="25"/>
      <c r="F1155" s="31"/>
      <c r="G1155" s="34">
        <f>SUMIFS('BASE EXEC. Q.L'!N:N,'BASE EXEC. Q.L'!B:B,VOOS!A1155)</f>
        <v>0</v>
      </c>
      <c r="H1155" s="15" t="str">
        <f>IFERROR(_xlfn.XLOOKUP(A1155,'BASE SQL PLANTIO'!B:B,'BASE SQL PLANTIO'!T:T,"verificar",0),"")</f>
        <v/>
      </c>
      <c r="I1155" s="77" t="str">
        <f>IF(_xlfn.MINIFS('BASE SQL PLANTIO'!E:E,'BASE SQL PLANTIO'!B:B,VOOS!A1155)=0/1/1900,"",_xlfn.MINIFS('BASE SQL PLANTIO'!E:E,'BASE SQL PLANTIO'!B:B,VOOS!A1155))</f>
        <v/>
      </c>
      <c r="J1155" s="26"/>
      <c r="K1155" s="34" t="str">
        <f t="shared" si="52"/>
        <v/>
      </c>
      <c r="L1155" s="35" t="str">
        <f t="shared" si="53"/>
        <v/>
      </c>
      <c r="M1155" s="14"/>
      <c r="N1155" s="15"/>
    </row>
    <row r="1156" spans="1:14" ht="15.6" x14ac:dyDescent="0.3">
      <c r="A1156" s="13" t="str">
        <f t="shared" si="51"/>
        <v>-</v>
      </c>
      <c r="B1156" s="27"/>
      <c r="C1156" s="26"/>
      <c r="D1156" s="26"/>
      <c r="E1156" s="26"/>
      <c r="F1156" s="26"/>
      <c r="G1156" s="34">
        <f>SUMIFS('BASE EXEC. Q.L'!N:N,'BASE EXEC. Q.L'!B:B,VOOS!A1156)</f>
        <v>0</v>
      </c>
      <c r="H1156" s="15" t="str">
        <f>IFERROR(_xlfn.XLOOKUP(A1156,'BASE SQL PLANTIO'!B:B,'BASE SQL PLANTIO'!T:T,"verificar",0),"")</f>
        <v/>
      </c>
      <c r="I1156" s="77" t="str">
        <f>IF(_xlfn.MINIFS('BASE SQL PLANTIO'!E:E,'BASE SQL PLANTIO'!B:B,VOOS!A1156)=0/1/1900,"",_xlfn.MINIFS('BASE SQL PLANTIO'!E:E,'BASE SQL PLANTIO'!B:B,VOOS!A1156))</f>
        <v/>
      </c>
      <c r="J1156" s="26"/>
      <c r="K1156" s="34" t="str">
        <f t="shared" si="52"/>
        <v/>
      </c>
      <c r="L1156" s="35" t="str">
        <f t="shared" si="53"/>
        <v/>
      </c>
      <c r="M1156" s="14"/>
      <c r="N1156" s="16"/>
    </row>
    <row r="1157" spans="1:14" ht="15.6" x14ac:dyDescent="0.3">
      <c r="A1157" s="13" t="str">
        <f t="shared" ref="A1157:A1220" si="54">CONCATENATE(B1157,"-",E1157)</f>
        <v>-</v>
      </c>
      <c r="B1157" s="27"/>
      <c r="C1157" s="26"/>
      <c r="D1157" s="26"/>
      <c r="E1157" s="26"/>
      <c r="F1157" s="26"/>
      <c r="G1157" s="34">
        <f>SUMIFS('BASE EXEC. Q.L'!N:N,'BASE EXEC. Q.L'!B:B,VOOS!A1157)</f>
        <v>0</v>
      </c>
      <c r="H1157" s="15" t="str">
        <f>IFERROR(_xlfn.XLOOKUP(A1157,'BASE SQL PLANTIO'!B:B,'BASE SQL PLANTIO'!T:T,"verificar",0),"")</f>
        <v/>
      </c>
      <c r="I1157" s="77" t="str">
        <f>IF(_xlfn.MINIFS('BASE SQL PLANTIO'!E:E,'BASE SQL PLANTIO'!B:B,VOOS!A1157)=0/1/1900,"",_xlfn.MINIFS('BASE SQL PLANTIO'!E:E,'BASE SQL PLANTIO'!B:B,VOOS!A1157))</f>
        <v/>
      </c>
      <c r="J1157" s="26"/>
      <c r="K1157" s="34" t="str">
        <f t="shared" ref="K1157:K1220" si="55">IF(I1157="","",$K$3-I1157)</f>
        <v/>
      </c>
      <c r="L1157" s="35" t="str">
        <f t="shared" ref="L1157:L1220" si="56">K1157</f>
        <v/>
      </c>
      <c r="M1157" s="14"/>
      <c r="N1157" s="16"/>
    </row>
    <row r="1158" spans="1:14" ht="15.6" x14ac:dyDescent="0.3">
      <c r="A1158" s="13" t="str">
        <f t="shared" si="54"/>
        <v>-</v>
      </c>
      <c r="B1158" s="25"/>
      <c r="C1158" s="25"/>
      <c r="D1158" s="25"/>
      <c r="E1158" s="25"/>
      <c r="F1158" s="31"/>
      <c r="G1158" s="34">
        <f>SUMIFS('BASE EXEC. Q.L'!N:N,'BASE EXEC. Q.L'!B:B,VOOS!A1158)</f>
        <v>0</v>
      </c>
      <c r="H1158" s="15" t="str">
        <f>IFERROR(_xlfn.XLOOKUP(A1158,'BASE SQL PLANTIO'!B:B,'BASE SQL PLANTIO'!T:T,"verificar",0),"")</f>
        <v/>
      </c>
      <c r="I1158" s="77" t="str">
        <f>IF(_xlfn.MINIFS('BASE SQL PLANTIO'!E:E,'BASE SQL PLANTIO'!B:B,VOOS!A1158)=0/1/1900,"",_xlfn.MINIFS('BASE SQL PLANTIO'!E:E,'BASE SQL PLANTIO'!B:B,VOOS!A1158))</f>
        <v/>
      </c>
      <c r="J1158" s="26"/>
      <c r="K1158" s="34" t="str">
        <f t="shared" si="55"/>
        <v/>
      </c>
      <c r="L1158" s="35" t="str">
        <f t="shared" si="56"/>
        <v/>
      </c>
      <c r="M1158" s="14"/>
      <c r="N1158" s="16"/>
    </row>
    <row r="1159" spans="1:14" ht="15.6" x14ac:dyDescent="0.3">
      <c r="A1159" s="13" t="str">
        <f t="shared" si="54"/>
        <v>-</v>
      </c>
      <c r="B1159" s="25"/>
      <c r="C1159" s="25"/>
      <c r="D1159" s="25"/>
      <c r="E1159" s="25"/>
      <c r="F1159" s="31"/>
      <c r="G1159" s="34">
        <f>SUMIFS('BASE EXEC. Q.L'!N:N,'BASE EXEC. Q.L'!B:B,VOOS!A1159)</f>
        <v>0</v>
      </c>
      <c r="H1159" s="15" t="str">
        <f>IFERROR(_xlfn.XLOOKUP(A1159,'BASE SQL PLANTIO'!B:B,'BASE SQL PLANTIO'!T:T,"verificar",0),"")</f>
        <v/>
      </c>
      <c r="I1159" s="77" t="str">
        <f>IF(_xlfn.MINIFS('BASE SQL PLANTIO'!E:E,'BASE SQL PLANTIO'!B:B,VOOS!A1159)=0/1/1900,"",_xlfn.MINIFS('BASE SQL PLANTIO'!E:E,'BASE SQL PLANTIO'!B:B,VOOS!A1159))</f>
        <v/>
      </c>
      <c r="J1159" s="26"/>
      <c r="K1159" s="34" t="str">
        <f t="shared" si="55"/>
        <v/>
      </c>
      <c r="L1159" s="35" t="str">
        <f t="shared" si="56"/>
        <v/>
      </c>
      <c r="M1159" s="14"/>
      <c r="N1159" s="16"/>
    </row>
    <row r="1160" spans="1:14" ht="15.6" x14ac:dyDescent="0.3">
      <c r="A1160" s="13" t="str">
        <f t="shared" si="54"/>
        <v>-</v>
      </c>
      <c r="B1160" s="25"/>
      <c r="C1160" s="25"/>
      <c r="D1160" s="25"/>
      <c r="E1160" s="25"/>
      <c r="F1160" s="31"/>
      <c r="G1160" s="34">
        <f>SUMIFS('BASE EXEC. Q.L'!N:N,'BASE EXEC. Q.L'!B:B,VOOS!A1160)</f>
        <v>0</v>
      </c>
      <c r="H1160" s="15" t="str">
        <f>IFERROR(_xlfn.XLOOKUP(A1160,'BASE SQL PLANTIO'!B:B,'BASE SQL PLANTIO'!T:T,"verificar",0),"")</f>
        <v/>
      </c>
      <c r="I1160" s="77" t="str">
        <f>IF(_xlfn.MINIFS('BASE SQL PLANTIO'!E:E,'BASE SQL PLANTIO'!B:B,VOOS!A1160)=0/1/1900,"",_xlfn.MINIFS('BASE SQL PLANTIO'!E:E,'BASE SQL PLANTIO'!B:B,VOOS!A1160))</f>
        <v/>
      </c>
      <c r="J1160" s="26"/>
      <c r="K1160" s="34" t="str">
        <f t="shared" si="55"/>
        <v/>
      </c>
      <c r="L1160" s="35" t="str">
        <f t="shared" si="56"/>
        <v/>
      </c>
      <c r="M1160" s="14"/>
      <c r="N1160" s="15"/>
    </row>
    <row r="1161" spans="1:14" ht="15.6" x14ac:dyDescent="0.3">
      <c r="A1161" s="13" t="str">
        <f t="shared" si="54"/>
        <v>-</v>
      </c>
      <c r="B1161" s="27"/>
      <c r="C1161" s="26"/>
      <c r="D1161" s="26"/>
      <c r="E1161" s="26"/>
      <c r="F1161" s="26"/>
      <c r="G1161" s="34">
        <f>SUMIFS('BASE EXEC. Q.L'!N:N,'BASE EXEC. Q.L'!B:B,VOOS!A1161)</f>
        <v>0</v>
      </c>
      <c r="H1161" s="15" t="str">
        <f>IFERROR(_xlfn.XLOOKUP(A1161,'BASE SQL PLANTIO'!B:B,'BASE SQL PLANTIO'!T:T,"verificar",0),"")</f>
        <v/>
      </c>
      <c r="I1161" s="77" t="str">
        <f>IF(_xlfn.MINIFS('BASE SQL PLANTIO'!E:E,'BASE SQL PLANTIO'!B:B,VOOS!A1161)=0/1/1900,"",_xlfn.MINIFS('BASE SQL PLANTIO'!E:E,'BASE SQL PLANTIO'!B:B,VOOS!A1161))</f>
        <v/>
      </c>
      <c r="J1161" s="26"/>
      <c r="K1161" s="34" t="str">
        <f t="shared" si="55"/>
        <v/>
      </c>
      <c r="L1161" s="35" t="str">
        <f t="shared" si="56"/>
        <v/>
      </c>
      <c r="M1161" s="14"/>
      <c r="N1161" s="16"/>
    </row>
    <row r="1162" spans="1:14" ht="15.6" x14ac:dyDescent="0.3">
      <c r="A1162" s="13" t="str">
        <f t="shared" si="54"/>
        <v>-</v>
      </c>
      <c r="B1162" s="27"/>
      <c r="C1162" s="26"/>
      <c r="D1162" s="26"/>
      <c r="E1162" s="26"/>
      <c r="F1162" s="26"/>
      <c r="G1162" s="34">
        <f>SUMIFS('BASE EXEC. Q.L'!N:N,'BASE EXEC. Q.L'!B:B,VOOS!A1162)</f>
        <v>0</v>
      </c>
      <c r="H1162" s="15" t="str">
        <f>IFERROR(_xlfn.XLOOKUP(A1162,'BASE SQL PLANTIO'!B:B,'BASE SQL PLANTIO'!T:T,"verificar",0),"")</f>
        <v/>
      </c>
      <c r="I1162" s="77" t="str">
        <f>IF(_xlfn.MINIFS('BASE SQL PLANTIO'!E:E,'BASE SQL PLANTIO'!B:B,VOOS!A1162)=0/1/1900,"",_xlfn.MINIFS('BASE SQL PLANTIO'!E:E,'BASE SQL PLANTIO'!B:B,VOOS!A1162))</f>
        <v/>
      </c>
      <c r="J1162" s="26"/>
      <c r="K1162" s="34" t="str">
        <f t="shared" si="55"/>
        <v/>
      </c>
      <c r="L1162" s="35" t="str">
        <f t="shared" si="56"/>
        <v/>
      </c>
      <c r="M1162" s="14"/>
      <c r="N1162" s="16"/>
    </row>
    <row r="1163" spans="1:14" ht="15.6" x14ac:dyDescent="0.3">
      <c r="A1163" s="13" t="str">
        <f t="shared" si="54"/>
        <v>-</v>
      </c>
      <c r="B1163" s="25"/>
      <c r="C1163" s="25"/>
      <c r="D1163" s="25"/>
      <c r="E1163" s="25"/>
      <c r="F1163" s="31"/>
      <c r="G1163" s="34">
        <f>SUMIFS('BASE EXEC. Q.L'!N:N,'BASE EXEC. Q.L'!B:B,VOOS!A1163)</f>
        <v>0</v>
      </c>
      <c r="H1163" s="15" t="str">
        <f>IFERROR(_xlfn.XLOOKUP(A1163,'BASE SQL PLANTIO'!B:B,'BASE SQL PLANTIO'!T:T,"verificar",0),"")</f>
        <v/>
      </c>
      <c r="I1163" s="77" t="str">
        <f>IF(_xlfn.MINIFS('BASE SQL PLANTIO'!E:E,'BASE SQL PLANTIO'!B:B,VOOS!A1163)=0/1/1900,"",_xlfn.MINIFS('BASE SQL PLANTIO'!E:E,'BASE SQL PLANTIO'!B:B,VOOS!A1163))</f>
        <v/>
      </c>
      <c r="J1163" s="26"/>
      <c r="K1163" s="34" t="str">
        <f t="shared" si="55"/>
        <v/>
      </c>
      <c r="L1163" s="35" t="str">
        <f t="shared" si="56"/>
        <v/>
      </c>
      <c r="M1163" s="14"/>
      <c r="N1163" s="16"/>
    </row>
    <row r="1164" spans="1:14" ht="15.6" x14ac:dyDescent="0.3">
      <c r="A1164" s="13" t="str">
        <f t="shared" si="54"/>
        <v>-</v>
      </c>
      <c r="B1164" s="25"/>
      <c r="C1164" s="25"/>
      <c r="D1164" s="25"/>
      <c r="E1164" s="25"/>
      <c r="F1164" s="31"/>
      <c r="G1164" s="34">
        <f>SUMIFS('BASE EXEC. Q.L'!N:N,'BASE EXEC. Q.L'!B:B,VOOS!A1164)</f>
        <v>0</v>
      </c>
      <c r="H1164" s="15" t="str">
        <f>IFERROR(_xlfn.XLOOKUP(A1164,'BASE SQL PLANTIO'!B:B,'BASE SQL PLANTIO'!T:T,"verificar",0),"")</f>
        <v/>
      </c>
      <c r="I1164" s="77" t="str">
        <f>IF(_xlfn.MINIFS('BASE SQL PLANTIO'!E:E,'BASE SQL PLANTIO'!B:B,VOOS!A1164)=0/1/1900,"",_xlfn.MINIFS('BASE SQL PLANTIO'!E:E,'BASE SQL PLANTIO'!B:B,VOOS!A1164))</f>
        <v/>
      </c>
      <c r="J1164" s="26"/>
      <c r="K1164" s="34" t="str">
        <f t="shared" si="55"/>
        <v/>
      </c>
      <c r="L1164" s="35" t="str">
        <f t="shared" si="56"/>
        <v/>
      </c>
      <c r="M1164" s="14"/>
      <c r="N1164" s="16"/>
    </row>
    <row r="1165" spans="1:14" ht="15.6" x14ac:dyDescent="0.3">
      <c r="A1165" s="13" t="str">
        <f t="shared" si="54"/>
        <v>-</v>
      </c>
      <c r="B1165" s="25"/>
      <c r="C1165" s="25"/>
      <c r="D1165" s="25"/>
      <c r="E1165" s="25"/>
      <c r="F1165" s="31"/>
      <c r="G1165" s="34">
        <f>SUMIFS('BASE EXEC. Q.L'!N:N,'BASE EXEC. Q.L'!B:B,VOOS!A1165)</f>
        <v>0</v>
      </c>
      <c r="H1165" s="15" t="str">
        <f>IFERROR(_xlfn.XLOOKUP(A1165,'BASE SQL PLANTIO'!B:B,'BASE SQL PLANTIO'!T:T,"verificar",0),"")</f>
        <v/>
      </c>
      <c r="I1165" s="77" t="str">
        <f>IF(_xlfn.MINIFS('BASE SQL PLANTIO'!E:E,'BASE SQL PLANTIO'!B:B,VOOS!A1165)=0/1/1900,"",_xlfn.MINIFS('BASE SQL PLANTIO'!E:E,'BASE SQL PLANTIO'!B:B,VOOS!A1165))</f>
        <v/>
      </c>
      <c r="J1165" s="26"/>
      <c r="K1165" s="34" t="str">
        <f t="shared" si="55"/>
        <v/>
      </c>
      <c r="L1165" s="35" t="str">
        <f t="shared" si="56"/>
        <v/>
      </c>
      <c r="M1165" s="14"/>
      <c r="N1165" s="15"/>
    </row>
    <row r="1166" spans="1:14" ht="15.6" x14ac:dyDescent="0.3">
      <c r="A1166" s="13" t="str">
        <f t="shared" si="54"/>
        <v>-</v>
      </c>
      <c r="B1166" s="27"/>
      <c r="C1166" s="26"/>
      <c r="D1166" s="26"/>
      <c r="E1166" s="26"/>
      <c r="F1166" s="26"/>
      <c r="G1166" s="34">
        <f>SUMIFS('BASE EXEC. Q.L'!N:N,'BASE EXEC. Q.L'!B:B,VOOS!A1166)</f>
        <v>0</v>
      </c>
      <c r="H1166" s="15" t="str">
        <f>IFERROR(_xlfn.XLOOKUP(A1166,'BASE SQL PLANTIO'!B:B,'BASE SQL PLANTIO'!T:T,"verificar",0),"")</f>
        <v/>
      </c>
      <c r="I1166" s="77" t="str">
        <f>IF(_xlfn.MINIFS('BASE SQL PLANTIO'!E:E,'BASE SQL PLANTIO'!B:B,VOOS!A1166)=0/1/1900,"",_xlfn.MINIFS('BASE SQL PLANTIO'!E:E,'BASE SQL PLANTIO'!B:B,VOOS!A1166))</f>
        <v/>
      </c>
      <c r="J1166" s="26"/>
      <c r="K1166" s="34" t="str">
        <f t="shared" si="55"/>
        <v/>
      </c>
      <c r="L1166" s="35" t="str">
        <f t="shared" si="56"/>
        <v/>
      </c>
      <c r="M1166" s="14"/>
      <c r="N1166" s="16"/>
    </row>
    <row r="1167" spans="1:14" ht="15.6" x14ac:dyDescent="0.3">
      <c r="A1167" s="13" t="str">
        <f t="shared" si="54"/>
        <v>-</v>
      </c>
      <c r="B1167" s="27"/>
      <c r="C1167" s="26"/>
      <c r="D1167" s="26"/>
      <c r="E1167" s="26"/>
      <c r="F1167" s="26"/>
      <c r="G1167" s="34">
        <f>SUMIFS('BASE EXEC. Q.L'!N:N,'BASE EXEC. Q.L'!B:B,VOOS!A1167)</f>
        <v>0</v>
      </c>
      <c r="H1167" s="15" t="str">
        <f>IFERROR(_xlfn.XLOOKUP(A1167,'BASE SQL PLANTIO'!B:B,'BASE SQL PLANTIO'!T:T,"verificar",0),"")</f>
        <v/>
      </c>
      <c r="I1167" s="77" t="str">
        <f>IF(_xlfn.MINIFS('BASE SQL PLANTIO'!E:E,'BASE SQL PLANTIO'!B:B,VOOS!A1167)=0/1/1900,"",_xlfn.MINIFS('BASE SQL PLANTIO'!E:E,'BASE SQL PLANTIO'!B:B,VOOS!A1167))</f>
        <v/>
      </c>
      <c r="J1167" s="26"/>
      <c r="K1167" s="34" t="str">
        <f t="shared" si="55"/>
        <v/>
      </c>
      <c r="L1167" s="35" t="str">
        <f t="shared" si="56"/>
        <v/>
      </c>
      <c r="M1167" s="14"/>
      <c r="N1167" s="16"/>
    </row>
    <row r="1168" spans="1:14" ht="15.6" x14ac:dyDescent="0.3">
      <c r="A1168" s="13" t="str">
        <f t="shared" si="54"/>
        <v>-</v>
      </c>
      <c r="B1168" s="25"/>
      <c r="C1168" s="25"/>
      <c r="D1168" s="25"/>
      <c r="E1168" s="25"/>
      <c r="F1168" s="31"/>
      <c r="G1168" s="34">
        <f>SUMIFS('BASE EXEC. Q.L'!N:N,'BASE EXEC. Q.L'!B:B,VOOS!A1168)</f>
        <v>0</v>
      </c>
      <c r="H1168" s="15" t="str">
        <f>IFERROR(_xlfn.XLOOKUP(A1168,'BASE SQL PLANTIO'!B:B,'BASE SQL PLANTIO'!T:T,"verificar",0),"")</f>
        <v/>
      </c>
      <c r="I1168" s="77" t="str">
        <f>IF(_xlfn.MINIFS('BASE SQL PLANTIO'!E:E,'BASE SQL PLANTIO'!B:B,VOOS!A1168)=0/1/1900,"",_xlfn.MINIFS('BASE SQL PLANTIO'!E:E,'BASE SQL PLANTIO'!B:B,VOOS!A1168))</f>
        <v/>
      </c>
      <c r="J1168" s="26"/>
      <c r="K1168" s="34" t="str">
        <f t="shared" si="55"/>
        <v/>
      </c>
      <c r="L1168" s="35" t="str">
        <f t="shared" si="56"/>
        <v/>
      </c>
      <c r="M1168" s="14"/>
      <c r="N1168" s="16"/>
    </row>
    <row r="1169" spans="1:14" ht="15.6" x14ac:dyDescent="0.3">
      <c r="A1169" s="13" t="str">
        <f t="shared" si="54"/>
        <v>-</v>
      </c>
      <c r="B1169" s="25"/>
      <c r="C1169" s="25"/>
      <c r="D1169" s="25"/>
      <c r="E1169" s="25"/>
      <c r="F1169" s="31"/>
      <c r="G1169" s="34">
        <f>SUMIFS('BASE EXEC. Q.L'!N:N,'BASE EXEC. Q.L'!B:B,VOOS!A1169)</f>
        <v>0</v>
      </c>
      <c r="H1169" s="15" t="str">
        <f>IFERROR(_xlfn.XLOOKUP(A1169,'BASE SQL PLANTIO'!B:B,'BASE SQL PLANTIO'!T:T,"verificar",0),"")</f>
        <v/>
      </c>
      <c r="I1169" s="77" t="str">
        <f>IF(_xlfn.MINIFS('BASE SQL PLANTIO'!E:E,'BASE SQL PLANTIO'!B:B,VOOS!A1169)=0/1/1900,"",_xlfn.MINIFS('BASE SQL PLANTIO'!E:E,'BASE SQL PLANTIO'!B:B,VOOS!A1169))</f>
        <v/>
      </c>
      <c r="J1169" s="26"/>
      <c r="K1169" s="34" t="str">
        <f t="shared" si="55"/>
        <v/>
      </c>
      <c r="L1169" s="35" t="str">
        <f t="shared" si="56"/>
        <v/>
      </c>
      <c r="M1169" s="14"/>
      <c r="N1169" s="16"/>
    </row>
    <row r="1170" spans="1:14" ht="15.6" x14ac:dyDescent="0.3">
      <c r="A1170" s="13" t="str">
        <f t="shared" si="54"/>
        <v>-</v>
      </c>
      <c r="B1170" s="25"/>
      <c r="C1170" s="25"/>
      <c r="D1170" s="25"/>
      <c r="E1170" s="25"/>
      <c r="F1170" s="31"/>
      <c r="G1170" s="34">
        <f>SUMIFS('BASE EXEC. Q.L'!N:N,'BASE EXEC. Q.L'!B:B,VOOS!A1170)</f>
        <v>0</v>
      </c>
      <c r="H1170" s="15" t="str">
        <f>IFERROR(_xlfn.XLOOKUP(A1170,'BASE SQL PLANTIO'!B:B,'BASE SQL PLANTIO'!T:T,"verificar",0),"")</f>
        <v/>
      </c>
      <c r="I1170" s="77" t="str">
        <f>IF(_xlfn.MINIFS('BASE SQL PLANTIO'!E:E,'BASE SQL PLANTIO'!B:B,VOOS!A1170)=0/1/1900,"",_xlfn.MINIFS('BASE SQL PLANTIO'!E:E,'BASE SQL PLANTIO'!B:B,VOOS!A1170))</f>
        <v/>
      </c>
      <c r="J1170" s="26"/>
      <c r="K1170" s="34" t="str">
        <f t="shared" si="55"/>
        <v/>
      </c>
      <c r="L1170" s="35" t="str">
        <f t="shared" si="56"/>
        <v/>
      </c>
      <c r="M1170" s="14"/>
      <c r="N1170" s="15"/>
    </row>
    <row r="1171" spans="1:14" ht="15.6" x14ac:dyDescent="0.3">
      <c r="A1171" s="13" t="str">
        <f t="shared" si="54"/>
        <v>-</v>
      </c>
      <c r="B1171" s="27"/>
      <c r="C1171" s="26"/>
      <c r="D1171" s="26"/>
      <c r="E1171" s="26"/>
      <c r="F1171" s="26"/>
      <c r="G1171" s="34">
        <f>SUMIFS('BASE EXEC. Q.L'!N:N,'BASE EXEC. Q.L'!B:B,VOOS!A1171)</f>
        <v>0</v>
      </c>
      <c r="H1171" s="15" t="str">
        <f>IFERROR(_xlfn.XLOOKUP(A1171,'BASE SQL PLANTIO'!B:B,'BASE SQL PLANTIO'!T:T,"verificar",0),"")</f>
        <v/>
      </c>
      <c r="I1171" s="77" t="str">
        <f>IF(_xlfn.MINIFS('BASE SQL PLANTIO'!E:E,'BASE SQL PLANTIO'!B:B,VOOS!A1171)=0/1/1900,"",_xlfn.MINIFS('BASE SQL PLANTIO'!E:E,'BASE SQL PLANTIO'!B:B,VOOS!A1171))</f>
        <v/>
      </c>
      <c r="J1171" s="26"/>
      <c r="K1171" s="34" t="str">
        <f t="shared" si="55"/>
        <v/>
      </c>
      <c r="L1171" s="35" t="str">
        <f t="shared" si="56"/>
        <v/>
      </c>
      <c r="M1171" s="14"/>
      <c r="N1171" s="16"/>
    </row>
    <row r="1172" spans="1:14" ht="15.6" x14ac:dyDescent="0.3">
      <c r="A1172" s="13" t="str">
        <f t="shared" si="54"/>
        <v>-</v>
      </c>
      <c r="B1172" s="27"/>
      <c r="C1172" s="26"/>
      <c r="D1172" s="26"/>
      <c r="E1172" s="26"/>
      <c r="F1172" s="26"/>
      <c r="G1172" s="34">
        <f>SUMIFS('BASE EXEC. Q.L'!N:N,'BASE EXEC. Q.L'!B:B,VOOS!A1172)</f>
        <v>0</v>
      </c>
      <c r="H1172" s="15" t="str">
        <f>IFERROR(_xlfn.XLOOKUP(A1172,'BASE SQL PLANTIO'!B:B,'BASE SQL PLANTIO'!T:T,"verificar",0),"")</f>
        <v/>
      </c>
      <c r="I1172" s="77" t="str">
        <f>IF(_xlfn.MINIFS('BASE SQL PLANTIO'!E:E,'BASE SQL PLANTIO'!B:B,VOOS!A1172)=0/1/1900,"",_xlfn.MINIFS('BASE SQL PLANTIO'!E:E,'BASE SQL PLANTIO'!B:B,VOOS!A1172))</f>
        <v/>
      </c>
      <c r="J1172" s="26"/>
      <c r="K1172" s="34" t="str">
        <f t="shared" si="55"/>
        <v/>
      </c>
      <c r="L1172" s="35" t="str">
        <f t="shared" si="56"/>
        <v/>
      </c>
      <c r="M1172" s="14"/>
      <c r="N1172" s="16"/>
    </row>
    <row r="1173" spans="1:14" ht="15.6" x14ac:dyDescent="0.3">
      <c r="A1173" s="13" t="str">
        <f t="shared" si="54"/>
        <v>-</v>
      </c>
      <c r="B1173" s="25"/>
      <c r="C1173" s="25"/>
      <c r="D1173" s="25"/>
      <c r="E1173" s="25"/>
      <c r="F1173" s="31"/>
      <c r="G1173" s="34">
        <f>SUMIFS('BASE EXEC. Q.L'!N:N,'BASE EXEC. Q.L'!B:B,VOOS!A1173)</f>
        <v>0</v>
      </c>
      <c r="H1173" s="15" t="str">
        <f>IFERROR(_xlfn.XLOOKUP(A1173,'BASE SQL PLANTIO'!B:B,'BASE SQL PLANTIO'!T:T,"verificar",0),"")</f>
        <v/>
      </c>
      <c r="I1173" s="77" t="str">
        <f>IF(_xlfn.MINIFS('BASE SQL PLANTIO'!E:E,'BASE SQL PLANTIO'!B:B,VOOS!A1173)=0/1/1900,"",_xlfn.MINIFS('BASE SQL PLANTIO'!E:E,'BASE SQL PLANTIO'!B:B,VOOS!A1173))</f>
        <v/>
      </c>
      <c r="J1173" s="26"/>
      <c r="K1173" s="34" t="str">
        <f t="shared" si="55"/>
        <v/>
      </c>
      <c r="L1173" s="35" t="str">
        <f t="shared" si="56"/>
        <v/>
      </c>
      <c r="M1173" s="14"/>
      <c r="N1173" s="16"/>
    </row>
    <row r="1174" spans="1:14" ht="15.6" x14ac:dyDescent="0.3">
      <c r="A1174" s="13" t="str">
        <f t="shared" si="54"/>
        <v>-</v>
      </c>
      <c r="B1174" s="25"/>
      <c r="C1174" s="25"/>
      <c r="D1174" s="25"/>
      <c r="E1174" s="25"/>
      <c r="F1174" s="31"/>
      <c r="G1174" s="34">
        <f>SUMIFS('BASE EXEC. Q.L'!N:N,'BASE EXEC. Q.L'!B:B,VOOS!A1174)</f>
        <v>0</v>
      </c>
      <c r="H1174" s="15" t="str">
        <f>IFERROR(_xlfn.XLOOKUP(A1174,'BASE SQL PLANTIO'!B:B,'BASE SQL PLANTIO'!T:T,"verificar",0),"")</f>
        <v/>
      </c>
      <c r="I1174" s="77" t="str">
        <f>IF(_xlfn.MINIFS('BASE SQL PLANTIO'!E:E,'BASE SQL PLANTIO'!B:B,VOOS!A1174)=0/1/1900,"",_xlfn.MINIFS('BASE SQL PLANTIO'!E:E,'BASE SQL PLANTIO'!B:B,VOOS!A1174))</f>
        <v/>
      </c>
      <c r="J1174" s="26"/>
      <c r="K1174" s="34" t="str">
        <f t="shared" si="55"/>
        <v/>
      </c>
      <c r="L1174" s="35" t="str">
        <f t="shared" si="56"/>
        <v/>
      </c>
      <c r="M1174" s="14"/>
      <c r="N1174" s="15"/>
    </row>
    <row r="1175" spans="1:14" ht="15.6" x14ac:dyDescent="0.3">
      <c r="A1175" s="13" t="str">
        <f t="shared" si="54"/>
        <v>-</v>
      </c>
      <c r="B1175" s="27"/>
      <c r="C1175" s="26"/>
      <c r="D1175" s="26"/>
      <c r="E1175" s="26"/>
      <c r="F1175" s="26"/>
      <c r="G1175" s="34">
        <f>SUMIFS('BASE EXEC. Q.L'!N:N,'BASE EXEC. Q.L'!B:B,VOOS!A1175)</f>
        <v>0</v>
      </c>
      <c r="H1175" s="15" t="str">
        <f>IFERROR(_xlfn.XLOOKUP(A1175,'BASE SQL PLANTIO'!B:B,'BASE SQL PLANTIO'!T:T,"verificar",0),"")</f>
        <v/>
      </c>
      <c r="I1175" s="77" t="str">
        <f>IF(_xlfn.MINIFS('BASE SQL PLANTIO'!E:E,'BASE SQL PLANTIO'!B:B,VOOS!A1175)=0/1/1900,"",_xlfn.MINIFS('BASE SQL PLANTIO'!E:E,'BASE SQL PLANTIO'!B:B,VOOS!A1175))</f>
        <v/>
      </c>
      <c r="J1175" s="26"/>
      <c r="K1175" s="34" t="str">
        <f t="shared" si="55"/>
        <v/>
      </c>
      <c r="L1175" s="35" t="str">
        <f t="shared" si="56"/>
        <v/>
      </c>
      <c r="M1175" s="14"/>
      <c r="N1175" s="16"/>
    </row>
    <row r="1176" spans="1:14" ht="15.6" x14ac:dyDescent="0.3">
      <c r="A1176" s="13" t="str">
        <f t="shared" si="54"/>
        <v>-</v>
      </c>
      <c r="B1176" s="27"/>
      <c r="C1176" s="26"/>
      <c r="D1176" s="26"/>
      <c r="E1176" s="26"/>
      <c r="F1176" s="26"/>
      <c r="G1176" s="34">
        <f>SUMIFS('BASE EXEC. Q.L'!N:N,'BASE EXEC. Q.L'!B:B,VOOS!A1176)</f>
        <v>0</v>
      </c>
      <c r="H1176" s="15" t="str">
        <f>IFERROR(_xlfn.XLOOKUP(A1176,'BASE SQL PLANTIO'!B:B,'BASE SQL PLANTIO'!T:T,"verificar",0),"")</f>
        <v/>
      </c>
      <c r="I1176" s="77" t="str">
        <f>IF(_xlfn.MINIFS('BASE SQL PLANTIO'!E:E,'BASE SQL PLANTIO'!B:B,VOOS!A1176)=0/1/1900,"",_xlfn.MINIFS('BASE SQL PLANTIO'!E:E,'BASE SQL PLANTIO'!B:B,VOOS!A1176))</f>
        <v/>
      </c>
      <c r="J1176" s="26"/>
      <c r="K1176" s="34" t="str">
        <f t="shared" si="55"/>
        <v/>
      </c>
      <c r="L1176" s="35" t="str">
        <f t="shared" si="56"/>
        <v/>
      </c>
      <c r="M1176" s="14"/>
      <c r="N1176" s="16"/>
    </row>
    <row r="1177" spans="1:14" ht="15.6" x14ac:dyDescent="0.3">
      <c r="A1177" s="13" t="str">
        <f t="shared" si="54"/>
        <v>-</v>
      </c>
      <c r="B1177" s="25"/>
      <c r="C1177" s="25"/>
      <c r="D1177" s="25"/>
      <c r="E1177" s="25"/>
      <c r="F1177" s="31"/>
      <c r="G1177" s="34">
        <f>SUMIFS('BASE EXEC. Q.L'!N:N,'BASE EXEC. Q.L'!B:B,VOOS!A1177)</f>
        <v>0</v>
      </c>
      <c r="H1177" s="15" t="str">
        <f>IFERROR(_xlfn.XLOOKUP(A1177,'BASE SQL PLANTIO'!B:B,'BASE SQL PLANTIO'!T:T,"verificar",0),"")</f>
        <v/>
      </c>
      <c r="I1177" s="77" t="str">
        <f>IF(_xlfn.MINIFS('BASE SQL PLANTIO'!E:E,'BASE SQL PLANTIO'!B:B,VOOS!A1177)=0/1/1900,"",_xlfn.MINIFS('BASE SQL PLANTIO'!E:E,'BASE SQL PLANTIO'!B:B,VOOS!A1177))</f>
        <v/>
      </c>
      <c r="J1177" s="26"/>
      <c r="K1177" s="34" t="str">
        <f t="shared" si="55"/>
        <v/>
      </c>
      <c r="L1177" s="35" t="str">
        <f t="shared" si="56"/>
        <v/>
      </c>
      <c r="M1177" s="14"/>
      <c r="N1177" s="16"/>
    </row>
    <row r="1178" spans="1:14" ht="15.6" x14ac:dyDescent="0.3">
      <c r="A1178" s="13" t="str">
        <f t="shared" si="54"/>
        <v>-</v>
      </c>
      <c r="B1178" s="25"/>
      <c r="C1178" s="25"/>
      <c r="D1178" s="25"/>
      <c r="E1178" s="25"/>
      <c r="F1178" s="31"/>
      <c r="G1178" s="34">
        <f>SUMIFS('BASE EXEC. Q.L'!N:N,'BASE EXEC. Q.L'!B:B,VOOS!A1178)</f>
        <v>0</v>
      </c>
      <c r="H1178" s="15" t="str">
        <f>IFERROR(_xlfn.XLOOKUP(A1178,'BASE SQL PLANTIO'!B:B,'BASE SQL PLANTIO'!T:T,"verificar",0),"")</f>
        <v/>
      </c>
      <c r="I1178" s="77" t="str">
        <f>IF(_xlfn.MINIFS('BASE SQL PLANTIO'!E:E,'BASE SQL PLANTIO'!B:B,VOOS!A1178)=0/1/1900,"",_xlfn.MINIFS('BASE SQL PLANTIO'!E:E,'BASE SQL PLANTIO'!B:B,VOOS!A1178))</f>
        <v/>
      </c>
      <c r="J1178" s="26"/>
      <c r="K1178" s="34" t="str">
        <f t="shared" si="55"/>
        <v/>
      </c>
      <c r="L1178" s="35" t="str">
        <f t="shared" si="56"/>
        <v/>
      </c>
      <c r="M1178" s="14"/>
      <c r="N1178" s="16"/>
    </row>
    <row r="1179" spans="1:14" ht="15.6" x14ac:dyDescent="0.3">
      <c r="A1179" s="13" t="str">
        <f t="shared" si="54"/>
        <v>-</v>
      </c>
      <c r="B1179" s="25"/>
      <c r="C1179" s="25"/>
      <c r="D1179" s="25"/>
      <c r="E1179" s="25"/>
      <c r="F1179" s="31"/>
      <c r="G1179" s="34">
        <f>SUMIFS('BASE EXEC. Q.L'!N:N,'BASE EXEC. Q.L'!B:B,VOOS!A1179)</f>
        <v>0</v>
      </c>
      <c r="H1179" s="15" t="str">
        <f>IFERROR(_xlfn.XLOOKUP(A1179,'BASE SQL PLANTIO'!B:B,'BASE SQL PLANTIO'!T:T,"verificar",0),"")</f>
        <v/>
      </c>
      <c r="I1179" s="77" t="str">
        <f>IF(_xlfn.MINIFS('BASE SQL PLANTIO'!E:E,'BASE SQL PLANTIO'!B:B,VOOS!A1179)=0/1/1900,"",_xlfn.MINIFS('BASE SQL PLANTIO'!E:E,'BASE SQL PLANTIO'!B:B,VOOS!A1179))</f>
        <v/>
      </c>
      <c r="J1179" s="26"/>
      <c r="K1179" s="34" t="str">
        <f t="shared" si="55"/>
        <v/>
      </c>
      <c r="L1179" s="35" t="str">
        <f t="shared" si="56"/>
        <v/>
      </c>
      <c r="M1179" s="14"/>
      <c r="N1179" s="15"/>
    </row>
    <row r="1180" spans="1:14" ht="15.6" x14ac:dyDescent="0.3">
      <c r="A1180" s="13" t="str">
        <f t="shared" si="54"/>
        <v>-</v>
      </c>
      <c r="B1180" s="27"/>
      <c r="C1180" s="26"/>
      <c r="D1180" s="26"/>
      <c r="E1180" s="26"/>
      <c r="F1180" s="26"/>
      <c r="G1180" s="34">
        <f>SUMIFS('BASE EXEC. Q.L'!N:N,'BASE EXEC. Q.L'!B:B,VOOS!A1180)</f>
        <v>0</v>
      </c>
      <c r="H1180" s="15" t="str">
        <f>IFERROR(_xlfn.XLOOKUP(A1180,'BASE SQL PLANTIO'!B:B,'BASE SQL PLANTIO'!T:T,"verificar",0),"")</f>
        <v/>
      </c>
      <c r="I1180" s="77" t="str">
        <f>IF(_xlfn.MINIFS('BASE SQL PLANTIO'!E:E,'BASE SQL PLANTIO'!B:B,VOOS!A1180)=0/1/1900,"",_xlfn.MINIFS('BASE SQL PLANTIO'!E:E,'BASE SQL PLANTIO'!B:B,VOOS!A1180))</f>
        <v/>
      </c>
      <c r="J1180" s="26"/>
      <c r="K1180" s="34" t="str">
        <f t="shared" si="55"/>
        <v/>
      </c>
      <c r="L1180" s="35" t="str">
        <f t="shared" si="56"/>
        <v/>
      </c>
      <c r="M1180" s="14"/>
      <c r="N1180" s="16"/>
    </row>
    <row r="1181" spans="1:14" ht="15.6" x14ac:dyDescent="0.3">
      <c r="A1181" s="13" t="str">
        <f t="shared" si="54"/>
        <v>-</v>
      </c>
      <c r="B1181" s="27"/>
      <c r="C1181" s="26"/>
      <c r="D1181" s="26"/>
      <c r="E1181" s="26"/>
      <c r="F1181" s="26"/>
      <c r="G1181" s="34">
        <f>SUMIFS('BASE EXEC. Q.L'!N:N,'BASE EXEC. Q.L'!B:B,VOOS!A1181)</f>
        <v>0</v>
      </c>
      <c r="H1181" s="15" t="str">
        <f>IFERROR(_xlfn.XLOOKUP(A1181,'BASE SQL PLANTIO'!B:B,'BASE SQL PLANTIO'!T:T,"verificar",0),"")</f>
        <v/>
      </c>
      <c r="I1181" s="77" t="str">
        <f>IF(_xlfn.MINIFS('BASE SQL PLANTIO'!E:E,'BASE SQL PLANTIO'!B:B,VOOS!A1181)=0/1/1900,"",_xlfn.MINIFS('BASE SQL PLANTIO'!E:E,'BASE SQL PLANTIO'!B:B,VOOS!A1181))</f>
        <v/>
      </c>
      <c r="J1181" s="26"/>
      <c r="K1181" s="34" t="str">
        <f t="shared" si="55"/>
        <v/>
      </c>
      <c r="L1181" s="35" t="str">
        <f t="shared" si="56"/>
        <v/>
      </c>
      <c r="M1181" s="14"/>
      <c r="N1181" s="16"/>
    </row>
    <row r="1182" spans="1:14" ht="15.6" x14ac:dyDescent="0.3">
      <c r="A1182" s="13" t="str">
        <f t="shared" si="54"/>
        <v>-</v>
      </c>
      <c r="B1182" s="25"/>
      <c r="C1182" s="25"/>
      <c r="D1182" s="25"/>
      <c r="E1182" s="25"/>
      <c r="F1182" s="31"/>
      <c r="G1182" s="34">
        <f>SUMIFS('BASE EXEC. Q.L'!N:N,'BASE EXEC. Q.L'!B:B,VOOS!A1182)</f>
        <v>0</v>
      </c>
      <c r="H1182" s="15" t="str">
        <f>IFERROR(_xlfn.XLOOKUP(A1182,'BASE SQL PLANTIO'!B:B,'BASE SQL PLANTIO'!T:T,"verificar",0),"")</f>
        <v/>
      </c>
      <c r="I1182" s="77" t="str">
        <f>IF(_xlfn.MINIFS('BASE SQL PLANTIO'!E:E,'BASE SQL PLANTIO'!B:B,VOOS!A1182)=0/1/1900,"",_xlfn.MINIFS('BASE SQL PLANTIO'!E:E,'BASE SQL PLANTIO'!B:B,VOOS!A1182))</f>
        <v/>
      </c>
      <c r="J1182" s="26"/>
      <c r="K1182" s="34" t="str">
        <f t="shared" si="55"/>
        <v/>
      </c>
      <c r="L1182" s="35" t="str">
        <f t="shared" si="56"/>
        <v/>
      </c>
      <c r="M1182" s="14"/>
      <c r="N1182" s="16"/>
    </row>
    <row r="1183" spans="1:14" ht="15.6" x14ac:dyDescent="0.3">
      <c r="A1183" s="13" t="str">
        <f t="shared" si="54"/>
        <v>-</v>
      </c>
      <c r="B1183" s="25"/>
      <c r="C1183" s="25"/>
      <c r="D1183" s="25"/>
      <c r="E1183" s="25"/>
      <c r="F1183" s="31"/>
      <c r="G1183" s="34">
        <f>SUMIFS('BASE EXEC. Q.L'!N:N,'BASE EXEC. Q.L'!B:B,VOOS!A1183)</f>
        <v>0</v>
      </c>
      <c r="H1183" s="15" t="str">
        <f>IFERROR(_xlfn.XLOOKUP(A1183,'BASE SQL PLANTIO'!B:B,'BASE SQL PLANTIO'!T:T,"verificar",0),"")</f>
        <v/>
      </c>
      <c r="I1183" s="77" t="str">
        <f>IF(_xlfn.MINIFS('BASE SQL PLANTIO'!E:E,'BASE SQL PLANTIO'!B:B,VOOS!A1183)=0/1/1900,"",_xlfn.MINIFS('BASE SQL PLANTIO'!E:E,'BASE SQL PLANTIO'!B:B,VOOS!A1183))</f>
        <v/>
      </c>
      <c r="J1183" s="26"/>
      <c r="K1183" s="34" t="str">
        <f t="shared" si="55"/>
        <v/>
      </c>
      <c r="L1183" s="35" t="str">
        <f t="shared" si="56"/>
        <v/>
      </c>
      <c r="M1183" s="14"/>
      <c r="N1183" s="16"/>
    </row>
    <row r="1184" spans="1:14" ht="15.6" x14ac:dyDescent="0.3">
      <c r="A1184" s="13" t="str">
        <f t="shared" si="54"/>
        <v>-</v>
      </c>
      <c r="B1184" s="25"/>
      <c r="C1184" s="25"/>
      <c r="D1184" s="25"/>
      <c r="E1184" s="25"/>
      <c r="F1184" s="31"/>
      <c r="G1184" s="34">
        <f>SUMIFS('BASE EXEC. Q.L'!N:N,'BASE EXEC. Q.L'!B:B,VOOS!A1184)</f>
        <v>0</v>
      </c>
      <c r="H1184" s="15" t="str">
        <f>IFERROR(_xlfn.XLOOKUP(A1184,'BASE SQL PLANTIO'!B:B,'BASE SQL PLANTIO'!T:T,"verificar",0),"")</f>
        <v/>
      </c>
      <c r="I1184" s="77" t="str">
        <f>IF(_xlfn.MINIFS('BASE SQL PLANTIO'!E:E,'BASE SQL PLANTIO'!B:B,VOOS!A1184)=0/1/1900,"",_xlfn.MINIFS('BASE SQL PLANTIO'!E:E,'BASE SQL PLANTIO'!B:B,VOOS!A1184))</f>
        <v/>
      </c>
      <c r="J1184" s="26"/>
      <c r="K1184" s="34" t="str">
        <f t="shared" si="55"/>
        <v/>
      </c>
      <c r="L1184" s="35" t="str">
        <f t="shared" si="56"/>
        <v/>
      </c>
      <c r="M1184" s="14"/>
      <c r="N1184" s="15"/>
    </row>
    <row r="1185" spans="1:14" ht="15.6" x14ac:dyDescent="0.3">
      <c r="A1185" s="13" t="str">
        <f t="shared" si="54"/>
        <v>-</v>
      </c>
      <c r="B1185" s="27"/>
      <c r="C1185" s="26"/>
      <c r="D1185" s="26"/>
      <c r="E1185" s="26"/>
      <c r="F1185" s="26"/>
      <c r="G1185" s="34">
        <f>SUMIFS('BASE EXEC. Q.L'!N:N,'BASE EXEC. Q.L'!B:B,VOOS!A1185)</f>
        <v>0</v>
      </c>
      <c r="H1185" s="15" t="str">
        <f>IFERROR(_xlfn.XLOOKUP(A1185,'BASE SQL PLANTIO'!B:B,'BASE SQL PLANTIO'!T:T,"verificar",0),"")</f>
        <v/>
      </c>
      <c r="I1185" s="77" t="str">
        <f>IF(_xlfn.MINIFS('BASE SQL PLANTIO'!E:E,'BASE SQL PLANTIO'!B:B,VOOS!A1185)=0/1/1900,"",_xlfn.MINIFS('BASE SQL PLANTIO'!E:E,'BASE SQL PLANTIO'!B:B,VOOS!A1185))</f>
        <v/>
      </c>
      <c r="J1185" s="26"/>
      <c r="K1185" s="34" t="str">
        <f t="shared" si="55"/>
        <v/>
      </c>
      <c r="L1185" s="35" t="str">
        <f t="shared" si="56"/>
        <v/>
      </c>
      <c r="M1185" s="14"/>
      <c r="N1185" s="16"/>
    </row>
    <row r="1186" spans="1:14" ht="15.6" x14ac:dyDescent="0.3">
      <c r="A1186" s="13" t="str">
        <f t="shared" si="54"/>
        <v>-</v>
      </c>
      <c r="B1186" s="27"/>
      <c r="C1186" s="26"/>
      <c r="D1186" s="26"/>
      <c r="E1186" s="26"/>
      <c r="F1186" s="26"/>
      <c r="G1186" s="34">
        <f>SUMIFS('BASE EXEC. Q.L'!N:N,'BASE EXEC. Q.L'!B:B,VOOS!A1186)</f>
        <v>0</v>
      </c>
      <c r="H1186" s="15" t="str">
        <f>IFERROR(_xlfn.XLOOKUP(A1186,'BASE SQL PLANTIO'!B:B,'BASE SQL PLANTIO'!T:T,"verificar",0),"")</f>
        <v/>
      </c>
      <c r="I1186" s="77" t="str">
        <f>IF(_xlfn.MINIFS('BASE SQL PLANTIO'!E:E,'BASE SQL PLANTIO'!B:B,VOOS!A1186)=0/1/1900,"",_xlfn.MINIFS('BASE SQL PLANTIO'!E:E,'BASE SQL PLANTIO'!B:B,VOOS!A1186))</f>
        <v/>
      </c>
      <c r="J1186" s="26"/>
      <c r="K1186" s="34" t="str">
        <f t="shared" si="55"/>
        <v/>
      </c>
      <c r="L1186" s="35" t="str">
        <f t="shared" si="56"/>
        <v/>
      </c>
      <c r="M1186" s="14"/>
      <c r="N1186" s="16"/>
    </row>
    <row r="1187" spans="1:14" ht="15.6" x14ac:dyDescent="0.3">
      <c r="A1187" s="13" t="str">
        <f t="shared" si="54"/>
        <v>-</v>
      </c>
      <c r="B1187" s="25"/>
      <c r="C1187" s="25"/>
      <c r="D1187" s="25"/>
      <c r="E1187" s="25"/>
      <c r="F1187" s="31"/>
      <c r="G1187" s="34">
        <f>SUMIFS('BASE EXEC. Q.L'!N:N,'BASE EXEC. Q.L'!B:B,VOOS!A1187)</f>
        <v>0</v>
      </c>
      <c r="H1187" s="15" t="str">
        <f>IFERROR(_xlfn.XLOOKUP(A1187,'BASE SQL PLANTIO'!B:B,'BASE SQL PLANTIO'!T:T,"verificar",0),"")</f>
        <v/>
      </c>
      <c r="I1187" s="77" t="str">
        <f>IF(_xlfn.MINIFS('BASE SQL PLANTIO'!E:E,'BASE SQL PLANTIO'!B:B,VOOS!A1187)=0/1/1900,"",_xlfn.MINIFS('BASE SQL PLANTIO'!E:E,'BASE SQL PLANTIO'!B:B,VOOS!A1187))</f>
        <v/>
      </c>
      <c r="J1187" s="26"/>
      <c r="K1187" s="34" t="str">
        <f t="shared" si="55"/>
        <v/>
      </c>
      <c r="L1187" s="35" t="str">
        <f t="shared" si="56"/>
        <v/>
      </c>
      <c r="M1187" s="14"/>
      <c r="N1187" s="16"/>
    </row>
    <row r="1188" spans="1:14" ht="15.6" x14ac:dyDescent="0.3">
      <c r="A1188" s="13" t="str">
        <f t="shared" si="54"/>
        <v>-</v>
      </c>
      <c r="B1188" s="25"/>
      <c r="C1188" s="25"/>
      <c r="D1188" s="25"/>
      <c r="E1188" s="25"/>
      <c r="F1188" s="31"/>
      <c r="G1188" s="34">
        <f>SUMIFS('BASE EXEC. Q.L'!N:N,'BASE EXEC. Q.L'!B:B,VOOS!A1188)</f>
        <v>0</v>
      </c>
      <c r="H1188" s="15" t="str">
        <f>IFERROR(_xlfn.XLOOKUP(A1188,'BASE SQL PLANTIO'!B:B,'BASE SQL PLANTIO'!T:T,"verificar",0),"")</f>
        <v/>
      </c>
      <c r="I1188" s="77" t="str">
        <f>IF(_xlfn.MINIFS('BASE SQL PLANTIO'!E:E,'BASE SQL PLANTIO'!B:B,VOOS!A1188)=0/1/1900,"",_xlfn.MINIFS('BASE SQL PLANTIO'!E:E,'BASE SQL PLANTIO'!B:B,VOOS!A1188))</f>
        <v/>
      </c>
      <c r="J1188" s="26"/>
      <c r="K1188" s="34" t="str">
        <f t="shared" si="55"/>
        <v/>
      </c>
      <c r="L1188" s="35" t="str">
        <f t="shared" si="56"/>
        <v/>
      </c>
      <c r="M1188" s="14"/>
      <c r="N1188" s="16"/>
    </row>
    <row r="1189" spans="1:14" ht="15.6" x14ac:dyDescent="0.3">
      <c r="A1189" s="13" t="str">
        <f t="shared" si="54"/>
        <v>-</v>
      </c>
      <c r="B1189" s="25"/>
      <c r="C1189" s="25"/>
      <c r="D1189" s="25"/>
      <c r="E1189" s="25"/>
      <c r="F1189" s="31"/>
      <c r="G1189" s="34">
        <f>SUMIFS('BASE EXEC. Q.L'!N:N,'BASE EXEC. Q.L'!B:B,VOOS!A1189)</f>
        <v>0</v>
      </c>
      <c r="H1189" s="15" t="str">
        <f>IFERROR(_xlfn.XLOOKUP(A1189,'BASE SQL PLANTIO'!B:B,'BASE SQL PLANTIO'!T:T,"verificar",0),"")</f>
        <v/>
      </c>
      <c r="I1189" s="77" t="str">
        <f>IF(_xlfn.MINIFS('BASE SQL PLANTIO'!E:E,'BASE SQL PLANTIO'!B:B,VOOS!A1189)=0/1/1900,"",_xlfn.MINIFS('BASE SQL PLANTIO'!E:E,'BASE SQL PLANTIO'!B:B,VOOS!A1189))</f>
        <v/>
      </c>
      <c r="J1189" s="26"/>
      <c r="K1189" s="34" t="str">
        <f t="shared" si="55"/>
        <v/>
      </c>
      <c r="L1189" s="35" t="str">
        <f t="shared" si="56"/>
        <v/>
      </c>
      <c r="M1189" s="14"/>
      <c r="N1189" s="15"/>
    </row>
    <row r="1190" spans="1:14" ht="15.6" x14ac:dyDescent="0.3">
      <c r="A1190" s="13" t="str">
        <f t="shared" si="54"/>
        <v>-</v>
      </c>
      <c r="B1190" s="27"/>
      <c r="C1190" s="26"/>
      <c r="D1190" s="26"/>
      <c r="E1190" s="26"/>
      <c r="F1190" s="26"/>
      <c r="G1190" s="34">
        <f>SUMIFS('BASE EXEC. Q.L'!N:N,'BASE EXEC. Q.L'!B:B,VOOS!A1190)</f>
        <v>0</v>
      </c>
      <c r="H1190" s="15" t="str">
        <f>IFERROR(_xlfn.XLOOKUP(A1190,'BASE SQL PLANTIO'!B:B,'BASE SQL PLANTIO'!T:T,"verificar",0),"")</f>
        <v/>
      </c>
      <c r="I1190" s="77" t="str">
        <f>IF(_xlfn.MINIFS('BASE SQL PLANTIO'!E:E,'BASE SQL PLANTIO'!B:B,VOOS!A1190)=0/1/1900,"",_xlfn.MINIFS('BASE SQL PLANTIO'!E:E,'BASE SQL PLANTIO'!B:B,VOOS!A1190))</f>
        <v/>
      </c>
      <c r="J1190" s="26"/>
      <c r="K1190" s="34" t="str">
        <f t="shared" si="55"/>
        <v/>
      </c>
      <c r="L1190" s="35" t="str">
        <f t="shared" si="56"/>
        <v/>
      </c>
      <c r="M1190" s="14"/>
      <c r="N1190" s="16"/>
    </row>
    <row r="1191" spans="1:14" ht="15.6" x14ac:dyDescent="0.3">
      <c r="A1191" s="13" t="str">
        <f t="shared" si="54"/>
        <v>-</v>
      </c>
      <c r="B1191" s="27"/>
      <c r="C1191" s="26"/>
      <c r="D1191" s="26"/>
      <c r="E1191" s="26"/>
      <c r="F1191" s="26"/>
      <c r="G1191" s="34">
        <f>SUMIFS('BASE EXEC. Q.L'!N:N,'BASE EXEC. Q.L'!B:B,VOOS!A1191)</f>
        <v>0</v>
      </c>
      <c r="H1191" s="15" t="str">
        <f>IFERROR(_xlfn.XLOOKUP(A1191,'BASE SQL PLANTIO'!B:B,'BASE SQL PLANTIO'!T:T,"verificar",0),"")</f>
        <v/>
      </c>
      <c r="I1191" s="77" t="str">
        <f>IF(_xlfn.MINIFS('BASE SQL PLANTIO'!E:E,'BASE SQL PLANTIO'!B:B,VOOS!A1191)=0/1/1900,"",_xlfn.MINIFS('BASE SQL PLANTIO'!E:E,'BASE SQL PLANTIO'!B:B,VOOS!A1191))</f>
        <v/>
      </c>
      <c r="J1191" s="26"/>
      <c r="K1191" s="34" t="str">
        <f t="shared" si="55"/>
        <v/>
      </c>
      <c r="L1191" s="35" t="str">
        <f t="shared" si="56"/>
        <v/>
      </c>
      <c r="M1191" s="14"/>
      <c r="N1191" s="16"/>
    </row>
    <row r="1192" spans="1:14" ht="15.6" x14ac:dyDescent="0.3">
      <c r="A1192" s="13" t="str">
        <f t="shared" si="54"/>
        <v>-</v>
      </c>
      <c r="B1192" s="25"/>
      <c r="C1192" s="25"/>
      <c r="D1192" s="25"/>
      <c r="E1192" s="25"/>
      <c r="F1192" s="31"/>
      <c r="G1192" s="34">
        <f>SUMIFS('BASE EXEC. Q.L'!N:N,'BASE EXEC. Q.L'!B:B,VOOS!A1192)</f>
        <v>0</v>
      </c>
      <c r="H1192" s="15" t="str">
        <f>IFERROR(_xlfn.XLOOKUP(A1192,'BASE SQL PLANTIO'!B:B,'BASE SQL PLANTIO'!T:T,"verificar",0),"")</f>
        <v/>
      </c>
      <c r="I1192" s="77" t="str">
        <f>IF(_xlfn.MINIFS('BASE SQL PLANTIO'!E:E,'BASE SQL PLANTIO'!B:B,VOOS!A1192)=0/1/1900,"",_xlfn.MINIFS('BASE SQL PLANTIO'!E:E,'BASE SQL PLANTIO'!B:B,VOOS!A1192))</f>
        <v/>
      </c>
      <c r="J1192" s="26"/>
      <c r="K1192" s="34" t="str">
        <f t="shared" si="55"/>
        <v/>
      </c>
      <c r="L1192" s="35" t="str">
        <f t="shared" si="56"/>
        <v/>
      </c>
      <c r="M1192" s="14"/>
      <c r="N1192" s="16"/>
    </row>
    <row r="1193" spans="1:14" ht="15.6" x14ac:dyDescent="0.3">
      <c r="A1193" s="13" t="str">
        <f t="shared" si="54"/>
        <v>-</v>
      </c>
      <c r="B1193" s="25"/>
      <c r="C1193" s="25"/>
      <c r="D1193" s="25"/>
      <c r="E1193" s="25"/>
      <c r="F1193" s="31"/>
      <c r="G1193" s="34">
        <f>SUMIFS('BASE EXEC. Q.L'!N:N,'BASE EXEC. Q.L'!B:B,VOOS!A1193)</f>
        <v>0</v>
      </c>
      <c r="H1193" s="15" t="str">
        <f>IFERROR(_xlfn.XLOOKUP(A1193,'BASE SQL PLANTIO'!B:B,'BASE SQL PLANTIO'!T:T,"verificar",0),"")</f>
        <v/>
      </c>
      <c r="I1193" s="77" t="str">
        <f>IF(_xlfn.MINIFS('BASE SQL PLANTIO'!E:E,'BASE SQL PLANTIO'!B:B,VOOS!A1193)=0/1/1900,"",_xlfn.MINIFS('BASE SQL PLANTIO'!E:E,'BASE SQL PLANTIO'!B:B,VOOS!A1193))</f>
        <v/>
      </c>
      <c r="J1193" s="26"/>
      <c r="K1193" s="34" t="str">
        <f t="shared" si="55"/>
        <v/>
      </c>
      <c r="L1193" s="35" t="str">
        <f t="shared" si="56"/>
        <v/>
      </c>
      <c r="M1193" s="14"/>
      <c r="N1193" s="16"/>
    </row>
    <row r="1194" spans="1:14" ht="15.6" x14ac:dyDescent="0.3">
      <c r="A1194" s="13" t="str">
        <f t="shared" si="54"/>
        <v>-</v>
      </c>
      <c r="B1194" s="25"/>
      <c r="C1194" s="25"/>
      <c r="D1194" s="25"/>
      <c r="E1194" s="25"/>
      <c r="F1194" s="31"/>
      <c r="G1194" s="34">
        <f>SUMIFS('BASE EXEC. Q.L'!N:N,'BASE EXEC. Q.L'!B:B,VOOS!A1194)</f>
        <v>0</v>
      </c>
      <c r="H1194" s="15" t="str">
        <f>IFERROR(_xlfn.XLOOKUP(A1194,'BASE SQL PLANTIO'!B:B,'BASE SQL PLANTIO'!T:T,"verificar",0),"")</f>
        <v/>
      </c>
      <c r="I1194" s="77" t="str">
        <f>IF(_xlfn.MINIFS('BASE SQL PLANTIO'!E:E,'BASE SQL PLANTIO'!B:B,VOOS!A1194)=0/1/1900,"",_xlfn.MINIFS('BASE SQL PLANTIO'!E:E,'BASE SQL PLANTIO'!B:B,VOOS!A1194))</f>
        <v/>
      </c>
      <c r="J1194" s="26"/>
      <c r="K1194" s="34" t="str">
        <f t="shared" si="55"/>
        <v/>
      </c>
      <c r="L1194" s="35" t="str">
        <f t="shared" si="56"/>
        <v/>
      </c>
      <c r="M1194" s="14"/>
      <c r="N1194" s="15"/>
    </row>
    <row r="1195" spans="1:14" ht="15.6" x14ac:dyDescent="0.3">
      <c r="A1195" s="13" t="str">
        <f t="shared" si="54"/>
        <v>-</v>
      </c>
      <c r="B1195" s="27"/>
      <c r="C1195" s="26"/>
      <c r="D1195" s="26"/>
      <c r="E1195" s="26"/>
      <c r="F1195" s="26"/>
      <c r="G1195" s="34">
        <f>SUMIFS('BASE EXEC. Q.L'!N:N,'BASE EXEC. Q.L'!B:B,VOOS!A1195)</f>
        <v>0</v>
      </c>
      <c r="H1195" s="15" t="str">
        <f>IFERROR(_xlfn.XLOOKUP(A1195,'BASE SQL PLANTIO'!B:B,'BASE SQL PLANTIO'!T:T,"verificar",0),"")</f>
        <v/>
      </c>
      <c r="I1195" s="77" t="str">
        <f>IF(_xlfn.MINIFS('BASE SQL PLANTIO'!E:E,'BASE SQL PLANTIO'!B:B,VOOS!A1195)=0/1/1900,"",_xlfn.MINIFS('BASE SQL PLANTIO'!E:E,'BASE SQL PLANTIO'!B:B,VOOS!A1195))</f>
        <v/>
      </c>
      <c r="J1195" s="26"/>
      <c r="K1195" s="34" t="str">
        <f t="shared" si="55"/>
        <v/>
      </c>
      <c r="L1195" s="35" t="str">
        <f t="shared" si="56"/>
        <v/>
      </c>
      <c r="M1195" s="14"/>
      <c r="N1195" s="16"/>
    </row>
    <row r="1196" spans="1:14" ht="15.6" x14ac:dyDescent="0.3">
      <c r="A1196" s="13" t="str">
        <f t="shared" si="54"/>
        <v>-</v>
      </c>
      <c r="B1196" s="27"/>
      <c r="C1196" s="26"/>
      <c r="D1196" s="26"/>
      <c r="E1196" s="26"/>
      <c r="F1196" s="26"/>
      <c r="G1196" s="34">
        <f>SUMIFS('BASE EXEC. Q.L'!N:N,'BASE EXEC. Q.L'!B:B,VOOS!A1196)</f>
        <v>0</v>
      </c>
      <c r="H1196" s="15" t="str">
        <f>IFERROR(_xlfn.XLOOKUP(A1196,'BASE SQL PLANTIO'!B:B,'BASE SQL PLANTIO'!T:T,"verificar",0),"")</f>
        <v/>
      </c>
      <c r="I1196" s="77" t="str">
        <f>IF(_xlfn.MINIFS('BASE SQL PLANTIO'!E:E,'BASE SQL PLANTIO'!B:B,VOOS!A1196)=0/1/1900,"",_xlfn.MINIFS('BASE SQL PLANTIO'!E:E,'BASE SQL PLANTIO'!B:B,VOOS!A1196))</f>
        <v/>
      </c>
      <c r="J1196" s="26"/>
      <c r="K1196" s="34" t="str">
        <f t="shared" si="55"/>
        <v/>
      </c>
      <c r="L1196" s="35" t="str">
        <f t="shared" si="56"/>
        <v/>
      </c>
      <c r="M1196" s="14"/>
      <c r="N1196" s="16"/>
    </row>
    <row r="1197" spans="1:14" ht="15.6" x14ac:dyDescent="0.3">
      <c r="A1197" s="13" t="str">
        <f t="shared" si="54"/>
        <v>-</v>
      </c>
      <c r="B1197" s="25"/>
      <c r="C1197" s="25"/>
      <c r="D1197" s="25"/>
      <c r="E1197" s="25"/>
      <c r="F1197" s="31"/>
      <c r="G1197" s="34">
        <f>SUMIFS('BASE EXEC. Q.L'!N:N,'BASE EXEC. Q.L'!B:B,VOOS!A1197)</f>
        <v>0</v>
      </c>
      <c r="H1197" s="15" t="str">
        <f>IFERROR(_xlfn.XLOOKUP(A1197,'BASE SQL PLANTIO'!B:B,'BASE SQL PLANTIO'!T:T,"verificar",0),"")</f>
        <v/>
      </c>
      <c r="I1197" s="77" t="str">
        <f>IF(_xlfn.MINIFS('BASE SQL PLANTIO'!E:E,'BASE SQL PLANTIO'!B:B,VOOS!A1197)=0/1/1900,"",_xlfn.MINIFS('BASE SQL PLANTIO'!E:E,'BASE SQL PLANTIO'!B:B,VOOS!A1197))</f>
        <v/>
      </c>
      <c r="J1197" s="26"/>
      <c r="K1197" s="34" t="str">
        <f t="shared" si="55"/>
        <v/>
      </c>
      <c r="L1197" s="35" t="str">
        <f t="shared" si="56"/>
        <v/>
      </c>
      <c r="M1197" s="14"/>
      <c r="N1197" s="16"/>
    </row>
    <row r="1198" spans="1:14" ht="15.6" x14ac:dyDescent="0.3">
      <c r="A1198" s="13" t="str">
        <f t="shared" si="54"/>
        <v>-</v>
      </c>
      <c r="B1198" s="25"/>
      <c r="C1198" s="25"/>
      <c r="D1198" s="25"/>
      <c r="E1198" s="25"/>
      <c r="F1198" s="31"/>
      <c r="G1198" s="34">
        <f>SUMIFS('BASE EXEC. Q.L'!N:N,'BASE EXEC. Q.L'!B:B,VOOS!A1198)</f>
        <v>0</v>
      </c>
      <c r="H1198" s="15" t="str">
        <f>IFERROR(_xlfn.XLOOKUP(A1198,'BASE SQL PLANTIO'!B:B,'BASE SQL PLANTIO'!T:T,"verificar",0),"")</f>
        <v/>
      </c>
      <c r="I1198" s="77" t="str">
        <f>IF(_xlfn.MINIFS('BASE SQL PLANTIO'!E:E,'BASE SQL PLANTIO'!B:B,VOOS!A1198)=0/1/1900,"",_xlfn.MINIFS('BASE SQL PLANTIO'!E:E,'BASE SQL PLANTIO'!B:B,VOOS!A1198))</f>
        <v/>
      </c>
      <c r="J1198" s="26"/>
      <c r="K1198" s="34" t="str">
        <f t="shared" si="55"/>
        <v/>
      </c>
      <c r="L1198" s="35" t="str">
        <f t="shared" si="56"/>
        <v/>
      </c>
      <c r="M1198" s="14"/>
      <c r="N1198" s="15"/>
    </row>
    <row r="1199" spans="1:14" ht="15.6" x14ac:dyDescent="0.3">
      <c r="A1199" s="13" t="str">
        <f t="shared" si="54"/>
        <v>-</v>
      </c>
      <c r="B1199" s="27"/>
      <c r="C1199" s="26"/>
      <c r="D1199" s="26"/>
      <c r="E1199" s="26"/>
      <c r="F1199" s="26"/>
      <c r="G1199" s="34">
        <f>SUMIFS('BASE EXEC. Q.L'!N:N,'BASE EXEC. Q.L'!B:B,VOOS!A1199)</f>
        <v>0</v>
      </c>
      <c r="H1199" s="15" t="str">
        <f>IFERROR(_xlfn.XLOOKUP(A1199,'BASE SQL PLANTIO'!B:B,'BASE SQL PLANTIO'!T:T,"verificar",0),"")</f>
        <v/>
      </c>
      <c r="I1199" s="77" t="str">
        <f>IF(_xlfn.MINIFS('BASE SQL PLANTIO'!E:E,'BASE SQL PLANTIO'!B:B,VOOS!A1199)=0/1/1900,"",_xlfn.MINIFS('BASE SQL PLANTIO'!E:E,'BASE SQL PLANTIO'!B:B,VOOS!A1199))</f>
        <v/>
      </c>
      <c r="J1199" s="26"/>
      <c r="K1199" s="34" t="str">
        <f t="shared" si="55"/>
        <v/>
      </c>
      <c r="L1199" s="35" t="str">
        <f t="shared" si="56"/>
        <v/>
      </c>
      <c r="M1199" s="14"/>
      <c r="N1199" s="16"/>
    </row>
    <row r="1200" spans="1:14" ht="15.6" x14ac:dyDescent="0.3">
      <c r="A1200" s="13" t="str">
        <f t="shared" si="54"/>
        <v>-</v>
      </c>
      <c r="B1200" s="27"/>
      <c r="C1200" s="26"/>
      <c r="D1200" s="26"/>
      <c r="E1200" s="26"/>
      <c r="F1200" s="26"/>
      <c r="G1200" s="34">
        <f>SUMIFS('BASE EXEC. Q.L'!N:N,'BASE EXEC. Q.L'!B:B,VOOS!A1200)</f>
        <v>0</v>
      </c>
      <c r="H1200" s="15" t="str">
        <f>IFERROR(_xlfn.XLOOKUP(A1200,'BASE SQL PLANTIO'!B:B,'BASE SQL PLANTIO'!T:T,"verificar",0),"")</f>
        <v/>
      </c>
      <c r="I1200" s="77" t="str">
        <f>IF(_xlfn.MINIFS('BASE SQL PLANTIO'!E:E,'BASE SQL PLANTIO'!B:B,VOOS!A1200)=0/1/1900,"",_xlfn.MINIFS('BASE SQL PLANTIO'!E:E,'BASE SQL PLANTIO'!B:B,VOOS!A1200))</f>
        <v/>
      </c>
      <c r="J1200" s="26"/>
      <c r="K1200" s="34" t="str">
        <f t="shared" si="55"/>
        <v/>
      </c>
      <c r="L1200" s="35" t="str">
        <f t="shared" si="56"/>
        <v/>
      </c>
      <c r="M1200" s="14"/>
      <c r="N1200" s="16"/>
    </row>
    <row r="1201" spans="1:14" ht="15.6" x14ac:dyDescent="0.3">
      <c r="A1201" s="13" t="str">
        <f t="shared" si="54"/>
        <v>-</v>
      </c>
      <c r="B1201" s="25"/>
      <c r="C1201" s="25"/>
      <c r="D1201" s="25"/>
      <c r="E1201" s="25"/>
      <c r="F1201" s="31"/>
      <c r="G1201" s="34">
        <f>SUMIFS('BASE EXEC. Q.L'!N:N,'BASE EXEC. Q.L'!B:B,VOOS!A1201)</f>
        <v>0</v>
      </c>
      <c r="H1201" s="15" t="str">
        <f>IFERROR(_xlfn.XLOOKUP(A1201,'BASE SQL PLANTIO'!B:B,'BASE SQL PLANTIO'!T:T,"verificar",0),"")</f>
        <v/>
      </c>
      <c r="I1201" s="77" t="str">
        <f>IF(_xlfn.MINIFS('BASE SQL PLANTIO'!E:E,'BASE SQL PLANTIO'!B:B,VOOS!A1201)=0/1/1900,"",_xlfn.MINIFS('BASE SQL PLANTIO'!E:E,'BASE SQL PLANTIO'!B:B,VOOS!A1201))</f>
        <v/>
      </c>
      <c r="J1201" s="26"/>
      <c r="K1201" s="34" t="str">
        <f t="shared" si="55"/>
        <v/>
      </c>
      <c r="L1201" s="35" t="str">
        <f t="shared" si="56"/>
        <v/>
      </c>
      <c r="M1201" s="14"/>
      <c r="N1201" s="16"/>
    </row>
    <row r="1202" spans="1:14" ht="15.6" x14ac:dyDescent="0.3">
      <c r="A1202" s="13" t="str">
        <f t="shared" si="54"/>
        <v>-</v>
      </c>
      <c r="B1202" s="27"/>
      <c r="C1202" s="26"/>
      <c r="D1202" s="26"/>
      <c r="E1202" s="26"/>
      <c r="F1202" s="26"/>
      <c r="G1202" s="34">
        <f>SUMIFS('BASE EXEC. Q.L'!N:N,'BASE EXEC. Q.L'!B:B,VOOS!A1202)</f>
        <v>0</v>
      </c>
      <c r="H1202" s="15" t="str">
        <f>IFERROR(_xlfn.XLOOKUP(A1202,'BASE SQL PLANTIO'!B:B,'BASE SQL PLANTIO'!T:T,"verificar",0),"")</f>
        <v/>
      </c>
      <c r="I1202" s="77" t="str">
        <f>IF(_xlfn.MINIFS('BASE SQL PLANTIO'!E:E,'BASE SQL PLANTIO'!B:B,VOOS!A1202)=0/1/1900,"",_xlfn.MINIFS('BASE SQL PLANTIO'!E:E,'BASE SQL PLANTIO'!B:B,VOOS!A1202))</f>
        <v/>
      </c>
      <c r="J1202" s="26"/>
      <c r="K1202" s="34" t="str">
        <f t="shared" si="55"/>
        <v/>
      </c>
      <c r="L1202" s="35" t="str">
        <f t="shared" si="56"/>
        <v/>
      </c>
      <c r="M1202" s="14"/>
      <c r="N1202" s="16"/>
    </row>
    <row r="1203" spans="1:14" ht="15.6" x14ac:dyDescent="0.3">
      <c r="A1203" s="13" t="str">
        <f t="shared" si="54"/>
        <v>-</v>
      </c>
      <c r="B1203" s="27"/>
      <c r="C1203" s="26"/>
      <c r="D1203" s="26"/>
      <c r="E1203" s="26"/>
      <c r="F1203" s="26"/>
      <c r="G1203" s="34">
        <f>SUMIFS('BASE EXEC. Q.L'!N:N,'BASE EXEC. Q.L'!B:B,VOOS!A1203)</f>
        <v>0</v>
      </c>
      <c r="H1203" s="15" t="str">
        <f>IFERROR(_xlfn.XLOOKUP(A1203,'BASE SQL PLANTIO'!B:B,'BASE SQL PLANTIO'!T:T,"verificar",0),"")</f>
        <v/>
      </c>
      <c r="I1203" s="77" t="str">
        <f>IF(_xlfn.MINIFS('BASE SQL PLANTIO'!E:E,'BASE SQL PLANTIO'!B:B,VOOS!A1203)=0/1/1900,"",_xlfn.MINIFS('BASE SQL PLANTIO'!E:E,'BASE SQL PLANTIO'!B:B,VOOS!A1203))</f>
        <v/>
      </c>
      <c r="J1203" s="26"/>
      <c r="K1203" s="34" t="str">
        <f t="shared" si="55"/>
        <v/>
      </c>
      <c r="L1203" s="35" t="str">
        <f t="shared" si="56"/>
        <v/>
      </c>
      <c r="M1203" s="14"/>
      <c r="N1203" s="16"/>
    </row>
    <row r="1204" spans="1:14" ht="15.6" x14ac:dyDescent="0.3">
      <c r="A1204" s="13" t="str">
        <f t="shared" si="54"/>
        <v>-</v>
      </c>
      <c r="B1204" s="27"/>
      <c r="C1204" s="26"/>
      <c r="D1204" s="26"/>
      <c r="E1204" s="26"/>
      <c r="F1204" s="26"/>
      <c r="G1204" s="34">
        <f>SUMIFS('BASE EXEC. Q.L'!N:N,'BASE EXEC. Q.L'!B:B,VOOS!A1204)</f>
        <v>0</v>
      </c>
      <c r="H1204" s="15" t="str">
        <f>IFERROR(_xlfn.XLOOKUP(A1204,'BASE SQL PLANTIO'!B:B,'BASE SQL PLANTIO'!T:T,"verificar",0),"")</f>
        <v/>
      </c>
      <c r="I1204" s="77" t="str">
        <f>IF(_xlfn.MINIFS('BASE SQL PLANTIO'!E:E,'BASE SQL PLANTIO'!B:B,VOOS!A1204)=0/1/1900,"",_xlfn.MINIFS('BASE SQL PLANTIO'!E:E,'BASE SQL PLANTIO'!B:B,VOOS!A1204))</f>
        <v/>
      </c>
      <c r="J1204" s="26"/>
      <c r="K1204" s="34" t="str">
        <f t="shared" si="55"/>
        <v/>
      </c>
      <c r="L1204" s="35" t="str">
        <f t="shared" si="56"/>
        <v/>
      </c>
      <c r="M1204" s="14"/>
      <c r="N1204" s="16"/>
    </row>
    <row r="1205" spans="1:14" ht="15.6" x14ac:dyDescent="0.3">
      <c r="A1205" s="13" t="str">
        <f t="shared" si="54"/>
        <v>-</v>
      </c>
      <c r="B1205" s="25"/>
      <c r="C1205" s="25"/>
      <c r="D1205" s="25"/>
      <c r="E1205" s="25"/>
      <c r="F1205" s="31"/>
      <c r="G1205" s="34">
        <f>SUMIFS('BASE EXEC. Q.L'!N:N,'BASE EXEC. Q.L'!B:B,VOOS!A1205)</f>
        <v>0</v>
      </c>
      <c r="H1205" s="15" t="str">
        <f>IFERROR(_xlfn.XLOOKUP(A1205,'BASE SQL PLANTIO'!B:B,'BASE SQL PLANTIO'!T:T,"verificar",0),"")</f>
        <v/>
      </c>
      <c r="I1205" s="77" t="str">
        <f>IF(_xlfn.MINIFS('BASE SQL PLANTIO'!E:E,'BASE SQL PLANTIO'!B:B,VOOS!A1205)=0/1/1900,"",_xlfn.MINIFS('BASE SQL PLANTIO'!E:E,'BASE SQL PLANTIO'!B:B,VOOS!A1205))</f>
        <v/>
      </c>
      <c r="J1205" s="26"/>
      <c r="K1205" s="34" t="str">
        <f t="shared" si="55"/>
        <v/>
      </c>
      <c r="L1205" s="35" t="str">
        <f t="shared" si="56"/>
        <v/>
      </c>
      <c r="M1205" s="14"/>
      <c r="N1205" s="16"/>
    </row>
    <row r="1206" spans="1:14" ht="15.6" x14ac:dyDescent="0.3">
      <c r="A1206" s="13" t="str">
        <f t="shared" si="54"/>
        <v>-</v>
      </c>
      <c r="B1206" s="25"/>
      <c r="C1206" s="25"/>
      <c r="D1206" s="25"/>
      <c r="E1206" s="25"/>
      <c r="F1206" s="31"/>
      <c r="G1206" s="34">
        <f>SUMIFS('BASE EXEC. Q.L'!N:N,'BASE EXEC. Q.L'!B:B,VOOS!A1206)</f>
        <v>0</v>
      </c>
      <c r="H1206" s="15" t="str">
        <f>IFERROR(_xlfn.XLOOKUP(A1206,'BASE SQL PLANTIO'!B:B,'BASE SQL PLANTIO'!T:T,"verificar",0),"")</f>
        <v/>
      </c>
      <c r="I1206" s="77" t="str">
        <f>IF(_xlfn.MINIFS('BASE SQL PLANTIO'!E:E,'BASE SQL PLANTIO'!B:B,VOOS!A1206)=0/1/1900,"",_xlfn.MINIFS('BASE SQL PLANTIO'!E:E,'BASE SQL PLANTIO'!B:B,VOOS!A1206))</f>
        <v/>
      </c>
      <c r="J1206" s="26"/>
      <c r="K1206" s="34" t="str">
        <f t="shared" si="55"/>
        <v/>
      </c>
      <c r="L1206" s="35" t="str">
        <f t="shared" si="56"/>
        <v/>
      </c>
      <c r="M1206" s="14"/>
      <c r="N1206" s="15"/>
    </row>
    <row r="1207" spans="1:14" ht="15.6" x14ac:dyDescent="0.3">
      <c r="A1207" s="13" t="str">
        <f t="shared" si="54"/>
        <v>-</v>
      </c>
      <c r="B1207" s="27"/>
      <c r="C1207" s="26"/>
      <c r="D1207" s="26"/>
      <c r="E1207" s="26"/>
      <c r="F1207" s="26"/>
      <c r="G1207" s="34">
        <f>SUMIFS('BASE EXEC. Q.L'!N:N,'BASE EXEC. Q.L'!B:B,VOOS!A1207)</f>
        <v>0</v>
      </c>
      <c r="H1207" s="15" t="str">
        <f>IFERROR(_xlfn.XLOOKUP(A1207,'BASE SQL PLANTIO'!B:B,'BASE SQL PLANTIO'!T:T,"verificar",0),"")</f>
        <v/>
      </c>
      <c r="I1207" s="77" t="str">
        <f>IF(_xlfn.MINIFS('BASE SQL PLANTIO'!E:E,'BASE SQL PLANTIO'!B:B,VOOS!A1207)=0/1/1900,"",_xlfn.MINIFS('BASE SQL PLANTIO'!E:E,'BASE SQL PLANTIO'!B:B,VOOS!A1207))</f>
        <v/>
      </c>
      <c r="J1207" s="26"/>
      <c r="K1207" s="34" t="str">
        <f t="shared" si="55"/>
        <v/>
      </c>
      <c r="L1207" s="35" t="str">
        <f t="shared" si="56"/>
        <v/>
      </c>
      <c r="M1207" s="14"/>
      <c r="N1207" s="16"/>
    </row>
    <row r="1208" spans="1:14" ht="15.6" x14ac:dyDescent="0.3">
      <c r="A1208" s="13" t="str">
        <f t="shared" si="54"/>
        <v>-</v>
      </c>
      <c r="B1208" s="27"/>
      <c r="C1208" s="26"/>
      <c r="D1208" s="26"/>
      <c r="E1208" s="26"/>
      <c r="F1208" s="26"/>
      <c r="G1208" s="34">
        <f>SUMIFS('BASE EXEC. Q.L'!N:N,'BASE EXEC. Q.L'!B:B,VOOS!A1208)</f>
        <v>0</v>
      </c>
      <c r="H1208" s="15" t="str">
        <f>IFERROR(_xlfn.XLOOKUP(A1208,'BASE SQL PLANTIO'!B:B,'BASE SQL PLANTIO'!T:T,"verificar",0),"")</f>
        <v/>
      </c>
      <c r="I1208" s="77" t="str">
        <f>IF(_xlfn.MINIFS('BASE SQL PLANTIO'!E:E,'BASE SQL PLANTIO'!B:B,VOOS!A1208)=0/1/1900,"",_xlfn.MINIFS('BASE SQL PLANTIO'!E:E,'BASE SQL PLANTIO'!B:B,VOOS!A1208))</f>
        <v/>
      </c>
      <c r="J1208" s="26"/>
      <c r="K1208" s="34" t="str">
        <f t="shared" si="55"/>
        <v/>
      </c>
      <c r="L1208" s="35" t="str">
        <f t="shared" si="56"/>
        <v/>
      </c>
      <c r="M1208" s="14"/>
      <c r="N1208" s="16"/>
    </row>
    <row r="1209" spans="1:14" ht="15.6" x14ac:dyDescent="0.3">
      <c r="A1209" s="13" t="str">
        <f t="shared" si="54"/>
        <v>-</v>
      </c>
      <c r="B1209" s="25"/>
      <c r="C1209" s="25"/>
      <c r="D1209" s="25"/>
      <c r="E1209" s="25"/>
      <c r="F1209" s="31"/>
      <c r="G1209" s="34">
        <f>SUMIFS('BASE EXEC. Q.L'!N:N,'BASE EXEC. Q.L'!B:B,VOOS!A1209)</f>
        <v>0</v>
      </c>
      <c r="H1209" s="15" t="str">
        <f>IFERROR(_xlfn.XLOOKUP(A1209,'BASE SQL PLANTIO'!B:B,'BASE SQL PLANTIO'!T:T,"verificar",0),"")</f>
        <v/>
      </c>
      <c r="I1209" s="77" t="str">
        <f>IF(_xlfn.MINIFS('BASE SQL PLANTIO'!E:E,'BASE SQL PLANTIO'!B:B,VOOS!A1209)=0/1/1900,"",_xlfn.MINIFS('BASE SQL PLANTIO'!E:E,'BASE SQL PLANTIO'!B:B,VOOS!A1209))</f>
        <v/>
      </c>
      <c r="J1209" s="26"/>
      <c r="K1209" s="34" t="str">
        <f t="shared" si="55"/>
        <v/>
      </c>
      <c r="L1209" s="35" t="str">
        <f t="shared" si="56"/>
        <v/>
      </c>
      <c r="M1209" s="14"/>
      <c r="N1209" s="16"/>
    </row>
    <row r="1210" spans="1:14" ht="15.6" x14ac:dyDescent="0.3">
      <c r="A1210" s="13" t="str">
        <f t="shared" si="54"/>
        <v>-</v>
      </c>
      <c r="B1210" s="25"/>
      <c r="C1210" s="25"/>
      <c r="D1210" s="25"/>
      <c r="E1210" s="25"/>
      <c r="F1210" s="31"/>
      <c r="G1210" s="34">
        <f>SUMIFS('BASE EXEC. Q.L'!N:N,'BASE EXEC. Q.L'!B:B,VOOS!A1210)</f>
        <v>0</v>
      </c>
      <c r="H1210" s="15" t="str">
        <f>IFERROR(_xlfn.XLOOKUP(A1210,'BASE SQL PLANTIO'!B:B,'BASE SQL PLANTIO'!T:T,"verificar",0),"")</f>
        <v/>
      </c>
      <c r="I1210" s="77" t="str">
        <f>IF(_xlfn.MINIFS('BASE SQL PLANTIO'!E:E,'BASE SQL PLANTIO'!B:B,VOOS!A1210)=0/1/1900,"",_xlfn.MINIFS('BASE SQL PLANTIO'!E:E,'BASE SQL PLANTIO'!B:B,VOOS!A1210))</f>
        <v/>
      </c>
      <c r="J1210" s="26"/>
      <c r="K1210" s="34" t="str">
        <f t="shared" si="55"/>
        <v/>
      </c>
      <c r="L1210" s="35" t="str">
        <f t="shared" si="56"/>
        <v/>
      </c>
      <c r="M1210" s="14"/>
      <c r="N1210" s="16"/>
    </row>
    <row r="1211" spans="1:14" ht="15.6" x14ac:dyDescent="0.3">
      <c r="A1211" s="13" t="str">
        <f t="shared" si="54"/>
        <v>-</v>
      </c>
      <c r="B1211" s="25"/>
      <c r="C1211" s="25"/>
      <c r="D1211" s="25"/>
      <c r="E1211" s="25"/>
      <c r="F1211" s="31"/>
      <c r="G1211" s="34">
        <f>SUMIFS('BASE EXEC. Q.L'!N:N,'BASE EXEC. Q.L'!B:B,VOOS!A1211)</f>
        <v>0</v>
      </c>
      <c r="H1211" s="15" t="str">
        <f>IFERROR(_xlfn.XLOOKUP(A1211,'BASE SQL PLANTIO'!B:B,'BASE SQL PLANTIO'!T:T,"verificar",0),"")</f>
        <v/>
      </c>
      <c r="I1211" s="77" t="str">
        <f>IF(_xlfn.MINIFS('BASE SQL PLANTIO'!E:E,'BASE SQL PLANTIO'!B:B,VOOS!A1211)=0/1/1900,"",_xlfn.MINIFS('BASE SQL PLANTIO'!E:E,'BASE SQL PLANTIO'!B:B,VOOS!A1211))</f>
        <v/>
      </c>
      <c r="J1211" s="26"/>
      <c r="K1211" s="34" t="str">
        <f t="shared" si="55"/>
        <v/>
      </c>
      <c r="L1211" s="35" t="str">
        <f t="shared" si="56"/>
        <v/>
      </c>
      <c r="M1211" s="14"/>
      <c r="N1211" s="15"/>
    </row>
    <row r="1212" spans="1:14" ht="15.6" x14ac:dyDescent="0.3">
      <c r="A1212" s="13" t="str">
        <f t="shared" si="54"/>
        <v>-</v>
      </c>
      <c r="B1212" s="27"/>
      <c r="C1212" s="26"/>
      <c r="D1212" s="26"/>
      <c r="E1212" s="26"/>
      <c r="F1212" s="26"/>
      <c r="G1212" s="34">
        <f>SUMIFS('BASE EXEC. Q.L'!N:N,'BASE EXEC. Q.L'!B:B,VOOS!A1212)</f>
        <v>0</v>
      </c>
      <c r="H1212" s="15" t="str">
        <f>IFERROR(_xlfn.XLOOKUP(A1212,'BASE SQL PLANTIO'!B:B,'BASE SQL PLANTIO'!T:T,"verificar",0),"")</f>
        <v/>
      </c>
      <c r="I1212" s="77" t="str">
        <f>IF(_xlfn.MINIFS('BASE SQL PLANTIO'!E:E,'BASE SQL PLANTIO'!B:B,VOOS!A1212)=0/1/1900,"",_xlfn.MINIFS('BASE SQL PLANTIO'!E:E,'BASE SQL PLANTIO'!B:B,VOOS!A1212))</f>
        <v/>
      </c>
      <c r="J1212" s="26"/>
      <c r="K1212" s="34" t="str">
        <f t="shared" si="55"/>
        <v/>
      </c>
      <c r="L1212" s="35" t="str">
        <f t="shared" si="56"/>
        <v/>
      </c>
      <c r="M1212" s="14"/>
      <c r="N1212" s="16"/>
    </row>
    <row r="1213" spans="1:14" ht="15.6" x14ac:dyDescent="0.3">
      <c r="A1213" s="13" t="str">
        <f t="shared" si="54"/>
        <v>-</v>
      </c>
      <c r="B1213" s="27"/>
      <c r="C1213" s="26"/>
      <c r="D1213" s="26"/>
      <c r="E1213" s="26"/>
      <c r="F1213" s="26"/>
      <c r="G1213" s="34">
        <f>SUMIFS('BASE EXEC. Q.L'!N:N,'BASE EXEC. Q.L'!B:B,VOOS!A1213)</f>
        <v>0</v>
      </c>
      <c r="H1213" s="15" t="str">
        <f>IFERROR(_xlfn.XLOOKUP(A1213,'BASE SQL PLANTIO'!B:B,'BASE SQL PLANTIO'!T:T,"verificar",0),"")</f>
        <v/>
      </c>
      <c r="I1213" s="77" t="str">
        <f>IF(_xlfn.MINIFS('BASE SQL PLANTIO'!E:E,'BASE SQL PLANTIO'!B:B,VOOS!A1213)=0/1/1900,"",_xlfn.MINIFS('BASE SQL PLANTIO'!E:E,'BASE SQL PLANTIO'!B:B,VOOS!A1213))</f>
        <v/>
      </c>
      <c r="J1213" s="26"/>
      <c r="K1213" s="34" t="str">
        <f t="shared" si="55"/>
        <v/>
      </c>
      <c r="L1213" s="35" t="str">
        <f t="shared" si="56"/>
        <v/>
      </c>
      <c r="M1213" s="14"/>
      <c r="N1213" s="16"/>
    </row>
    <row r="1214" spans="1:14" ht="15.6" x14ac:dyDescent="0.3">
      <c r="A1214" s="13" t="str">
        <f t="shared" si="54"/>
        <v>-</v>
      </c>
      <c r="B1214" s="25"/>
      <c r="C1214" s="25"/>
      <c r="D1214" s="25"/>
      <c r="E1214" s="25"/>
      <c r="F1214" s="31"/>
      <c r="G1214" s="34">
        <f>SUMIFS('BASE EXEC. Q.L'!N:N,'BASE EXEC. Q.L'!B:B,VOOS!A1214)</f>
        <v>0</v>
      </c>
      <c r="H1214" s="15" t="str">
        <f>IFERROR(_xlfn.XLOOKUP(A1214,'BASE SQL PLANTIO'!B:B,'BASE SQL PLANTIO'!T:T,"verificar",0),"")</f>
        <v/>
      </c>
      <c r="I1214" s="77" t="str">
        <f>IF(_xlfn.MINIFS('BASE SQL PLANTIO'!E:E,'BASE SQL PLANTIO'!B:B,VOOS!A1214)=0/1/1900,"",_xlfn.MINIFS('BASE SQL PLANTIO'!E:E,'BASE SQL PLANTIO'!B:B,VOOS!A1214))</f>
        <v/>
      </c>
      <c r="J1214" s="26"/>
      <c r="K1214" s="34" t="str">
        <f t="shared" si="55"/>
        <v/>
      </c>
      <c r="L1214" s="35" t="str">
        <f t="shared" si="56"/>
        <v/>
      </c>
      <c r="M1214" s="14"/>
      <c r="N1214" s="16"/>
    </row>
    <row r="1215" spans="1:14" ht="15.6" x14ac:dyDescent="0.3">
      <c r="A1215" s="13" t="str">
        <f t="shared" si="54"/>
        <v>-</v>
      </c>
      <c r="B1215" s="25"/>
      <c r="C1215" s="25"/>
      <c r="D1215" s="25"/>
      <c r="E1215" s="25"/>
      <c r="F1215" s="31"/>
      <c r="G1215" s="34">
        <f>SUMIFS('BASE EXEC. Q.L'!N:N,'BASE EXEC. Q.L'!B:B,VOOS!A1215)</f>
        <v>0</v>
      </c>
      <c r="H1215" s="15" t="str">
        <f>IFERROR(_xlfn.XLOOKUP(A1215,'BASE SQL PLANTIO'!B:B,'BASE SQL PLANTIO'!T:T,"verificar",0),"")</f>
        <v/>
      </c>
      <c r="I1215" s="77" t="str">
        <f>IF(_xlfn.MINIFS('BASE SQL PLANTIO'!E:E,'BASE SQL PLANTIO'!B:B,VOOS!A1215)=0/1/1900,"",_xlfn.MINIFS('BASE SQL PLANTIO'!E:E,'BASE SQL PLANTIO'!B:B,VOOS!A1215))</f>
        <v/>
      </c>
      <c r="J1215" s="26"/>
      <c r="K1215" s="34" t="str">
        <f t="shared" si="55"/>
        <v/>
      </c>
      <c r="L1215" s="35" t="str">
        <f t="shared" si="56"/>
        <v/>
      </c>
      <c r="M1215" s="14"/>
      <c r="N1215" s="16"/>
    </row>
    <row r="1216" spans="1:14" ht="15.6" x14ac:dyDescent="0.3">
      <c r="A1216" s="13" t="str">
        <f t="shared" si="54"/>
        <v>-</v>
      </c>
      <c r="B1216" s="25"/>
      <c r="C1216" s="25"/>
      <c r="D1216" s="25"/>
      <c r="E1216" s="25"/>
      <c r="F1216" s="31"/>
      <c r="G1216" s="34">
        <f>SUMIFS('BASE EXEC. Q.L'!N:N,'BASE EXEC. Q.L'!B:B,VOOS!A1216)</f>
        <v>0</v>
      </c>
      <c r="H1216" s="15" t="str">
        <f>IFERROR(_xlfn.XLOOKUP(A1216,'BASE SQL PLANTIO'!B:B,'BASE SQL PLANTIO'!T:T,"verificar",0),"")</f>
        <v/>
      </c>
      <c r="I1216" s="77" t="str">
        <f>IF(_xlfn.MINIFS('BASE SQL PLANTIO'!E:E,'BASE SQL PLANTIO'!B:B,VOOS!A1216)=0/1/1900,"",_xlfn.MINIFS('BASE SQL PLANTIO'!E:E,'BASE SQL PLANTIO'!B:B,VOOS!A1216))</f>
        <v/>
      </c>
      <c r="J1216" s="26"/>
      <c r="K1216" s="34" t="str">
        <f t="shared" si="55"/>
        <v/>
      </c>
      <c r="L1216" s="35" t="str">
        <f t="shared" si="56"/>
        <v/>
      </c>
      <c r="M1216" s="14"/>
      <c r="N1216" s="15"/>
    </row>
    <row r="1217" spans="1:14" ht="15.6" x14ac:dyDescent="0.3">
      <c r="A1217" s="13" t="str">
        <f t="shared" si="54"/>
        <v>-</v>
      </c>
      <c r="B1217" s="27"/>
      <c r="C1217" s="26"/>
      <c r="D1217" s="26"/>
      <c r="E1217" s="26"/>
      <c r="F1217" s="26"/>
      <c r="G1217" s="34">
        <f>SUMIFS('BASE EXEC. Q.L'!N:N,'BASE EXEC. Q.L'!B:B,VOOS!A1217)</f>
        <v>0</v>
      </c>
      <c r="H1217" s="15" t="str">
        <f>IFERROR(_xlfn.XLOOKUP(A1217,'BASE SQL PLANTIO'!B:B,'BASE SQL PLANTIO'!T:T,"verificar",0),"")</f>
        <v/>
      </c>
      <c r="I1217" s="77" t="str">
        <f>IF(_xlfn.MINIFS('BASE SQL PLANTIO'!E:E,'BASE SQL PLANTIO'!B:B,VOOS!A1217)=0/1/1900,"",_xlfn.MINIFS('BASE SQL PLANTIO'!E:E,'BASE SQL PLANTIO'!B:B,VOOS!A1217))</f>
        <v/>
      </c>
      <c r="J1217" s="26"/>
      <c r="K1217" s="34" t="str">
        <f t="shared" si="55"/>
        <v/>
      </c>
      <c r="L1217" s="35" t="str">
        <f t="shared" si="56"/>
        <v/>
      </c>
      <c r="M1217" s="14"/>
      <c r="N1217" s="16"/>
    </row>
    <row r="1218" spans="1:14" ht="15.6" x14ac:dyDescent="0.3">
      <c r="A1218" s="13" t="str">
        <f t="shared" si="54"/>
        <v>-</v>
      </c>
      <c r="B1218" s="27"/>
      <c r="C1218" s="26"/>
      <c r="D1218" s="26"/>
      <c r="E1218" s="26"/>
      <c r="F1218" s="26"/>
      <c r="G1218" s="34">
        <f>SUMIFS('BASE EXEC. Q.L'!N:N,'BASE EXEC. Q.L'!B:B,VOOS!A1218)</f>
        <v>0</v>
      </c>
      <c r="H1218" s="15" t="str">
        <f>IFERROR(_xlfn.XLOOKUP(A1218,'BASE SQL PLANTIO'!B:B,'BASE SQL PLANTIO'!T:T,"verificar",0),"")</f>
        <v/>
      </c>
      <c r="I1218" s="77" t="str">
        <f>IF(_xlfn.MINIFS('BASE SQL PLANTIO'!E:E,'BASE SQL PLANTIO'!B:B,VOOS!A1218)=0/1/1900,"",_xlfn.MINIFS('BASE SQL PLANTIO'!E:E,'BASE SQL PLANTIO'!B:B,VOOS!A1218))</f>
        <v/>
      </c>
      <c r="J1218" s="26"/>
      <c r="K1218" s="34" t="str">
        <f t="shared" si="55"/>
        <v/>
      </c>
      <c r="L1218" s="35" t="str">
        <f t="shared" si="56"/>
        <v/>
      </c>
      <c r="M1218" s="14"/>
      <c r="N1218" s="16"/>
    </row>
    <row r="1219" spans="1:14" ht="15.6" x14ac:dyDescent="0.3">
      <c r="A1219" s="13" t="str">
        <f t="shared" si="54"/>
        <v>-</v>
      </c>
      <c r="B1219" s="25"/>
      <c r="C1219" s="25"/>
      <c r="D1219" s="25"/>
      <c r="E1219" s="25"/>
      <c r="F1219" s="31"/>
      <c r="G1219" s="34">
        <f>SUMIFS('BASE EXEC. Q.L'!N:N,'BASE EXEC. Q.L'!B:B,VOOS!A1219)</f>
        <v>0</v>
      </c>
      <c r="H1219" s="15" t="str">
        <f>IFERROR(_xlfn.XLOOKUP(A1219,'BASE SQL PLANTIO'!B:B,'BASE SQL PLANTIO'!T:T,"verificar",0),"")</f>
        <v/>
      </c>
      <c r="I1219" s="77" t="str">
        <f>IF(_xlfn.MINIFS('BASE SQL PLANTIO'!E:E,'BASE SQL PLANTIO'!B:B,VOOS!A1219)=0/1/1900,"",_xlfn.MINIFS('BASE SQL PLANTIO'!E:E,'BASE SQL PLANTIO'!B:B,VOOS!A1219))</f>
        <v/>
      </c>
      <c r="J1219" s="26"/>
      <c r="K1219" s="34" t="str">
        <f t="shared" si="55"/>
        <v/>
      </c>
      <c r="L1219" s="35" t="str">
        <f t="shared" si="56"/>
        <v/>
      </c>
      <c r="M1219" s="14"/>
      <c r="N1219" s="16"/>
    </row>
    <row r="1220" spans="1:14" ht="15.6" x14ac:dyDescent="0.3">
      <c r="A1220" s="13" t="str">
        <f t="shared" si="54"/>
        <v>-</v>
      </c>
      <c r="B1220" s="25"/>
      <c r="C1220" s="25"/>
      <c r="D1220" s="25"/>
      <c r="E1220" s="25"/>
      <c r="F1220" s="31"/>
      <c r="G1220" s="34">
        <f>SUMIFS('BASE EXEC. Q.L'!N:N,'BASE EXEC. Q.L'!B:B,VOOS!A1220)</f>
        <v>0</v>
      </c>
      <c r="H1220" s="15" t="str">
        <f>IFERROR(_xlfn.XLOOKUP(A1220,'BASE SQL PLANTIO'!B:B,'BASE SQL PLANTIO'!T:T,"verificar",0),"")</f>
        <v/>
      </c>
      <c r="I1220" s="77" t="str">
        <f>IF(_xlfn.MINIFS('BASE SQL PLANTIO'!E:E,'BASE SQL PLANTIO'!B:B,VOOS!A1220)=0/1/1900,"",_xlfn.MINIFS('BASE SQL PLANTIO'!E:E,'BASE SQL PLANTIO'!B:B,VOOS!A1220))</f>
        <v/>
      </c>
      <c r="J1220" s="26"/>
      <c r="K1220" s="34" t="str">
        <f t="shared" si="55"/>
        <v/>
      </c>
      <c r="L1220" s="35" t="str">
        <f t="shared" si="56"/>
        <v/>
      </c>
      <c r="M1220" s="14"/>
      <c r="N1220" s="16"/>
    </row>
    <row r="1221" spans="1:14" ht="15.6" x14ac:dyDescent="0.3">
      <c r="A1221" s="13" t="str">
        <f t="shared" ref="A1221:A1284" si="57">CONCATENATE(B1221,"-",E1221)</f>
        <v>-</v>
      </c>
      <c r="B1221" s="25"/>
      <c r="C1221" s="25"/>
      <c r="D1221" s="25"/>
      <c r="E1221" s="25"/>
      <c r="F1221" s="31"/>
      <c r="G1221" s="34">
        <f>SUMIFS('BASE EXEC. Q.L'!N:N,'BASE EXEC. Q.L'!B:B,VOOS!A1221)</f>
        <v>0</v>
      </c>
      <c r="H1221" s="15" t="str">
        <f>IFERROR(_xlfn.XLOOKUP(A1221,'BASE SQL PLANTIO'!B:B,'BASE SQL PLANTIO'!T:T,"verificar",0),"")</f>
        <v/>
      </c>
      <c r="I1221" s="77" t="str">
        <f>IF(_xlfn.MINIFS('BASE SQL PLANTIO'!E:E,'BASE SQL PLANTIO'!B:B,VOOS!A1221)=0/1/1900,"",_xlfn.MINIFS('BASE SQL PLANTIO'!E:E,'BASE SQL PLANTIO'!B:B,VOOS!A1221))</f>
        <v/>
      </c>
      <c r="J1221" s="26"/>
      <c r="K1221" s="34" t="str">
        <f t="shared" ref="K1221:K1284" si="58">IF(I1221="","",$K$3-I1221)</f>
        <v/>
      </c>
      <c r="L1221" s="35" t="str">
        <f t="shared" ref="L1221:L1284" si="59">K1221</f>
        <v/>
      </c>
      <c r="M1221" s="14"/>
      <c r="N1221" s="15"/>
    </row>
    <row r="1222" spans="1:14" ht="15.6" x14ac:dyDescent="0.3">
      <c r="A1222" s="13" t="str">
        <f t="shared" si="57"/>
        <v>-</v>
      </c>
      <c r="B1222" s="27"/>
      <c r="C1222" s="26"/>
      <c r="D1222" s="26"/>
      <c r="E1222" s="26"/>
      <c r="F1222" s="26"/>
      <c r="G1222" s="34">
        <f>SUMIFS('BASE EXEC. Q.L'!N:N,'BASE EXEC. Q.L'!B:B,VOOS!A1222)</f>
        <v>0</v>
      </c>
      <c r="H1222" s="15" t="str">
        <f>IFERROR(_xlfn.XLOOKUP(A1222,'BASE SQL PLANTIO'!B:B,'BASE SQL PLANTIO'!T:T,"verificar",0),"")</f>
        <v/>
      </c>
      <c r="I1222" s="77" t="str">
        <f>IF(_xlfn.MINIFS('BASE SQL PLANTIO'!E:E,'BASE SQL PLANTIO'!B:B,VOOS!A1222)=0/1/1900,"",_xlfn.MINIFS('BASE SQL PLANTIO'!E:E,'BASE SQL PLANTIO'!B:B,VOOS!A1222))</f>
        <v/>
      </c>
      <c r="J1222" s="26"/>
      <c r="K1222" s="34" t="str">
        <f t="shared" si="58"/>
        <v/>
      </c>
      <c r="L1222" s="35" t="str">
        <f t="shared" si="59"/>
        <v/>
      </c>
      <c r="M1222" s="14"/>
      <c r="N1222" s="16"/>
    </row>
    <row r="1223" spans="1:14" ht="15.6" x14ac:dyDescent="0.3">
      <c r="A1223" s="13" t="str">
        <f t="shared" si="57"/>
        <v>-</v>
      </c>
      <c r="B1223" s="27"/>
      <c r="C1223" s="26"/>
      <c r="D1223" s="26"/>
      <c r="E1223" s="26"/>
      <c r="F1223" s="26"/>
      <c r="G1223" s="34">
        <f>SUMIFS('BASE EXEC. Q.L'!N:N,'BASE EXEC. Q.L'!B:B,VOOS!A1223)</f>
        <v>0</v>
      </c>
      <c r="H1223" s="15" t="str">
        <f>IFERROR(_xlfn.XLOOKUP(A1223,'BASE SQL PLANTIO'!B:B,'BASE SQL PLANTIO'!T:T,"verificar",0),"")</f>
        <v/>
      </c>
      <c r="I1223" s="77" t="str">
        <f>IF(_xlfn.MINIFS('BASE SQL PLANTIO'!E:E,'BASE SQL PLANTIO'!B:B,VOOS!A1223)=0/1/1900,"",_xlfn.MINIFS('BASE SQL PLANTIO'!E:E,'BASE SQL PLANTIO'!B:B,VOOS!A1223))</f>
        <v/>
      </c>
      <c r="J1223" s="26"/>
      <c r="K1223" s="34" t="str">
        <f t="shared" si="58"/>
        <v/>
      </c>
      <c r="L1223" s="35" t="str">
        <f t="shared" si="59"/>
        <v/>
      </c>
      <c r="M1223" s="14"/>
      <c r="N1223" s="16"/>
    </row>
    <row r="1224" spans="1:14" ht="15.6" x14ac:dyDescent="0.3">
      <c r="A1224" s="13" t="str">
        <f t="shared" si="57"/>
        <v>-</v>
      </c>
      <c r="B1224" s="25"/>
      <c r="C1224" s="25"/>
      <c r="D1224" s="25"/>
      <c r="E1224" s="25"/>
      <c r="F1224" s="31"/>
      <c r="G1224" s="34">
        <f>SUMIFS('BASE EXEC. Q.L'!N:N,'BASE EXEC. Q.L'!B:B,VOOS!A1224)</f>
        <v>0</v>
      </c>
      <c r="H1224" s="15" t="str">
        <f>IFERROR(_xlfn.XLOOKUP(A1224,'BASE SQL PLANTIO'!B:B,'BASE SQL PLANTIO'!T:T,"verificar",0),"")</f>
        <v/>
      </c>
      <c r="I1224" s="77" t="str">
        <f>IF(_xlfn.MINIFS('BASE SQL PLANTIO'!E:E,'BASE SQL PLANTIO'!B:B,VOOS!A1224)=0/1/1900,"",_xlfn.MINIFS('BASE SQL PLANTIO'!E:E,'BASE SQL PLANTIO'!B:B,VOOS!A1224))</f>
        <v/>
      </c>
      <c r="J1224" s="26"/>
      <c r="K1224" s="34" t="str">
        <f t="shared" si="58"/>
        <v/>
      </c>
      <c r="L1224" s="35" t="str">
        <f t="shared" si="59"/>
        <v/>
      </c>
      <c r="M1224" s="14"/>
      <c r="N1224" s="16"/>
    </row>
    <row r="1225" spans="1:14" ht="15.6" x14ac:dyDescent="0.3">
      <c r="A1225" s="13" t="str">
        <f t="shared" si="57"/>
        <v>-</v>
      </c>
      <c r="B1225" s="25"/>
      <c r="C1225" s="25"/>
      <c r="D1225" s="25"/>
      <c r="E1225" s="25"/>
      <c r="F1225" s="31"/>
      <c r="G1225" s="34">
        <f>SUMIFS('BASE EXEC. Q.L'!N:N,'BASE EXEC. Q.L'!B:B,VOOS!A1225)</f>
        <v>0</v>
      </c>
      <c r="H1225" s="15" t="str">
        <f>IFERROR(_xlfn.XLOOKUP(A1225,'BASE SQL PLANTIO'!B:B,'BASE SQL PLANTIO'!T:T,"verificar",0),"")</f>
        <v/>
      </c>
      <c r="I1225" s="77" t="str">
        <f>IF(_xlfn.MINIFS('BASE SQL PLANTIO'!E:E,'BASE SQL PLANTIO'!B:B,VOOS!A1225)=0/1/1900,"",_xlfn.MINIFS('BASE SQL PLANTIO'!E:E,'BASE SQL PLANTIO'!B:B,VOOS!A1225))</f>
        <v/>
      </c>
      <c r="J1225" s="26"/>
      <c r="K1225" s="34" t="str">
        <f t="shared" si="58"/>
        <v/>
      </c>
      <c r="L1225" s="35" t="str">
        <f t="shared" si="59"/>
        <v/>
      </c>
      <c r="M1225" s="14"/>
      <c r="N1225" s="16"/>
    </row>
    <row r="1226" spans="1:14" ht="15.6" x14ac:dyDescent="0.3">
      <c r="A1226" s="13" t="str">
        <f t="shared" si="57"/>
        <v>-</v>
      </c>
      <c r="B1226" s="25"/>
      <c r="C1226" s="25"/>
      <c r="D1226" s="25"/>
      <c r="E1226" s="25"/>
      <c r="F1226" s="31"/>
      <c r="G1226" s="34">
        <f>SUMIFS('BASE EXEC. Q.L'!N:N,'BASE EXEC. Q.L'!B:B,VOOS!A1226)</f>
        <v>0</v>
      </c>
      <c r="H1226" s="15" t="str">
        <f>IFERROR(_xlfn.XLOOKUP(A1226,'BASE SQL PLANTIO'!B:B,'BASE SQL PLANTIO'!T:T,"verificar",0),"")</f>
        <v/>
      </c>
      <c r="I1226" s="77" t="str">
        <f>IF(_xlfn.MINIFS('BASE SQL PLANTIO'!E:E,'BASE SQL PLANTIO'!B:B,VOOS!A1226)=0/1/1900,"",_xlfn.MINIFS('BASE SQL PLANTIO'!E:E,'BASE SQL PLANTIO'!B:B,VOOS!A1226))</f>
        <v/>
      </c>
      <c r="J1226" s="26"/>
      <c r="K1226" s="34" t="str">
        <f t="shared" si="58"/>
        <v/>
      </c>
      <c r="L1226" s="35" t="str">
        <f t="shared" si="59"/>
        <v/>
      </c>
      <c r="M1226" s="14"/>
      <c r="N1226" s="15"/>
    </row>
    <row r="1227" spans="1:14" ht="15.6" x14ac:dyDescent="0.3">
      <c r="A1227" s="13" t="str">
        <f t="shared" si="57"/>
        <v>-</v>
      </c>
      <c r="B1227" s="27"/>
      <c r="C1227" s="26"/>
      <c r="D1227" s="26"/>
      <c r="E1227" s="26"/>
      <c r="F1227" s="26"/>
      <c r="G1227" s="34">
        <f>SUMIFS('BASE EXEC. Q.L'!N:N,'BASE EXEC. Q.L'!B:B,VOOS!A1227)</f>
        <v>0</v>
      </c>
      <c r="H1227" s="15" t="str">
        <f>IFERROR(_xlfn.XLOOKUP(A1227,'BASE SQL PLANTIO'!B:B,'BASE SQL PLANTIO'!T:T,"verificar",0),"")</f>
        <v/>
      </c>
      <c r="I1227" s="77" t="str">
        <f>IF(_xlfn.MINIFS('BASE SQL PLANTIO'!E:E,'BASE SQL PLANTIO'!B:B,VOOS!A1227)=0/1/1900,"",_xlfn.MINIFS('BASE SQL PLANTIO'!E:E,'BASE SQL PLANTIO'!B:B,VOOS!A1227))</f>
        <v/>
      </c>
      <c r="J1227" s="26"/>
      <c r="K1227" s="34" t="str">
        <f t="shared" si="58"/>
        <v/>
      </c>
      <c r="L1227" s="35" t="str">
        <f t="shared" si="59"/>
        <v/>
      </c>
      <c r="M1227" s="14"/>
      <c r="N1227" s="16"/>
    </row>
    <row r="1228" spans="1:14" ht="15.6" x14ac:dyDescent="0.3">
      <c r="A1228" s="13" t="str">
        <f t="shared" si="57"/>
        <v>-</v>
      </c>
      <c r="B1228" s="27"/>
      <c r="C1228" s="26"/>
      <c r="D1228" s="26"/>
      <c r="E1228" s="26"/>
      <c r="F1228" s="26"/>
      <c r="G1228" s="34">
        <f>SUMIFS('BASE EXEC. Q.L'!N:N,'BASE EXEC. Q.L'!B:B,VOOS!A1228)</f>
        <v>0</v>
      </c>
      <c r="H1228" s="15" t="str">
        <f>IFERROR(_xlfn.XLOOKUP(A1228,'BASE SQL PLANTIO'!B:B,'BASE SQL PLANTIO'!T:T,"verificar",0),"")</f>
        <v/>
      </c>
      <c r="I1228" s="77" t="str">
        <f>IF(_xlfn.MINIFS('BASE SQL PLANTIO'!E:E,'BASE SQL PLANTIO'!B:B,VOOS!A1228)=0/1/1900,"",_xlfn.MINIFS('BASE SQL PLANTIO'!E:E,'BASE SQL PLANTIO'!B:B,VOOS!A1228))</f>
        <v/>
      </c>
      <c r="J1228" s="26"/>
      <c r="K1228" s="34" t="str">
        <f t="shared" si="58"/>
        <v/>
      </c>
      <c r="L1228" s="35" t="str">
        <f t="shared" si="59"/>
        <v/>
      </c>
      <c r="M1228" s="14"/>
      <c r="N1228" s="16"/>
    </row>
    <row r="1229" spans="1:14" ht="15.6" x14ac:dyDescent="0.3">
      <c r="A1229" s="13" t="str">
        <f t="shared" si="57"/>
        <v>-</v>
      </c>
      <c r="B1229" s="25"/>
      <c r="C1229" s="25"/>
      <c r="D1229" s="25"/>
      <c r="E1229" s="25"/>
      <c r="F1229" s="31"/>
      <c r="G1229" s="34">
        <f>SUMIFS('BASE EXEC. Q.L'!N:N,'BASE EXEC. Q.L'!B:B,VOOS!A1229)</f>
        <v>0</v>
      </c>
      <c r="H1229" s="15" t="str">
        <f>IFERROR(_xlfn.XLOOKUP(A1229,'BASE SQL PLANTIO'!B:B,'BASE SQL PLANTIO'!T:T,"verificar",0),"")</f>
        <v/>
      </c>
      <c r="I1229" s="77" t="str">
        <f>IF(_xlfn.MINIFS('BASE SQL PLANTIO'!E:E,'BASE SQL PLANTIO'!B:B,VOOS!A1229)=0/1/1900,"",_xlfn.MINIFS('BASE SQL PLANTIO'!E:E,'BASE SQL PLANTIO'!B:B,VOOS!A1229))</f>
        <v/>
      </c>
      <c r="J1229" s="26"/>
      <c r="K1229" s="34" t="str">
        <f t="shared" si="58"/>
        <v/>
      </c>
      <c r="L1229" s="35" t="str">
        <f t="shared" si="59"/>
        <v/>
      </c>
      <c r="M1229" s="14"/>
      <c r="N1229" s="16"/>
    </row>
    <row r="1230" spans="1:14" ht="15.6" x14ac:dyDescent="0.3">
      <c r="A1230" s="13" t="str">
        <f t="shared" si="57"/>
        <v>-</v>
      </c>
      <c r="B1230" s="25"/>
      <c r="C1230" s="25"/>
      <c r="D1230" s="25"/>
      <c r="E1230" s="25"/>
      <c r="F1230" s="31"/>
      <c r="G1230" s="34">
        <f>SUMIFS('BASE EXEC. Q.L'!N:N,'BASE EXEC. Q.L'!B:B,VOOS!A1230)</f>
        <v>0</v>
      </c>
      <c r="H1230" s="15" t="str">
        <f>IFERROR(_xlfn.XLOOKUP(A1230,'BASE SQL PLANTIO'!B:B,'BASE SQL PLANTIO'!T:T,"verificar",0),"")</f>
        <v/>
      </c>
      <c r="I1230" s="77" t="str">
        <f>IF(_xlfn.MINIFS('BASE SQL PLANTIO'!E:E,'BASE SQL PLANTIO'!B:B,VOOS!A1230)=0/1/1900,"",_xlfn.MINIFS('BASE SQL PLANTIO'!E:E,'BASE SQL PLANTIO'!B:B,VOOS!A1230))</f>
        <v/>
      </c>
      <c r="J1230" s="26"/>
      <c r="K1230" s="34" t="str">
        <f t="shared" si="58"/>
        <v/>
      </c>
      <c r="L1230" s="35" t="str">
        <f t="shared" si="59"/>
        <v/>
      </c>
      <c r="M1230" s="14"/>
      <c r="N1230" s="16"/>
    </row>
    <row r="1231" spans="1:14" ht="15.6" x14ac:dyDescent="0.3">
      <c r="A1231" s="13" t="str">
        <f t="shared" si="57"/>
        <v>-</v>
      </c>
      <c r="B1231" s="25"/>
      <c r="C1231" s="25"/>
      <c r="D1231" s="25"/>
      <c r="E1231" s="25"/>
      <c r="F1231" s="31"/>
      <c r="G1231" s="34">
        <f>SUMIFS('BASE EXEC. Q.L'!N:N,'BASE EXEC. Q.L'!B:B,VOOS!A1231)</f>
        <v>0</v>
      </c>
      <c r="H1231" s="15" t="str">
        <f>IFERROR(_xlfn.XLOOKUP(A1231,'BASE SQL PLANTIO'!B:B,'BASE SQL PLANTIO'!T:T,"verificar",0),"")</f>
        <v/>
      </c>
      <c r="I1231" s="77" t="str">
        <f>IF(_xlfn.MINIFS('BASE SQL PLANTIO'!E:E,'BASE SQL PLANTIO'!B:B,VOOS!A1231)=0/1/1900,"",_xlfn.MINIFS('BASE SQL PLANTIO'!E:E,'BASE SQL PLANTIO'!B:B,VOOS!A1231))</f>
        <v/>
      </c>
      <c r="J1231" s="26"/>
      <c r="K1231" s="34" t="str">
        <f t="shared" si="58"/>
        <v/>
      </c>
      <c r="L1231" s="35" t="str">
        <f t="shared" si="59"/>
        <v/>
      </c>
      <c r="M1231" s="14"/>
      <c r="N1231" s="15"/>
    </row>
    <row r="1232" spans="1:14" ht="15.6" x14ac:dyDescent="0.3">
      <c r="A1232" s="13" t="str">
        <f t="shared" si="57"/>
        <v>-</v>
      </c>
      <c r="B1232" s="27"/>
      <c r="C1232" s="26"/>
      <c r="D1232" s="26"/>
      <c r="E1232" s="26"/>
      <c r="F1232" s="26"/>
      <c r="G1232" s="34">
        <f>SUMIFS('BASE EXEC. Q.L'!N:N,'BASE EXEC. Q.L'!B:B,VOOS!A1232)</f>
        <v>0</v>
      </c>
      <c r="H1232" s="15" t="str">
        <f>IFERROR(_xlfn.XLOOKUP(A1232,'BASE SQL PLANTIO'!B:B,'BASE SQL PLANTIO'!T:T,"verificar",0),"")</f>
        <v/>
      </c>
      <c r="I1232" s="77" t="str">
        <f>IF(_xlfn.MINIFS('BASE SQL PLANTIO'!E:E,'BASE SQL PLANTIO'!B:B,VOOS!A1232)=0/1/1900,"",_xlfn.MINIFS('BASE SQL PLANTIO'!E:E,'BASE SQL PLANTIO'!B:B,VOOS!A1232))</f>
        <v/>
      </c>
      <c r="J1232" s="26"/>
      <c r="K1232" s="34" t="str">
        <f t="shared" si="58"/>
        <v/>
      </c>
      <c r="L1232" s="35" t="str">
        <f t="shared" si="59"/>
        <v/>
      </c>
      <c r="M1232" s="14"/>
      <c r="N1232" s="16"/>
    </row>
    <row r="1233" spans="1:14" ht="15.6" x14ac:dyDescent="0.3">
      <c r="A1233" s="13" t="str">
        <f t="shared" si="57"/>
        <v>-</v>
      </c>
      <c r="B1233" s="27"/>
      <c r="C1233" s="26"/>
      <c r="D1233" s="26"/>
      <c r="E1233" s="26"/>
      <c r="F1233" s="26"/>
      <c r="G1233" s="34">
        <f>SUMIFS('BASE EXEC. Q.L'!N:N,'BASE EXEC. Q.L'!B:B,VOOS!A1233)</f>
        <v>0</v>
      </c>
      <c r="H1233" s="15" t="str">
        <f>IFERROR(_xlfn.XLOOKUP(A1233,'BASE SQL PLANTIO'!B:B,'BASE SQL PLANTIO'!T:T,"verificar",0),"")</f>
        <v/>
      </c>
      <c r="I1233" s="77" t="str">
        <f>IF(_xlfn.MINIFS('BASE SQL PLANTIO'!E:E,'BASE SQL PLANTIO'!B:B,VOOS!A1233)=0/1/1900,"",_xlfn.MINIFS('BASE SQL PLANTIO'!E:E,'BASE SQL PLANTIO'!B:B,VOOS!A1233))</f>
        <v/>
      </c>
      <c r="J1233" s="26"/>
      <c r="K1233" s="34" t="str">
        <f t="shared" si="58"/>
        <v/>
      </c>
      <c r="L1233" s="35" t="str">
        <f t="shared" si="59"/>
        <v/>
      </c>
      <c r="M1233" s="14"/>
      <c r="N1233" s="16"/>
    </row>
    <row r="1234" spans="1:14" ht="15.6" x14ac:dyDescent="0.3">
      <c r="A1234" s="13" t="str">
        <f t="shared" si="57"/>
        <v>-</v>
      </c>
      <c r="B1234" s="25"/>
      <c r="C1234" s="25"/>
      <c r="D1234" s="25"/>
      <c r="E1234" s="25"/>
      <c r="F1234" s="31"/>
      <c r="G1234" s="34">
        <f>SUMIFS('BASE EXEC. Q.L'!N:N,'BASE EXEC. Q.L'!B:B,VOOS!A1234)</f>
        <v>0</v>
      </c>
      <c r="H1234" s="15" t="str">
        <f>IFERROR(_xlfn.XLOOKUP(A1234,'BASE SQL PLANTIO'!B:B,'BASE SQL PLANTIO'!T:T,"verificar",0),"")</f>
        <v/>
      </c>
      <c r="I1234" s="77" t="str">
        <f>IF(_xlfn.MINIFS('BASE SQL PLANTIO'!E:E,'BASE SQL PLANTIO'!B:B,VOOS!A1234)=0/1/1900,"",_xlfn.MINIFS('BASE SQL PLANTIO'!E:E,'BASE SQL PLANTIO'!B:B,VOOS!A1234))</f>
        <v/>
      </c>
      <c r="J1234" s="26"/>
      <c r="K1234" s="34" t="str">
        <f t="shared" si="58"/>
        <v/>
      </c>
      <c r="L1234" s="35" t="str">
        <f t="shared" si="59"/>
        <v/>
      </c>
      <c r="M1234" s="14"/>
      <c r="N1234" s="16"/>
    </row>
    <row r="1235" spans="1:14" ht="15.6" x14ac:dyDescent="0.3">
      <c r="A1235" s="13" t="str">
        <f t="shared" si="57"/>
        <v>-</v>
      </c>
      <c r="B1235" s="25"/>
      <c r="C1235" s="25"/>
      <c r="D1235" s="25"/>
      <c r="E1235" s="25"/>
      <c r="F1235" s="31"/>
      <c r="G1235" s="34">
        <f>SUMIFS('BASE EXEC. Q.L'!N:N,'BASE EXEC. Q.L'!B:B,VOOS!A1235)</f>
        <v>0</v>
      </c>
      <c r="H1235" s="15" t="str">
        <f>IFERROR(_xlfn.XLOOKUP(A1235,'BASE SQL PLANTIO'!B:B,'BASE SQL PLANTIO'!T:T,"verificar",0),"")</f>
        <v/>
      </c>
      <c r="I1235" s="77" t="str">
        <f>IF(_xlfn.MINIFS('BASE SQL PLANTIO'!E:E,'BASE SQL PLANTIO'!B:B,VOOS!A1235)=0/1/1900,"",_xlfn.MINIFS('BASE SQL PLANTIO'!E:E,'BASE SQL PLANTIO'!B:B,VOOS!A1235))</f>
        <v/>
      </c>
      <c r="J1235" s="26"/>
      <c r="K1235" s="34" t="str">
        <f t="shared" si="58"/>
        <v/>
      </c>
      <c r="L1235" s="35" t="str">
        <f t="shared" si="59"/>
        <v/>
      </c>
      <c r="M1235" s="14"/>
      <c r="N1235" s="16"/>
    </row>
    <row r="1236" spans="1:14" ht="15.6" x14ac:dyDescent="0.3">
      <c r="A1236" s="13" t="str">
        <f t="shared" si="57"/>
        <v>-</v>
      </c>
      <c r="B1236" s="25"/>
      <c r="C1236" s="25"/>
      <c r="D1236" s="25"/>
      <c r="E1236" s="25"/>
      <c r="F1236" s="31"/>
      <c r="G1236" s="34">
        <f>SUMIFS('BASE EXEC. Q.L'!N:N,'BASE EXEC. Q.L'!B:B,VOOS!A1236)</f>
        <v>0</v>
      </c>
      <c r="H1236" s="15" t="str">
        <f>IFERROR(_xlfn.XLOOKUP(A1236,'BASE SQL PLANTIO'!B:B,'BASE SQL PLANTIO'!T:T,"verificar",0),"")</f>
        <v/>
      </c>
      <c r="I1236" s="77" t="str">
        <f>IF(_xlfn.MINIFS('BASE SQL PLANTIO'!E:E,'BASE SQL PLANTIO'!B:B,VOOS!A1236)=0/1/1900,"",_xlfn.MINIFS('BASE SQL PLANTIO'!E:E,'BASE SQL PLANTIO'!B:B,VOOS!A1236))</f>
        <v/>
      </c>
      <c r="J1236" s="26"/>
      <c r="K1236" s="34" t="str">
        <f t="shared" si="58"/>
        <v/>
      </c>
      <c r="L1236" s="35" t="str">
        <f t="shared" si="59"/>
        <v/>
      </c>
      <c r="M1236" s="14"/>
      <c r="N1236" s="15"/>
    </row>
    <row r="1237" spans="1:14" ht="15.6" x14ac:dyDescent="0.3">
      <c r="A1237" s="13" t="str">
        <f t="shared" si="57"/>
        <v>-</v>
      </c>
      <c r="B1237" s="27"/>
      <c r="C1237" s="26"/>
      <c r="D1237" s="26"/>
      <c r="E1237" s="26"/>
      <c r="F1237" s="26"/>
      <c r="G1237" s="34">
        <f>SUMIFS('BASE EXEC. Q.L'!N:N,'BASE EXEC. Q.L'!B:B,VOOS!A1237)</f>
        <v>0</v>
      </c>
      <c r="H1237" s="15" t="str">
        <f>IFERROR(_xlfn.XLOOKUP(A1237,'BASE SQL PLANTIO'!B:B,'BASE SQL PLANTIO'!T:T,"verificar",0),"")</f>
        <v/>
      </c>
      <c r="I1237" s="77" t="str">
        <f>IF(_xlfn.MINIFS('BASE SQL PLANTIO'!E:E,'BASE SQL PLANTIO'!B:B,VOOS!A1237)=0/1/1900,"",_xlfn.MINIFS('BASE SQL PLANTIO'!E:E,'BASE SQL PLANTIO'!B:B,VOOS!A1237))</f>
        <v/>
      </c>
      <c r="J1237" s="26"/>
      <c r="K1237" s="34" t="str">
        <f t="shared" si="58"/>
        <v/>
      </c>
      <c r="L1237" s="35" t="str">
        <f t="shared" si="59"/>
        <v/>
      </c>
      <c r="M1237" s="14"/>
      <c r="N1237" s="16"/>
    </row>
    <row r="1238" spans="1:14" ht="15.6" x14ac:dyDescent="0.3">
      <c r="A1238" s="13" t="str">
        <f t="shared" si="57"/>
        <v>-</v>
      </c>
      <c r="B1238" s="27"/>
      <c r="C1238" s="26"/>
      <c r="D1238" s="26"/>
      <c r="E1238" s="26"/>
      <c r="F1238" s="26"/>
      <c r="G1238" s="34">
        <f>SUMIFS('BASE EXEC. Q.L'!N:N,'BASE EXEC. Q.L'!B:B,VOOS!A1238)</f>
        <v>0</v>
      </c>
      <c r="H1238" s="15" t="str">
        <f>IFERROR(_xlfn.XLOOKUP(A1238,'BASE SQL PLANTIO'!B:B,'BASE SQL PLANTIO'!T:T,"verificar",0),"")</f>
        <v/>
      </c>
      <c r="I1238" s="77" t="str">
        <f>IF(_xlfn.MINIFS('BASE SQL PLANTIO'!E:E,'BASE SQL PLANTIO'!B:B,VOOS!A1238)=0/1/1900,"",_xlfn.MINIFS('BASE SQL PLANTIO'!E:E,'BASE SQL PLANTIO'!B:B,VOOS!A1238))</f>
        <v/>
      </c>
      <c r="J1238" s="26"/>
      <c r="K1238" s="34" t="str">
        <f t="shared" si="58"/>
        <v/>
      </c>
      <c r="L1238" s="35" t="str">
        <f t="shared" si="59"/>
        <v/>
      </c>
      <c r="M1238" s="14"/>
      <c r="N1238" s="16"/>
    </row>
    <row r="1239" spans="1:14" ht="15.6" x14ac:dyDescent="0.3">
      <c r="A1239" s="13" t="str">
        <f t="shared" si="57"/>
        <v>-</v>
      </c>
      <c r="B1239" s="25"/>
      <c r="C1239" s="25"/>
      <c r="D1239" s="25"/>
      <c r="E1239" s="25"/>
      <c r="F1239" s="31"/>
      <c r="G1239" s="34">
        <f>SUMIFS('BASE EXEC. Q.L'!N:N,'BASE EXEC. Q.L'!B:B,VOOS!A1239)</f>
        <v>0</v>
      </c>
      <c r="H1239" s="15" t="str">
        <f>IFERROR(_xlfn.XLOOKUP(A1239,'BASE SQL PLANTIO'!B:B,'BASE SQL PLANTIO'!T:T,"verificar",0),"")</f>
        <v/>
      </c>
      <c r="I1239" s="77" t="str">
        <f>IF(_xlfn.MINIFS('BASE SQL PLANTIO'!E:E,'BASE SQL PLANTIO'!B:B,VOOS!A1239)=0/1/1900,"",_xlfn.MINIFS('BASE SQL PLANTIO'!E:E,'BASE SQL PLANTIO'!B:B,VOOS!A1239))</f>
        <v/>
      </c>
      <c r="J1239" s="26"/>
      <c r="K1239" s="34" t="str">
        <f t="shared" si="58"/>
        <v/>
      </c>
      <c r="L1239" s="35" t="str">
        <f t="shared" si="59"/>
        <v/>
      </c>
      <c r="M1239" s="14"/>
      <c r="N1239" s="16"/>
    </row>
    <row r="1240" spans="1:14" ht="15.6" x14ac:dyDescent="0.3">
      <c r="A1240" s="13" t="str">
        <f t="shared" si="57"/>
        <v>-</v>
      </c>
      <c r="B1240" s="25"/>
      <c r="C1240" s="25"/>
      <c r="D1240" s="25"/>
      <c r="E1240" s="25"/>
      <c r="F1240" s="31"/>
      <c r="G1240" s="34">
        <f>SUMIFS('BASE EXEC. Q.L'!N:N,'BASE EXEC. Q.L'!B:B,VOOS!A1240)</f>
        <v>0</v>
      </c>
      <c r="H1240" s="15" t="str">
        <f>IFERROR(_xlfn.XLOOKUP(A1240,'BASE SQL PLANTIO'!B:B,'BASE SQL PLANTIO'!T:T,"verificar",0),"")</f>
        <v/>
      </c>
      <c r="I1240" s="77" t="str">
        <f>IF(_xlfn.MINIFS('BASE SQL PLANTIO'!E:E,'BASE SQL PLANTIO'!B:B,VOOS!A1240)=0/1/1900,"",_xlfn.MINIFS('BASE SQL PLANTIO'!E:E,'BASE SQL PLANTIO'!B:B,VOOS!A1240))</f>
        <v/>
      </c>
      <c r="J1240" s="26"/>
      <c r="K1240" s="34" t="str">
        <f t="shared" si="58"/>
        <v/>
      </c>
      <c r="L1240" s="35" t="str">
        <f t="shared" si="59"/>
        <v/>
      </c>
      <c r="M1240" s="14"/>
      <c r="N1240" s="16"/>
    </row>
    <row r="1241" spans="1:14" ht="15.6" x14ac:dyDescent="0.3">
      <c r="A1241" s="13" t="str">
        <f t="shared" si="57"/>
        <v>-</v>
      </c>
      <c r="B1241" s="25"/>
      <c r="C1241" s="25"/>
      <c r="D1241" s="25"/>
      <c r="E1241" s="25"/>
      <c r="F1241" s="31"/>
      <c r="G1241" s="34">
        <f>SUMIFS('BASE EXEC. Q.L'!N:N,'BASE EXEC. Q.L'!B:B,VOOS!A1241)</f>
        <v>0</v>
      </c>
      <c r="H1241" s="15" t="str">
        <f>IFERROR(_xlfn.XLOOKUP(A1241,'BASE SQL PLANTIO'!B:B,'BASE SQL PLANTIO'!T:T,"verificar",0),"")</f>
        <v/>
      </c>
      <c r="I1241" s="77" t="str">
        <f>IF(_xlfn.MINIFS('BASE SQL PLANTIO'!E:E,'BASE SQL PLANTIO'!B:B,VOOS!A1241)=0/1/1900,"",_xlfn.MINIFS('BASE SQL PLANTIO'!E:E,'BASE SQL PLANTIO'!B:B,VOOS!A1241))</f>
        <v/>
      </c>
      <c r="J1241" s="26"/>
      <c r="K1241" s="34" t="str">
        <f t="shared" si="58"/>
        <v/>
      </c>
      <c r="L1241" s="35" t="str">
        <f t="shared" si="59"/>
        <v/>
      </c>
      <c r="M1241" s="14"/>
      <c r="N1241" s="15"/>
    </row>
    <row r="1242" spans="1:14" ht="15.6" x14ac:dyDescent="0.3">
      <c r="A1242" s="13" t="str">
        <f t="shared" si="57"/>
        <v>-</v>
      </c>
      <c r="B1242" s="27"/>
      <c r="C1242" s="26"/>
      <c r="D1242" s="26"/>
      <c r="E1242" s="26"/>
      <c r="F1242" s="26"/>
      <c r="G1242" s="34">
        <f>SUMIFS('BASE EXEC. Q.L'!N:N,'BASE EXEC. Q.L'!B:B,VOOS!A1242)</f>
        <v>0</v>
      </c>
      <c r="H1242" s="15" t="str">
        <f>IFERROR(_xlfn.XLOOKUP(A1242,'BASE SQL PLANTIO'!B:B,'BASE SQL PLANTIO'!T:T,"verificar",0),"")</f>
        <v/>
      </c>
      <c r="I1242" s="77" t="str">
        <f>IF(_xlfn.MINIFS('BASE SQL PLANTIO'!E:E,'BASE SQL PLANTIO'!B:B,VOOS!A1242)=0/1/1900,"",_xlfn.MINIFS('BASE SQL PLANTIO'!E:E,'BASE SQL PLANTIO'!B:B,VOOS!A1242))</f>
        <v/>
      </c>
      <c r="J1242" s="26"/>
      <c r="K1242" s="34" t="str">
        <f t="shared" si="58"/>
        <v/>
      </c>
      <c r="L1242" s="35" t="str">
        <f t="shared" si="59"/>
        <v/>
      </c>
      <c r="M1242" s="14"/>
      <c r="N1242" s="16"/>
    </row>
    <row r="1243" spans="1:14" ht="15.6" x14ac:dyDescent="0.3">
      <c r="A1243" s="13" t="str">
        <f t="shared" si="57"/>
        <v>-</v>
      </c>
      <c r="B1243" s="27"/>
      <c r="C1243" s="26"/>
      <c r="D1243" s="26"/>
      <c r="E1243" s="26"/>
      <c r="F1243" s="26"/>
      <c r="G1243" s="34">
        <f>SUMIFS('BASE EXEC. Q.L'!N:N,'BASE EXEC. Q.L'!B:B,VOOS!A1243)</f>
        <v>0</v>
      </c>
      <c r="H1243" s="15" t="str">
        <f>IFERROR(_xlfn.XLOOKUP(A1243,'BASE SQL PLANTIO'!B:B,'BASE SQL PLANTIO'!T:T,"verificar",0),"")</f>
        <v/>
      </c>
      <c r="I1243" s="77" t="str">
        <f>IF(_xlfn.MINIFS('BASE SQL PLANTIO'!E:E,'BASE SQL PLANTIO'!B:B,VOOS!A1243)=0/1/1900,"",_xlfn.MINIFS('BASE SQL PLANTIO'!E:E,'BASE SQL PLANTIO'!B:B,VOOS!A1243))</f>
        <v/>
      </c>
      <c r="J1243" s="26"/>
      <c r="K1243" s="34" t="str">
        <f t="shared" si="58"/>
        <v/>
      </c>
      <c r="L1243" s="35" t="str">
        <f t="shared" si="59"/>
        <v/>
      </c>
      <c r="M1243" s="14"/>
      <c r="N1243" s="16"/>
    </row>
    <row r="1244" spans="1:14" ht="15.6" x14ac:dyDescent="0.3">
      <c r="A1244" s="13" t="str">
        <f t="shared" si="57"/>
        <v>-</v>
      </c>
      <c r="B1244" s="25"/>
      <c r="C1244" s="25"/>
      <c r="D1244" s="25"/>
      <c r="E1244" s="25"/>
      <c r="F1244" s="31"/>
      <c r="G1244" s="34">
        <f>SUMIFS('BASE EXEC. Q.L'!N:N,'BASE EXEC. Q.L'!B:B,VOOS!A1244)</f>
        <v>0</v>
      </c>
      <c r="H1244" s="15" t="str">
        <f>IFERROR(_xlfn.XLOOKUP(A1244,'BASE SQL PLANTIO'!B:B,'BASE SQL PLANTIO'!T:T,"verificar",0),"")</f>
        <v/>
      </c>
      <c r="I1244" s="77" t="str">
        <f>IF(_xlfn.MINIFS('BASE SQL PLANTIO'!E:E,'BASE SQL PLANTIO'!B:B,VOOS!A1244)=0/1/1900,"",_xlfn.MINIFS('BASE SQL PLANTIO'!E:E,'BASE SQL PLANTIO'!B:B,VOOS!A1244))</f>
        <v/>
      </c>
      <c r="J1244" s="26"/>
      <c r="K1244" s="34" t="str">
        <f t="shared" si="58"/>
        <v/>
      </c>
      <c r="L1244" s="35" t="str">
        <f t="shared" si="59"/>
        <v/>
      </c>
      <c r="M1244" s="14"/>
      <c r="N1244" s="16"/>
    </row>
    <row r="1245" spans="1:14" ht="15.6" x14ac:dyDescent="0.3">
      <c r="A1245" s="13" t="str">
        <f t="shared" si="57"/>
        <v>-</v>
      </c>
      <c r="B1245" s="25"/>
      <c r="C1245" s="25"/>
      <c r="D1245" s="25"/>
      <c r="E1245" s="25"/>
      <c r="F1245" s="31"/>
      <c r="G1245" s="34">
        <f>SUMIFS('BASE EXEC. Q.L'!N:N,'BASE EXEC. Q.L'!B:B,VOOS!A1245)</f>
        <v>0</v>
      </c>
      <c r="H1245" s="15" t="str">
        <f>IFERROR(_xlfn.XLOOKUP(A1245,'BASE SQL PLANTIO'!B:B,'BASE SQL PLANTIO'!T:T,"verificar",0),"")</f>
        <v/>
      </c>
      <c r="I1245" s="77" t="str">
        <f>IF(_xlfn.MINIFS('BASE SQL PLANTIO'!E:E,'BASE SQL PLANTIO'!B:B,VOOS!A1245)=0/1/1900,"",_xlfn.MINIFS('BASE SQL PLANTIO'!E:E,'BASE SQL PLANTIO'!B:B,VOOS!A1245))</f>
        <v/>
      </c>
      <c r="J1245" s="26"/>
      <c r="K1245" s="34" t="str">
        <f t="shared" si="58"/>
        <v/>
      </c>
      <c r="L1245" s="35" t="str">
        <f t="shared" si="59"/>
        <v/>
      </c>
      <c r="M1245" s="14"/>
      <c r="N1245" s="16"/>
    </row>
    <row r="1246" spans="1:14" ht="15.6" x14ac:dyDescent="0.3">
      <c r="A1246" s="13" t="str">
        <f t="shared" si="57"/>
        <v>-</v>
      </c>
      <c r="B1246" s="25"/>
      <c r="C1246" s="25"/>
      <c r="D1246" s="25"/>
      <c r="E1246" s="25"/>
      <c r="F1246" s="31"/>
      <c r="G1246" s="34">
        <f>SUMIFS('BASE EXEC. Q.L'!N:N,'BASE EXEC. Q.L'!B:B,VOOS!A1246)</f>
        <v>0</v>
      </c>
      <c r="H1246" s="15" t="str">
        <f>IFERROR(_xlfn.XLOOKUP(A1246,'BASE SQL PLANTIO'!B:B,'BASE SQL PLANTIO'!T:T,"verificar",0),"")</f>
        <v/>
      </c>
      <c r="I1246" s="77" t="str">
        <f>IF(_xlfn.MINIFS('BASE SQL PLANTIO'!E:E,'BASE SQL PLANTIO'!B:B,VOOS!A1246)=0/1/1900,"",_xlfn.MINIFS('BASE SQL PLANTIO'!E:E,'BASE SQL PLANTIO'!B:B,VOOS!A1246))</f>
        <v/>
      </c>
      <c r="J1246" s="26"/>
      <c r="K1246" s="34" t="str">
        <f t="shared" si="58"/>
        <v/>
      </c>
      <c r="L1246" s="35" t="str">
        <f t="shared" si="59"/>
        <v/>
      </c>
      <c r="M1246" s="14"/>
      <c r="N1246" s="15"/>
    </row>
    <row r="1247" spans="1:14" ht="15.6" x14ac:dyDescent="0.3">
      <c r="A1247" s="13" t="str">
        <f t="shared" si="57"/>
        <v>-</v>
      </c>
      <c r="B1247" s="27"/>
      <c r="C1247" s="26"/>
      <c r="D1247" s="26"/>
      <c r="E1247" s="26"/>
      <c r="F1247" s="26"/>
      <c r="G1247" s="34">
        <f>SUMIFS('BASE EXEC. Q.L'!N:N,'BASE EXEC. Q.L'!B:B,VOOS!A1247)</f>
        <v>0</v>
      </c>
      <c r="H1247" s="15" t="str">
        <f>IFERROR(_xlfn.XLOOKUP(A1247,'BASE SQL PLANTIO'!B:B,'BASE SQL PLANTIO'!T:T,"verificar",0),"")</f>
        <v/>
      </c>
      <c r="I1247" s="77" t="str">
        <f>IF(_xlfn.MINIFS('BASE SQL PLANTIO'!E:E,'BASE SQL PLANTIO'!B:B,VOOS!A1247)=0/1/1900,"",_xlfn.MINIFS('BASE SQL PLANTIO'!E:E,'BASE SQL PLANTIO'!B:B,VOOS!A1247))</f>
        <v/>
      </c>
      <c r="J1247" s="26"/>
      <c r="K1247" s="34" t="str">
        <f t="shared" si="58"/>
        <v/>
      </c>
      <c r="L1247" s="35" t="str">
        <f t="shared" si="59"/>
        <v/>
      </c>
      <c r="M1247" s="14"/>
      <c r="N1247" s="16"/>
    </row>
    <row r="1248" spans="1:14" ht="15.6" x14ac:dyDescent="0.3">
      <c r="A1248" s="13" t="str">
        <f t="shared" si="57"/>
        <v>-</v>
      </c>
      <c r="B1248" s="27"/>
      <c r="C1248" s="26"/>
      <c r="D1248" s="26"/>
      <c r="E1248" s="26"/>
      <c r="F1248" s="26"/>
      <c r="G1248" s="34">
        <f>SUMIFS('BASE EXEC. Q.L'!N:N,'BASE EXEC. Q.L'!B:B,VOOS!A1248)</f>
        <v>0</v>
      </c>
      <c r="H1248" s="15" t="str">
        <f>IFERROR(_xlfn.XLOOKUP(A1248,'BASE SQL PLANTIO'!B:B,'BASE SQL PLANTIO'!T:T,"verificar",0),"")</f>
        <v/>
      </c>
      <c r="I1248" s="77" t="str">
        <f>IF(_xlfn.MINIFS('BASE SQL PLANTIO'!E:E,'BASE SQL PLANTIO'!B:B,VOOS!A1248)=0/1/1900,"",_xlfn.MINIFS('BASE SQL PLANTIO'!E:E,'BASE SQL PLANTIO'!B:B,VOOS!A1248))</f>
        <v/>
      </c>
      <c r="J1248" s="26"/>
      <c r="K1248" s="34" t="str">
        <f t="shared" si="58"/>
        <v/>
      </c>
      <c r="L1248" s="35" t="str">
        <f t="shared" si="59"/>
        <v/>
      </c>
      <c r="M1248" s="14"/>
      <c r="N1248" s="16"/>
    </row>
    <row r="1249" spans="1:14" ht="15.6" x14ac:dyDescent="0.3">
      <c r="A1249" s="13" t="str">
        <f t="shared" si="57"/>
        <v>-</v>
      </c>
      <c r="B1249" s="25"/>
      <c r="C1249" s="25"/>
      <c r="D1249" s="25"/>
      <c r="E1249" s="25"/>
      <c r="F1249" s="31"/>
      <c r="G1249" s="34">
        <f>SUMIFS('BASE EXEC. Q.L'!N:N,'BASE EXEC. Q.L'!B:B,VOOS!A1249)</f>
        <v>0</v>
      </c>
      <c r="H1249" s="15" t="str">
        <f>IFERROR(_xlfn.XLOOKUP(A1249,'BASE SQL PLANTIO'!B:B,'BASE SQL PLANTIO'!T:T,"verificar",0),"")</f>
        <v/>
      </c>
      <c r="I1249" s="77" t="str">
        <f>IF(_xlfn.MINIFS('BASE SQL PLANTIO'!E:E,'BASE SQL PLANTIO'!B:B,VOOS!A1249)=0/1/1900,"",_xlfn.MINIFS('BASE SQL PLANTIO'!E:E,'BASE SQL PLANTIO'!B:B,VOOS!A1249))</f>
        <v/>
      </c>
      <c r="J1249" s="26"/>
      <c r="K1249" s="34" t="str">
        <f t="shared" si="58"/>
        <v/>
      </c>
      <c r="L1249" s="35" t="str">
        <f t="shared" si="59"/>
        <v/>
      </c>
      <c r="M1249" s="14"/>
      <c r="N1249" s="16"/>
    </row>
    <row r="1250" spans="1:14" ht="15.6" x14ac:dyDescent="0.3">
      <c r="A1250" s="13" t="str">
        <f t="shared" si="57"/>
        <v>-</v>
      </c>
      <c r="B1250" s="25"/>
      <c r="C1250" s="25"/>
      <c r="D1250" s="25"/>
      <c r="E1250" s="25"/>
      <c r="F1250" s="31"/>
      <c r="G1250" s="34">
        <f>SUMIFS('BASE EXEC. Q.L'!N:N,'BASE EXEC. Q.L'!B:B,VOOS!A1250)</f>
        <v>0</v>
      </c>
      <c r="H1250" s="15" t="str">
        <f>IFERROR(_xlfn.XLOOKUP(A1250,'BASE SQL PLANTIO'!B:B,'BASE SQL PLANTIO'!T:T,"verificar",0),"")</f>
        <v/>
      </c>
      <c r="I1250" s="77" t="str">
        <f>IF(_xlfn.MINIFS('BASE SQL PLANTIO'!E:E,'BASE SQL PLANTIO'!B:B,VOOS!A1250)=0/1/1900,"",_xlfn.MINIFS('BASE SQL PLANTIO'!E:E,'BASE SQL PLANTIO'!B:B,VOOS!A1250))</f>
        <v/>
      </c>
      <c r="J1250" s="26"/>
      <c r="K1250" s="34" t="str">
        <f t="shared" si="58"/>
        <v/>
      </c>
      <c r="L1250" s="35" t="str">
        <f t="shared" si="59"/>
        <v/>
      </c>
      <c r="M1250" s="14"/>
      <c r="N1250" s="16"/>
    </row>
    <row r="1251" spans="1:14" ht="15.6" x14ac:dyDescent="0.3">
      <c r="A1251" s="13" t="str">
        <f t="shared" si="57"/>
        <v>-</v>
      </c>
      <c r="B1251" s="25"/>
      <c r="C1251" s="25"/>
      <c r="D1251" s="25"/>
      <c r="E1251" s="25"/>
      <c r="F1251" s="31"/>
      <c r="G1251" s="34">
        <f>SUMIFS('BASE EXEC. Q.L'!N:N,'BASE EXEC. Q.L'!B:B,VOOS!A1251)</f>
        <v>0</v>
      </c>
      <c r="H1251" s="15" t="str">
        <f>IFERROR(_xlfn.XLOOKUP(A1251,'BASE SQL PLANTIO'!B:B,'BASE SQL PLANTIO'!T:T,"verificar",0),"")</f>
        <v/>
      </c>
      <c r="I1251" s="77" t="str">
        <f>IF(_xlfn.MINIFS('BASE SQL PLANTIO'!E:E,'BASE SQL PLANTIO'!B:B,VOOS!A1251)=0/1/1900,"",_xlfn.MINIFS('BASE SQL PLANTIO'!E:E,'BASE SQL PLANTIO'!B:B,VOOS!A1251))</f>
        <v/>
      </c>
      <c r="J1251" s="26"/>
      <c r="K1251" s="34" t="str">
        <f t="shared" si="58"/>
        <v/>
      </c>
      <c r="L1251" s="35" t="str">
        <f t="shared" si="59"/>
        <v/>
      </c>
      <c r="M1251" s="14"/>
      <c r="N1251" s="15"/>
    </row>
    <row r="1252" spans="1:14" ht="15.6" x14ac:dyDescent="0.3">
      <c r="A1252" s="13" t="str">
        <f t="shared" si="57"/>
        <v>-</v>
      </c>
      <c r="B1252" s="27"/>
      <c r="C1252" s="26"/>
      <c r="D1252" s="26"/>
      <c r="E1252" s="26"/>
      <c r="F1252" s="26"/>
      <c r="G1252" s="34">
        <f>SUMIFS('BASE EXEC. Q.L'!N:N,'BASE EXEC. Q.L'!B:B,VOOS!A1252)</f>
        <v>0</v>
      </c>
      <c r="H1252" s="15" t="str">
        <f>IFERROR(_xlfn.XLOOKUP(A1252,'BASE SQL PLANTIO'!B:B,'BASE SQL PLANTIO'!T:T,"verificar",0),"")</f>
        <v/>
      </c>
      <c r="I1252" s="77" t="str">
        <f>IF(_xlfn.MINIFS('BASE SQL PLANTIO'!E:E,'BASE SQL PLANTIO'!B:B,VOOS!A1252)=0/1/1900,"",_xlfn.MINIFS('BASE SQL PLANTIO'!E:E,'BASE SQL PLANTIO'!B:B,VOOS!A1252))</f>
        <v/>
      </c>
      <c r="J1252" s="26"/>
      <c r="K1252" s="34" t="str">
        <f t="shared" si="58"/>
        <v/>
      </c>
      <c r="L1252" s="35" t="str">
        <f t="shared" si="59"/>
        <v/>
      </c>
      <c r="M1252" s="14"/>
      <c r="N1252" s="16"/>
    </row>
    <row r="1253" spans="1:14" ht="15.6" x14ac:dyDescent="0.3">
      <c r="A1253" s="13" t="str">
        <f t="shared" si="57"/>
        <v>-</v>
      </c>
      <c r="B1253" s="27"/>
      <c r="C1253" s="26"/>
      <c r="D1253" s="26"/>
      <c r="E1253" s="26"/>
      <c r="F1253" s="26"/>
      <c r="G1253" s="34">
        <f>SUMIFS('BASE EXEC. Q.L'!N:N,'BASE EXEC. Q.L'!B:B,VOOS!A1253)</f>
        <v>0</v>
      </c>
      <c r="H1253" s="15" t="str">
        <f>IFERROR(_xlfn.XLOOKUP(A1253,'BASE SQL PLANTIO'!B:B,'BASE SQL PLANTIO'!T:T,"verificar",0),"")</f>
        <v/>
      </c>
      <c r="I1253" s="77" t="str">
        <f>IF(_xlfn.MINIFS('BASE SQL PLANTIO'!E:E,'BASE SQL PLANTIO'!B:B,VOOS!A1253)=0/1/1900,"",_xlfn.MINIFS('BASE SQL PLANTIO'!E:E,'BASE SQL PLANTIO'!B:B,VOOS!A1253))</f>
        <v/>
      </c>
      <c r="J1253" s="26"/>
      <c r="K1253" s="34" t="str">
        <f t="shared" si="58"/>
        <v/>
      </c>
      <c r="L1253" s="35" t="str">
        <f t="shared" si="59"/>
        <v/>
      </c>
      <c r="M1253" s="14"/>
      <c r="N1253" s="16"/>
    </row>
    <row r="1254" spans="1:14" ht="15.6" x14ac:dyDescent="0.3">
      <c r="A1254" s="13" t="str">
        <f t="shared" si="57"/>
        <v>-</v>
      </c>
      <c r="B1254" s="25"/>
      <c r="C1254" s="25"/>
      <c r="D1254" s="25"/>
      <c r="E1254" s="25"/>
      <c r="F1254" s="31"/>
      <c r="G1254" s="34">
        <f>SUMIFS('BASE EXEC. Q.L'!N:N,'BASE EXEC. Q.L'!B:B,VOOS!A1254)</f>
        <v>0</v>
      </c>
      <c r="H1254" s="15" t="str">
        <f>IFERROR(_xlfn.XLOOKUP(A1254,'BASE SQL PLANTIO'!B:B,'BASE SQL PLANTIO'!T:T,"verificar",0),"")</f>
        <v/>
      </c>
      <c r="I1254" s="77" t="str">
        <f>IF(_xlfn.MINIFS('BASE SQL PLANTIO'!E:E,'BASE SQL PLANTIO'!B:B,VOOS!A1254)=0/1/1900,"",_xlfn.MINIFS('BASE SQL PLANTIO'!E:E,'BASE SQL PLANTIO'!B:B,VOOS!A1254))</f>
        <v/>
      </c>
      <c r="J1254" s="26"/>
      <c r="K1254" s="34" t="str">
        <f t="shared" si="58"/>
        <v/>
      </c>
      <c r="L1254" s="35" t="str">
        <f t="shared" si="59"/>
        <v/>
      </c>
      <c r="M1254" s="14"/>
      <c r="N1254" s="16"/>
    </row>
    <row r="1255" spans="1:14" ht="15.6" x14ac:dyDescent="0.3">
      <c r="A1255" s="13" t="str">
        <f t="shared" si="57"/>
        <v>-</v>
      </c>
      <c r="B1255" s="25"/>
      <c r="C1255" s="25"/>
      <c r="D1255" s="25"/>
      <c r="E1255" s="25"/>
      <c r="F1255" s="31"/>
      <c r="G1255" s="34">
        <f>SUMIFS('BASE EXEC. Q.L'!N:N,'BASE EXEC. Q.L'!B:B,VOOS!A1255)</f>
        <v>0</v>
      </c>
      <c r="H1255" s="15" t="str">
        <f>IFERROR(_xlfn.XLOOKUP(A1255,'BASE SQL PLANTIO'!B:B,'BASE SQL PLANTIO'!T:T,"verificar",0),"")</f>
        <v/>
      </c>
      <c r="I1255" s="77" t="str">
        <f>IF(_xlfn.MINIFS('BASE SQL PLANTIO'!E:E,'BASE SQL PLANTIO'!B:B,VOOS!A1255)=0/1/1900,"",_xlfn.MINIFS('BASE SQL PLANTIO'!E:E,'BASE SQL PLANTIO'!B:B,VOOS!A1255))</f>
        <v/>
      </c>
      <c r="J1255" s="26"/>
      <c r="K1255" s="34" t="str">
        <f t="shared" si="58"/>
        <v/>
      </c>
      <c r="L1255" s="35" t="str">
        <f t="shared" si="59"/>
        <v/>
      </c>
      <c r="M1255" s="14"/>
      <c r="N1255" s="16"/>
    </row>
    <row r="1256" spans="1:14" ht="15.6" x14ac:dyDescent="0.3">
      <c r="A1256" s="13" t="str">
        <f t="shared" si="57"/>
        <v>-</v>
      </c>
      <c r="B1256" s="25"/>
      <c r="C1256" s="25"/>
      <c r="D1256" s="25"/>
      <c r="E1256" s="25"/>
      <c r="F1256" s="31"/>
      <c r="G1256" s="34">
        <f>SUMIFS('BASE EXEC. Q.L'!N:N,'BASE EXEC. Q.L'!B:B,VOOS!A1256)</f>
        <v>0</v>
      </c>
      <c r="H1256" s="15" t="str">
        <f>IFERROR(_xlfn.XLOOKUP(A1256,'BASE SQL PLANTIO'!B:B,'BASE SQL PLANTIO'!T:T,"verificar",0),"")</f>
        <v/>
      </c>
      <c r="I1256" s="77" t="str">
        <f>IF(_xlfn.MINIFS('BASE SQL PLANTIO'!E:E,'BASE SQL PLANTIO'!B:B,VOOS!A1256)=0/1/1900,"",_xlfn.MINIFS('BASE SQL PLANTIO'!E:E,'BASE SQL PLANTIO'!B:B,VOOS!A1256))</f>
        <v/>
      </c>
      <c r="J1256" s="26"/>
      <c r="K1256" s="34" t="str">
        <f t="shared" si="58"/>
        <v/>
      </c>
      <c r="L1256" s="35" t="str">
        <f t="shared" si="59"/>
        <v/>
      </c>
      <c r="M1256" s="14"/>
      <c r="N1256" s="15"/>
    </row>
    <row r="1257" spans="1:14" ht="15.6" x14ac:dyDescent="0.3">
      <c r="A1257" s="13" t="str">
        <f t="shared" si="57"/>
        <v>-</v>
      </c>
      <c r="B1257" s="27"/>
      <c r="C1257" s="26"/>
      <c r="D1257" s="26"/>
      <c r="E1257" s="26"/>
      <c r="F1257" s="26"/>
      <c r="G1257" s="34">
        <f>SUMIFS('BASE EXEC. Q.L'!N:N,'BASE EXEC. Q.L'!B:B,VOOS!A1257)</f>
        <v>0</v>
      </c>
      <c r="H1257" s="15" t="str">
        <f>IFERROR(_xlfn.XLOOKUP(A1257,'BASE SQL PLANTIO'!B:B,'BASE SQL PLANTIO'!T:T,"verificar",0),"")</f>
        <v/>
      </c>
      <c r="I1257" s="77" t="str">
        <f>IF(_xlfn.MINIFS('BASE SQL PLANTIO'!E:E,'BASE SQL PLANTIO'!B:B,VOOS!A1257)=0/1/1900,"",_xlfn.MINIFS('BASE SQL PLANTIO'!E:E,'BASE SQL PLANTIO'!B:B,VOOS!A1257))</f>
        <v/>
      </c>
      <c r="J1257" s="26"/>
      <c r="K1257" s="34" t="str">
        <f t="shared" si="58"/>
        <v/>
      </c>
      <c r="L1257" s="35" t="str">
        <f t="shared" si="59"/>
        <v/>
      </c>
      <c r="M1257" s="14"/>
      <c r="N1257" s="16"/>
    </row>
    <row r="1258" spans="1:14" ht="15.6" x14ac:dyDescent="0.3">
      <c r="A1258" s="13" t="str">
        <f t="shared" si="57"/>
        <v>-</v>
      </c>
      <c r="B1258" s="27"/>
      <c r="C1258" s="26"/>
      <c r="D1258" s="26"/>
      <c r="E1258" s="26"/>
      <c r="F1258" s="26"/>
      <c r="G1258" s="34">
        <f>SUMIFS('BASE EXEC. Q.L'!N:N,'BASE EXEC. Q.L'!B:B,VOOS!A1258)</f>
        <v>0</v>
      </c>
      <c r="H1258" s="15" t="str">
        <f>IFERROR(_xlfn.XLOOKUP(A1258,'BASE SQL PLANTIO'!B:B,'BASE SQL PLANTIO'!T:T,"verificar",0),"")</f>
        <v/>
      </c>
      <c r="I1258" s="77" t="str">
        <f>IF(_xlfn.MINIFS('BASE SQL PLANTIO'!E:E,'BASE SQL PLANTIO'!B:B,VOOS!A1258)=0/1/1900,"",_xlfn.MINIFS('BASE SQL PLANTIO'!E:E,'BASE SQL PLANTIO'!B:B,VOOS!A1258))</f>
        <v/>
      </c>
      <c r="J1258" s="26"/>
      <c r="K1258" s="34" t="str">
        <f t="shared" si="58"/>
        <v/>
      </c>
      <c r="L1258" s="35" t="str">
        <f t="shared" si="59"/>
        <v/>
      </c>
      <c r="M1258" s="14"/>
      <c r="N1258" s="16"/>
    </row>
    <row r="1259" spans="1:14" ht="15.6" x14ac:dyDescent="0.3">
      <c r="A1259" s="13" t="str">
        <f t="shared" si="57"/>
        <v>-</v>
      </c>
      <c r="B1259" s="25"/>
      <c r="C1259" s="25"/>
      <c r="D1259" s="25"/>
      <c r="E1259" s="25"/>
      <c r="F1259" s="31"/>
      <c r="G1259" s="34">
        <f>SUMIFS('BASE EXEC. Q.L'!N:N,'BASE EXEC. Q.L'!B:B,VOOS!A1259)</f>
        <v>0</v>
      </c>
      <c r="H1259" s="15" t="str">
        <f>IFERROR(_xlfn.XLOOKUP(A1259,'BASE SQL PLANTIO'!B:B,'BASE SQL PLANTIO'!T:T,"verificar",0),"")</f>
        <v/>
      </c>
      <c r="I1259" s="77" t="str">
        <f>IF(_xlfn.MINIFS('BASE SQL PLANTIO'!E:E,'BASE SQL PLANTIO'!B:B,VOOS!A1259)=0/1/1900,"",_xlfn.MINIFS('BASE SQL PLANTIO'!E:E,'BASE SQL PLANTIO'!B:B,VOOS!A1259))</f>
        <v/>
      </c>
      <c r="J1259" s="26"/>
      <c r="K1259" s="34" t="str">
        <f t="shared" si="58"/>
        <v/>
      </c>
      <c r="L1259" s="35" t="str">
        <f t="shared" si="59"/>
        <v/>
      </c>
      <c r="M1259" s="14"/>
      <c r="N1259" s="16"/>
    </row>
    <row r="1260" spans="1:14" ht="15.6" x14ac:dyDescent="0.3">
      <c r="A1260" s="13" t="str">
        <f t="shared" si="57"/>
        <v>-</v>
      </c>
      <c r="B1260" s="25"/>
      <c r="C1260" s="25"/>
      <c r="D1260" s="25"/>
      <c r="E1260" s="25"/>
      <c r="F1260" s="31"/>
      <c r="G1260" s="34">
        <f>SUMIFS('BASE EXEC. Q.L'!N:N,'BASE EXEC. Q.L'!B:B,VOOS!A1260)</f>
        <v>0</v>
      </c>
      <c r="H1260" s="15" t="str">
        <f>IFERROR(_xlfn.XLOOKUP(A1260,'BASE SQL PLANTIO'!B:B,'BASE SQL PLANTIO'!T:T,"verificar",0),"")</f>
        <v/>
      </c>
      <c r="I1260" s="77" t="str">
        <f>IF(_xlfn.MINIFS('BASE SQL PLANTIO'!E:E,'BASE SQL PLANTIO'!B:B,VOOS!A1260)=0/1/1900,"",_xlfn.MINIFS('BASE SQL PLANTIO'!E:E,'BASE SQL PLANTIO'!B:B,VOOS!A1260))</f>
        <v/>
      </c>
      <c r="J1260" s="26"/>
      <c r="K1260" s="34" t="str">
        <f t="shared" si="58"/>
        <v/>
      </c>
      <c r="L1260" s="35" t="str">
        <f t="shared" si="59"/>
        <v/>
      </c>
      <c r="M1260" s="14"/>
      <c r="N1260" s="16"/>
    </row>
    <row r="1261" spans="1:14" ht="15.6" x14ac:dyDescent="0.3">
      <c r="A1261" s="13" t="str">
        <f t="shared" si="57"/>
        <v>-</v>
      </c>
      <c r="B1261" s="27"/>
      <c r="C1261" s="26"/>
      <c r="D1261" s="26"/>
      <c r="E1261" s="26"/>
      <c r="F1261" s="26"/>
      <c r="G1261" s="34">
        <f>SUMIFS('BASE EXEC. Q.L'!N:N,'BASE EXEC. Q.L'!B:B,VOOS!A1261)</f>
        <v>0</v>
      </c>
      <c r="H1261" s="15" t="str">
        <f>IFERROR(_xlfn.XLOOKUP(A1261,'BASE SQL PLANTIO'!B:B,'BASE SQL PLANTIO'!T:T,"verificar",0),"")</f>
        <v/>
      </c>
      <c r="I1261" s="77" t="str">
        <f>IF(_xlfn.MINIFS('BASE SQL PLANTIO'!E:E,'BASE SQL PLANTIO'!B:B,VOOS!A1261)=0/1/1900,"",_xlfn.MINIFS('BASE SQL PLANTIO'!E:E,'BASE SQL PLANTIO'!B:B,VOOS!A1261))</f>
        <v/>
      </c>
      <c r="J1261" s="26"/>
      <c r="K1261" s="34" t="str">
        <f t="shared" si="58"/>
        <v/>
      </c>
      <c r="L1261" s="35" t="str">
        <f t="shared" si="59"/>
        <v/>
      </c>
      <c r="M1261" s="14"/>
      <c r="N1261" s="15"/>
    </row>
    <row r="1262" spans="1:14" ht="15.6" x14ac:dyDescent="0.3">
      <c r="A1262" s="13" t="str">
        <f t="shared" si="57"/>
        <v>-</v>
      </c>
      <c r="B1262" s="27"/>
      <c r="C1262" s="26"/>
      <c r="D1262" s="26"/>
      <c r="E1262" s="26"/>
      <c r="F1262" s="26"/>
      <c r="G1262" s="34">
        <f>SUMIFS('BASE EXEC. Q.L'!N:N,'BASE EXEC. Q.L'!B:B,VOOS!A1262)</f>
        <v>0</v>
      </c>
      <c r="H1262" s="15" t="str">
        <f>IFERROR(_xlfn.XLOOKUP(A1262,'BASE SQL PLANTIO'!B:B,'BASE SQL PLANTIO'!T:T,"verificar",0),"")</f>
        <v/>
      </c>
      <c r="I1262" s="77" t="str">
        <f>IF(_xlfn.MINIFS('BASE SQL PLANTIO'!E:E,'BASE SQL PLANTIO'!B:B,VOOS!A1262)=0/1/1900,"",_xlfn.MINIFS('BASE SQL PLANTIO'!E:E,'BASE SQL PLANTIO'!B:B,VOOS!A1262))</f>
        <v/>
      </c>
      <c r="J1262" s="26"/>
      <c r="K1262" s="34" t="str">
        <f t="shared" si="58"/>
        <v/>
      </c>
      <c r="L1262" s="35" t="str">
        <f t="shared" si="59"/>
        <v/>
      </c>
      <c r="M1262" s="14"/>
      <c r="N1262" s="15"/>
    </row>
    <row r="1263" spans="1:14" ht="15.6" x14ac:dyDescent="0.3">
      <c r="A1263" s="13" t="str">
        <f t="shared" si="57"/>
        <v>-</v>
      </c>
      <c r="B1263" s="25"/>
      <c r="C1263" s="25"/>
      <c r="D1263" s="25"/>
      <c r="E1263" s="25"/>
      <c r="F1263" s="31"/>
      <c r="G1263" s="34">
        <f>SUMIFS('BASE EXEC. Q.L'!N:N,'BASE EXEC. Q.L'!B:B,VOOS!A1263)</f>
        <v>0</v>
      </c>
      <c r="H1263" s="15" t="str">
        <f>IFERROR(_xlfn.XLOOKUP(A1263,'BASE SQL PLANTIO'!B:B,'BASE SQL PLANTIO'!T:T,"verificar",0),"")</f>
        <v/>
      </c>
      <c r="I1263" s="77" t="str">
        <f>IF(_xlfn.MINIFS('BASE SQL PLANTIO'!E:E,'BASE SQL PLANTIO'!B:B,VOOS!A1263)=0/1/1900,"",_xlfn.MINIFS('BASE SQL PLANTIO'!E:E,'BASE SQL PLANTIO'!B:B,VOOS!A1263))</f>
        <v/>
      </c>
      <c r="J1263" s="26"/>
      <c r="K1263" s="34" t="str">
        <f t="shared" si="58"/>
        <v/>
      </c>
      <c r="L1263" s="35" t="str">
        <f t="shared" si="59"/>
        <v/>
      </c>
      <c r="M1263" s="14"/>
      <c r="N1263" s="15"/>
    </row>
    <row r="1264" spans="1:14" ht="15.6" x14ac:dyDescent="0.3">
      <c r="A1264" s="13" t="str">
        <f t="shared" si="57"/>
        <v>-</v>
      </c>
      <c r="B1264" s="25"/>
      <c r="C1264" s="25"/>
      <c r="D1264" s="25"/>
      <c r="E1264" s="25"/>
      <c r="F1264" s="31"/>
      <c r="G1264" s="34">
        <f>SUMIFS('BASE EXEC. Q.L'!N:N,'BASE EXEC. Q.L'!B:B,VOOS!A1264)</f>
        <v>0</v>
      </c>
      <c r="H1264" s="15" t="str">
        <f>IFERROR(_xlfn.XLOOKUP(A1264,'BASE SQL PLANTIO'!B:B,'BASE SQL PLANTIO'!T:T,"verificar",0),"")</f>
        <v/>
      </c>
      <c r="I1264" s="77" t="str">
        <f>IF(_xlfn.MINIFS('BASE SQL PLANTIO'!E:E,'BASE SQL PLANTIO'!B:B,VOOS!A1264)=0/1/1900,"",_xlfn.MINIFS('BASE SQL PLANTIO'!E:E,'BASE SQL PLANTIO'!B:B,VOOS!A1264))</f>
        <v/>
      </c>
      <c r="J1264" s="26"/>
      <c r="K1264" s="34" t="str">
        <f t="shared" si="58"/>
        <v/>
      </c>
      <c r="L1264" s="35" t="str">
        <f t="shared" si="59"/>
        <v/>
      </c>
      <c r="M1264" s="14"/>
      <c r="N1264" s="16"/>
    </row>
    <row r="1265" spans="1:14" ht="15.6" x14ac:dyDescent="0.3">
      <c r="A1265" s="13" t="str">
        <f t="shared" si="57"/>
        <v>-</v>
      </c>
      <c r="B1265" s="25"/>
      <c r="C1265" s="25"/>
      <c r="D1265" s="25"/>
      <c r="E1265" s="25"/>
      <c r="F1265" s="31"/>
      <c r="G1265" s="34">
        <f>SUMIFS('BASE EXEC. Q.L'!N:N,'BASE EXEC. Q.L'!B:B,VOOS!A1265)</f>
        <v>0</v>
      </c>
      <c r="H1265" s="15" t="str">
        <f>IFERROR(_xlfn.XLOOKUP(A1265,'BASE SQL PLANTIO'!B:B,'BASE SQL PLANTIO'!T:T,"verificar",0),"")</f>
        <v/>
      </c>
      <c r="I1265" s="77" t="str">
        <f>IF(_xlfn.MINIFS('BASE SQL PLANTIO'!E:E,'BASE SQL PLANTIO'!B:B,VOOS!A1265)=0/1/1900,"",_xlfn.MINIFS('BASE SQL PLANTIO'!E:E,'BASE SQL PLANTIO'!B:B,VOOS!A1265))</f>
        <v/>
      </c>
      <c r="J1265" s="26"/>
      <c r="K1265" s="34" t="str">
        <f t="shared" si="58"/>
        <v/>
      </c>
      <c r="L1265" s="35" t="str">
        <f t="shared" si="59"/>
        <v/>
      </c>
      <c r="M1265" s="14"/>
      <c r="N1265" s="16"/>
    </row>
    <row r="1266" spans="1:14" ht="15.6" x14ac:dyDescent="0.3">
      <c r="A1266" s="13" t="str">
        <f t="shared" si="57"/>
        <v>-</v>
      </c>
      <c r="B1266" s="25"/>
      <c r="C1266" s="25"/>
      <c r="D1266" s="25"/>
      <c r="E1266" s="25"/>
      <c r="F1266" s="31"/>
      <c r="G1266" s="34">
        <f>SUMIFS('BASE EXEC. Q.L'!N:N,'BASE EXEC. Q.L'!B:B,VOOS!A1266)</f>
        <v>0</v>
      </c>
      <c r="H1266" s="15" t="str">
        <f>IFERROR(_xlfn.XLOOKUP(A1266,'BASE SQL PLANTIO'!B:B,'BASE SQL PLANTIO'!T:T,"verificar",0),"")</f>
        <v/>
      </c>
      <c r="I1266" s="77" t="str">
        <f>IF(_xlfn.MINIFS('BASE SQL PLANTIO'!E:E,'BASE SQL PLANTIO'!B:B,VOOS!A1266)=0/1/1900,"",_xlfn.MINIFS('BASE SQL PLANTIO'!E:E,'BASE SQL PLANTIO'!B:B,VOOS!A1266))</f>
        <v/>
      </c>
      <c r="J1266" s="26"/>
      <c r="K1266" s="34" t="str">
        <f t="shared" si="58"/>
        <v/>
      </c>
      <c r="L1266" s="35" t="str">
        <f t="shared" si="59"/>
        <v/>
      </c>
      <c r="M1266" s="14"/>
      <c r="N1266" s="15"/>
    </row>
    <row r="1267" spans="1:14" ht="15.6" x14ac:dyDescent="0.3">
      <c r="A1267" s="13" t="str">
        <f t="shared" si="57"/>
        <v>-</v>
      </c>
      <c r="B1267" s="27"/>
      <c r="C1267" s="26"/>
      <c r="D1267" s="26"/>
      <c r="E1267" s="26"/>
      <c r="F1267" s="26"/>
      <c r="G1267" s="34">
        <f>SUMIFS('BASE EXEC. Q.L'!N:N,'BASE EXEC. Q.L'!B:B,VOOS!A1267)</f>
        <v>0</v>
      </c>
      <c r="H1267" s="15" t="str">
        <f>IFERROR(_xlfn.XLOOKUP(A1267,'BASE SQL PLANTIO'!B:B,'BASE SQL PLANTIO'!T:T,"verificar",0),"")</f>
        <v/>
      </c>
      <c r="I1267" s="77" t="str">
        <f>IF(_xlfn.MINIFS('BASE SQL PLANTIO'!E:E,'BASE SQL PLANTIO'!B:B,VOOS!A1267)=0/1/1900,"",_xlfn.MINIFS('BASE SQL PLANTIO'!E:E,'BASE SQL PLANTIO'!B:B,VOOS!A1267))</f>
        <v/>
      </c>
      <c r="J1267" s="26"/>
      <c r="K1267" s="34" t="str">
        <f t="shared" si="58"/>
        <v/>
      </c>
      <c r="L1267" s="35" t="str">
        <f t="shared" si="59"/>
        <v/>
      </c>
      <c r="M1267" s="14"/>
      <c r="N1267" s="16"/>
    </row>
    <row r="1268" spans="1:14" ht="15.6" x14ac:dyDescent="0.3">
      <c r="A1268" s="13" t="str">
        <f t="shared" si="57"/>
        <v>-</v>
      </c>
      <c r="B1268" s="27"/>
      <c r="C1268" s="26"/>
      <c r="D1268" s="26"/>
      <c r="E1268" s="26"/>
      <c r="F1268" s="26"/>
      <c r="G1268" s="34">
        <f>SUMIFS('BASE EXEC. Q.L'!N:N,'BASE EXEC. Q.L'!B:B,VOOS!A1268)</f>
        <v>0</v>
      </c>
      <c r="H1268" s="15" t="str">
        <f>IFERROR(_xlfn.XLOOKUP(A1268,'BASE SQL PLANTIO'!B:B,'BASE SQL PLANTIO'!T:T,"verificar",0),"")</f>
        <v/>
      </c>
      <c r="I1268" s="77" t="str">
        <f>IF(_xlfn.MINIFS('BASE SQL PLANTIO'!E:E,'BASE SQL PLANTIO'!B:B,VOOS!A1268)=0/1/1900,"",_xlfn.MINIFS('BASE SQL PLANTIO'!E:E,'BASE SQL PLANTIO'!B:B,VOOS!A1268))</f>
        <v/>
      </c>
      <c r="J1268" s="26"/>
      <c r="K1268" s="34" t="str">
        <f t="shared" si="58"/>
        <v/>
      </c>
      <c r="L1268" s="35" t="str">
        <f t="shared" si="59"/>
        <v/>
      </c>
      <c r="M1268" s="14"/>
      <c r="N1268" s="16"/>
    </row>
    <row r="1269" spans="1:14" ht="15.6" x14ac:dyDescent="0.3">
      <c r="A1269" s="13" t="str">
        <f t="shared" si="57"/>
        <v>-</v>
      </c>
      <c r="B1269" s="25"/>
      <c r="C1269" s="25"/>
      <c r="D1269" s="25"/>
      <c r="E1269" s="25"/>
      <c r="F1269" s="31"/>
      <c r="G1269" s="34">
        <f>SUMIFS('BASE EXEC. Q.L'!N:N,'BASE EXEC. Q.L'!B:B,VOOS!A1269)</f>
        <v>0</v>
      </c>
      <c r="H1269" s="15" t="str">
        <f>IFERROR(_xlfn.XLOOKUP(A1269,'BASE SQL PLANTIO'!B:B,'BASE SQL PLANTIO'!T:T,"verificar",0),"")</f>
        <v/>
      </c>
      <c r="I1269" s="77" t="str">
        <f>IF(_xlfn.MINIFS('BASE SQL PLANTIO'!E:E,'BASE SQL PLANTIO'!B:B,VOOS!A1269)=0/1/1900,"",_xlfn.MINIFS('BASE SQL PLANTIO'!E:E,'BASE SQL PLANTIO'!B:B,VOOS!A1269))</f>
        <v/>
      </c>
      <c r="J1269" s="26"/>
      <c r="K1269" s="34" t="str">
        <f t="shared" si="58"/>
        <v/>
      </c>
      <c r="L1269" s="35" t="str">
        <f t="shared" si="59"/>
        <v/>
      </c>
      <c r="M1269" s="14"/>
      <c r="N1269" s="16"/>
    </row>
    <row r="1270" spans="1:14" ht="15.6" x14ac:dyDescent="0.3">
      <c r="A1270" s="13" t="str">
        <f t="shared" si="57"/>
        <v>-</v>
      </c>
      <c r="B1270" s="25"/>
      <c r="C1270" s="25"/>
      <c r="D1270" s="25"/>
      <c r="E1270" s="25"/>
      <c r="F1270" s="31"/>
      <c r="G1270" s="34">
        <f>SUMIFS('BASE EXEC. Q.L'!N:N,'BASE EXEC. Q.L'!B:B,VOOS!A1270)</f>
        <v>0</v>
      </c>
      <c r="H1270" s="15" t="str">
        <f>IFERROR(_xlfn.XLOOKUP(A1270,'BASE SQL PLANTIO'!B:B,'BASE SQL PLANTIO'!T:T,"verificar",0),"")</f>
        <v/>
      </c>
      <c r="I1270" s="77" t="str">
        <f>IF(_xlfn.MINIFS('BASE SQL PLANTIO'!E:E,'BASE SQL PLANTIO'!B:B,VOOS!A1270)=0/1/1900,"",_xlfn.MINIFS('BASE SQL PLANTIO'!E:E,'BASE SQL PLANTIO'!B:B,VOOS!A1270))</f>
        <v/>
      </c>
      <c r="J1270" s="26"/>
      <c r="K1270" s="34" t="str">
        <f t="shared" si="58"/>
        <v/>
      </c>
      <c r="L1270" s="35" t="str">
        <f t="shared" si="59"/>
        <v/>
      </c>
      <c r="M1270" s="14"/>
      <c r="N1270" s="16"/>
    </row>
    <row r="1271" spans="1:14" ht="15.6" x14ac:dyDescent="0.3">
      <c r="A1271" s="13" t="str">
        <f t="shared" si="57"/>
        <v>-</v>
      </c>
      <c r="B1271" s="25"/>
      <c r="C1271" s="25"/>
      <c r="D1271" s="25"/>
      <c r="E1271" s="25"/>
      <c r="F1271" s="31"/>
      <c r="G1271" s="34">
        <f>SUMIFS('BASE EXEC. Q.L'!N:N,'BASE EXEC. Q.L'!B:B,VOOS!A1271)</f>
        <v>0</v>
      </c>
      <c r="H1271" s="15" t="str">
        <f>IFERROR(_xlfn.XLOOKUP(A1271,'BASE SQL PLANTIO'!B:B,'BASE SQL PLANTIO'!T:T,"verificar",0),"")</f>
        <v/>
      </c>
      <c r="I1271" s="77" t="str">
        <f>IF(_xlfn.MINIFS('BASE SQL PLANTIO'!E:E,'BASE SQL PLANTIO'!B:B,VOOS!A1271)=0/1/1900,"",_xlfn.MINIFS('BASE SQL PLANTIO'!E:E,'BASE SQL PLANTIO'!B:B,VOOS!A1271))</f>
        <v/>
      </c>
      <c r="J1271" s="26"/>
      <c r="K1271" s="34" t="str">
        <f t="shared" si="58"/>
        <v/>
      </c>
      <c r="L1271" s="35" t="str">
        <f t="shared" si="59"/>
        <v/>
      </c>
      <c r="M1271" s="14"/>
      <c r="N1271" s="15"/>
    </row>
    <row r="1272" spans="1:14" ht="15.6" x14ac:dyDescent="0.3">
      <c r="A1272" s="13" t="str">
        <f t="shared" si="57"/>
        <v>-</v>
      </c>
      <c r="B1272" s="27"/>
      <c r="C1272" s="26"/>
      <c r="D1272" s="26"/>
      <c r="E1272" s="26"/>
      <c r="F1272" s="26"/>
      <c r="G1272" s="34">
        <f>SUMIFS('BASE EXEC. Q.L'!N:N,'BASE EXEC. Q.L'!B:B,VOOS!A1272)</f>
        <v>0</v>
      </c>
      <c r="H1272" s="15" t="str">
        <f>IFERROR(_xlfn.XLOOKUP(A1272,'BASE SQL PLANTIO'!B:B,'BASE SQL PLANTIO'!T:T,"verificar",0),"")</f>
        <v/>
      </c>
      <c r="I1272" s="77" t="str">
        <f>IF(_xlfn.MINIFS('BASE SQL PLANTIO'!E:E,'BASE SQL PLANTIO'!B:B,VOOS!A1272)=0/1/1900,"",_xlfn.MINIFS('BASE SQL PLANTIO'!E:E,'BASE SQL PLANTIO'!B:B,VOOS!A1272))</f>
        <v/>
      </c>
      <c r="J1272" s="26"/>
      <c r="K1272" s="34" t="str">
        <f t="shared" si="58"/>
        <v/>
      </c>
      <c r="L1272" s="35" t="str">
        <f t="shared" si="59"/>
        <v/>
      </c>
      <c r="M1272" s="14"/>
      <c r="N1272" s="16"/>
    </row>
    <row r="1273" spans="1:14" ht="15.6" x14ac:dyDescent="0.3">
      <c r="A1273" s="13" t="str">
        <f t="shared" si="57"/>
        <v>-</v>
      </c>
      <c r="B1273" s="27"/>
      <c r="C1273" s="26"/>
      <c r="D1273" s="26"/>
      <c r="E1273" s="26"/>
      <c r="F1273" s="26"/>
      <c r="G1273" s="34">
        <f>SUMIFS('BASE EXEC. Q.L'!N:N,'BASE EXEC. Q.L'!B:B,VOOS!A1273)</f>
        <v>0</v>
      </c>
      <c r="H1273" s="15" t="str">
        <f>IFERROR(_xlfn.XLOOKUP(A1273,'BASE SQL PLANTIO'!B:B,'BASE SQL PLANTIO'!T:T,"verificar",0),"")</f>
        <v/>
      </c>
      <c r="I1273" s="77" t="str">
        <f>IF(_xlfn.MINIFS('BASE SQL PLANTIO'!E:E,'BASE SQL PLANTIO'!B:B,VOOS!A1273)=0/1/1900,"",_xlfn.MINIFS('BASE SQL PLANTIO'!E:E,'BASE SQL PLANTIO'!B:B,VOOS!A1273))</f>
        <v/>
      </c>
      <c r="J1273" s="26"/>
      <c r="K1273" s="34" t="str">
        <f t="shared" si="58"/>
        <v/>
      </c>
      <c r="L1273" s="35" t="str">
        <f t="shared" si="59"/>
        <v/>
      </c>
      <c r="M1273" s="14"/>
      <c r="N1273" s="16"/>
    </row>
    <row r="1274" spans="1:14" ht="15.6" x14ac:dyDescent="0.3">
      <c r="A1274" s="13" t="str">
        <f t="shared" si="57"/>
        <v>-</v>
      </c>
      <c r="B1274" s="27"/>
      <c r="C1274" s="26"/>
      <c r="D1274" s="26"/>
      <c r="E1274" s="26"/>
      <c r="F1274" s="26"/>
      <c r="G1274" s="34">
        <f>SUMIFS('BASE EXEC. Q.L'!N:N,'BASE EXEC. Q.L'!B:B,VOOS!A1274)</f>
        <v>0</v>
      </c>
      <c r="H1274" s="15" t="str">
        <f>IFERROR(_xlfn.XLOOKUP(A1274,'BASE SQL PLANTIO'!B:B,'BASE SQL PLANTIO'!T:T,"verificar",0),"")</f>
        <v/>
      </c>
      <c r="I1274" s="77" t="str">
        <f>IF(_xlfn.MINIFS('BASE SQL PLANTIO'!E:E,'BASE SQL PLANTIO'!B:B,VOOS!A1274)=0/1/1900,"",_xlfn.MINIFS('BASE SQL PLANTIO'!E:E,'BASE SQL PLANTIO'!B:B,VOOS!A1274))</f>
        <v/>
      </c>
      <c r="J1274" s="26"/>
      <c r="K1274" s="34" t="str">
        <f t="shared" si="58"/>
        <v/>
      </c>
      <c r="L1274" s="35" t="str">
        <f t="shared" si="59"/>
        <v/>
      </c>
      <c r="M1274" s="14"/>
      <c r="N1274" s="16"/>
    </row>
    <row r="1275" spans="1:14" ht="15.6" x14ac:dyDescent="0.3">
      <c r="A1275" s="13" t="str">
        <f t="shared" si="57"/>
        <v>-</v>
      </c>
      <c r="B1275" s="25"/>
      <c r="C1275" s="25"/>
      <c r="D1275" s="25"/>
      <c r="E1275" s="25"/>
      <c r="F1275" s="31"/>
      <c r="G1275" s="34">
        <f>SUMIFS('BASE EXEC. Q.L'!N:N,'BASE EXEC. Q.L'!B:B,VOOS!A1275)</f>
        <v>0</v>
      </c>
      <c r="H1275" s="15" t="str">
        <f>IFERROR(_xlfn.XLOOKUP(A1275,'BASE SQL PLANTIO'!B:B,'BASE SQL PLANTIO'!T:T,"verificar",0),"")</f>
        <v/>
      </c>
      <c r="I1275" s="77" t="str">
        <f>IF(_xlfn.MINIFS('BASE SQL PLANTIO'!E:E,'BASE SQL PLANTIO'!B:B,VOOS!A1275)=0/1/1900,"",_xlfn.MINIFS('BASE SQL PLANTIO'!E:E,'BASE SQL PLANTIO'!B:B,VOOS!A1275))</f>
        <v/>
      </c>
      <c r="J1275" s="26"/>
      <c r="K1275" s="34" t="str">
        <f t="shared" si="58"/>
        <v/>
      </c>
      <c r="L1275" s="35" t="str">
        <f t="shared" si="59"/>
        <v/>
      </c>
      <c r="M1275" s="14"/>
      <c r="N1275" s="16"/>
    </row>
    <row r="1276" spans="1:14" ht="15.6" x14ac:dyDescent="0.3">
      <c r="A1276" s="13" t="str">
        <f t="shared" si="57"/>
        <v>-</v>
      </c>
      <c r="B1276" s="27"/>
      <c r="C1276" s="26"/>
      <c r="D1276" s="26"/>
      <c r="E1276" s="26"/>
      <c r="F1276" s="26"/>
      <c r="G1276" s="34">
        <f>SUMIFS('BASE EXEC. Q.L'!N:N,'BASE EXEC. Q.L'!B:B,VOOS!A1276)</f>
        <v>0</v>
      </c>
      <c r="H1276" s="15" t="str">
        <f>IFERROR(_xlfn.XLOOKUP(A1276,'BASE SQL PLANTIO'!B:B,'BASE SQL PLANTIO'!T:T,"verificar",0),"")</f>
        <v/>
      </c>
      <c r="I1276" s="77" t="str">
        <f>IF(_xlfn.MINIFS('BASE SQL PLANTIO'!E:E,'BASE SQL PLANTIO'!B:B,VOOS!A1276)=0/1/1900,"",_xlfn.MINIFS('BASE SQL PLANTIO'!E:E,'BASE SQL PLANTIO'!B:B,VOOS!A1276))</f>
        <v/>
      </c>
      <c r="J1276" s="26"/>
      <c r="K1276" s="34" t="str">
        <f t="shared" si="58"/>
        <v/>
      </c>
      <c r="L1276" s="35" t="str">
        <f t="shared" si="59"/>
        <v/>
      </c>
      <c r="M1276" s="14"/>
      <c r="N1276" s="16"/>
    </row>
    <row r="1277" spans="1:14" ht="15.6" x14ac:dyDescent="0.3">
      <c r="A1277" s="13" t="str">
        <f t="shared" si="57"/>
        <v>-</v>
      </c>
      <c r="B1277" s="27"/>
      <c r="C1277" s="26"/>
      <c r="D1277" s="26"/>
      <c r="E1277" s="26"/>
      <c r="F1277" s="26"/>
      <c r="G1277" s="34">
        <f>SUMIFS('BASE EXEC. Q.L'!N:N,'BASE EXEC. Q.L'!B:B,VOOS!A1277)</f>
        <v>0</v>
      </c>
      <c r="H1277" s="15" t="str">
        <f>IFERROR(_xlfn.XLOOKUP(A1277,'BASE SQL PLANTIO'!B:B,'BASE SQL PLANTIO'!T:T,"verificar",0),"")</f>
        <v/>
      </c>
      <c r="I1277" s="77" t="str">
        <f>IF(_xlfn.MINIFS('BASE SQL PLANTIO'!E:E,'BASE SQL PLANTIO'!B:B,VOOS!A1277)=0/1/1900,"",_xlfn.MINIFS('BASE SQL PLANTIO'!E:E,'BASE SQL PLANTIO'!B:B,VOOS!A1277))</f>
        <v/>
      </c>
      <c r="J1277" s="26"/>
      <c r="K1277" s="34" t="str">
        <f t="shared" si="58"/>
        <v/>
      </c>
      <c r="L1277" s="35" t="str">
        <f t="shared" si="59"/>
        <v/>
      </c>
      <c r="M1277" s="14"/>
      <c r="N1277" s="15"/>
    </row>
    <row r="1278" spans="1:14" ht="15.6" x14ac:dyDescent="0.3">
      <c r="A1278" s="13" t="str">
        <f t="shared" si="57"/>
        <v>-</v>
      </c>
      <c r="B1278" s="25"/>
      <c r="C1278" s="25"/>
      <c r="D1278" s="25"/>
      <c r="E1278" s="25"/>
      <c r="F1278" s="31"/>
      <c r="G1278" s="34">
        <f>SUMIFS('BASE EXEC. Q.L'!N:N,'BASE EXEC. Q.L'!B:B,VOOS!A1278)</f>
        <v>0</v>
      </c>
      <c r="H1278" s="15" t="str">
        <f>IFERROR(_xlfn.XLOOKUP(A1278,'BASE SQL PLANTIO'!B:B,'BASE SQL PLANTIO'!T:T,"verificar",0),"")</f>
        <v/>
      </c>
      <c r="I1278" s="77" t="str">
        <f>IF(_xlfn.MINIFS('BASE SQL PLANTIO'!E:E,'BASE SQL PLANTIO'!B:B,VOOS!A1278)=0/1/1900,"",_xlfn.MINIFS('BASE SQL PLANTIO'!E:E,'BASE SQL PLANTIO'!B:B,VOOS!A1278))</f>
        <v/>
      </c>
      <c r="J1278" s="26"/>
      <c r="K1278" s="34" t="str">
        <f t="shared" si="58"/>
        <v/>
      </c>
      <c r="L1278" s="35" t="str">
        <f t="shared" si="59"/>
        <v/>
      </c>
      <c r="M1278" s="14"/>
      <c r="N1278" s="16"/>
    </row>
    <row r="1279" spans="1:14" ht="15.6" x14ac:dyDescent="0.3">
      <c r="A1279" s="13" t="str">
        <f t="shared" si="57"/>
        <v>-</v>
      </c>
      <c r="B1279" s="25"/>
      <c r="C1279" s="25"/>
      <c r="D1279" s="25"/>
      <c r="E1279" s="25"/>
      <c r="F1279" s="31"/>
      <c r="G1279" s="34">
        <f>SUMIFS('BASE EXEC. Q.L'!N:N,'BASE EXEC. Q.L'!B:B,VOOS!A1279)</f>
        <v>0</v>
      </c>
      <c r="H1279" s="15" t="str">
        <f>IFERROR(_xlfn.XLOOKUP(A1279,'BASE SQL PLANTIO'!B:B,'BASE SQL PLANTIO'!T:T,"verificar",0),"")</f>
        <v/>
      </c>
      <c r="I1279" s="77" t="str">
        <f>IF(_xlfn.MINIFS('BASE SQL PLANTIO'!E:E,'BASE SQL PLANTIO'!B:B,VOOS!A1279)=0/1/1900,"",_xlfn.MINIFS('BASE SQL PLANTIO'!E:E,'BASE SQL PLANTIO'!B:B,VOOS!A1279))</f>
        <v/>
      </c>
      <c r="J1279" s="26"/>
      <c r="K1279" s="34" t="str">
        <f t="shared" si="58"/>
        <v/>
      </c>
      <c r="L1279" s="35" t="str">
        <f t="shared" si="59"/>
        <v/>
      </c>
      <c r="M1279" s="14"/>
      <c r="N1279" s="19"/>
    </row>
    <row r="1280" spans="1:14" ht="15.6" x14ac:dyDescent="0.3">
      <c r="A1280" s="13" t="str">
        <f t="shared" si="57"/>
        <v>-</v>
      </c>
      <c r="B1280" s="25"/>
      <c r="C1280" s="25"/>
      <c r="D1280" s="25"/>
      <c r="E1280" s="25"/>
      <c r="F1280" s="31"/>
      <c r="G1280" s="34">
        <f>SUMIFS('BASE EXEC. Q.L'!N:N,'BASE EXEC. Q.L'!B:B,VOOS!A1280)</f>
        <v>0</v>
      </c>
      <c r="H1280" s="15" t="str">
        <f>IFERROR(_xlfn.XLOOKUP(A1280,'BASE SQL PLANTIO'!B:B,'BASE SQL PLANTIO'!T:T,"verificar",0),"")</f>
        <v/>
      </c>
      <c r="I1280" s="77" t="str">
        <f>IF(_xlfn.MINIFS('BASE SQL PLANTIO'!E:E,'BASE SQL PLANTIO'!B:B,VOOS!A1280)=0/1/1900,"",_xlfn.MINIFS('BASE SQL PLANTIO'!E:E,'BASE SQL PLANTIO'!B:B,VOOS!A1280))</f>
        <v/>
      </c>
      <c r="J1280" s="26"/>
      <c r="K1280" s="34" t="str">
        <f t="shared" si="58"/>
        <v/>
      </c>
      <c r="L1280" s="35" t="str">
        <f t="shared" si="59"/>
        <v/>
      </c>
      <c r="M1280" s="14"/>
      <c r="N1280" s="19"/>
    </row>
    <row r="1281" spans="1:14" ht="15.6" x14ac:dyDescent="0.3">
      <c r="A1281" s="13" t="str">
        <f t="shared" si="57"/>
        <v>-</v>
      </c>
      <c r="B1281" s="25"/>
      <c r="C1281" s="25"/>
      <c r="D1281" s="25"/>
      <c r="E1281" s="25"/>
      <c r="F1281" s="31"/>
      <c r="G1281" s="34">
        <f>SUMIFS('BASE EXEC. Q.L'!N:N,'BASE EXEC. Q.L'!B:B,VOOS!A1281)</f>
        <v>0</v>
      </c>
      <c r="H1281" s="15" t="str">
        <f>IFERROR(_xlfn.XLOOKUP(A1281,'BASE SQL PLANTIO'!B:B,'BASE SQL PLANTIO'!T:T,"verificar",0),"")</f>
        <v/>
      </c>
      <c r="I1281" s="77" t="str">
        <f>IF(_xlfn.MINIFS('BASE SQL PLANTIO'!E:E,'BASE SQL PLANTIO'!B:B,VOOS!A1281)=0/1/1900,"",_xlfn.MINIFS('BASE SQL PLANTIO'!E:E,'BASE SQL PLANTIO'!B:B,VOOS!A1281))</f>
        <v/>
      </c>
      <c r="J1281" s="26"/>
      <c r="K1281" s="34" t="str">
        <f t="shared" si="58"/>
        <v/>
      </c>
      <c r="L1281" s="35" t="str">
        <f t="shared" si="59"/>
        <v/>
      </c>
      <c r="M1281" s="14"/>
      <c r="N1281" s="19"/>
    </row>
    <row r="1282" spans="1:14" ht="15.6" x14ac:dyDescent="0.3">
      <c r="A1282" s="13" t="str">
        <f t="shared" si="57"/>
        <v>-</v>
      </c>
      <c r="B1282" s="27"/>
      <c r="C1282" s="26"/>
      <c r="D1282" s="26"/>
      <c r="E1282" s="26"/>
      <c r="F1282" s="26"/>
      <c r="G1282" s="34">
        <f>SUMIFS('BASE EXEC. Q.L'!N:N,'BASE EXEC. Q.L'!B:B,VOOS!A1282)</f>
        <v>0</v>
      </c>
      <c r="H1282" s="15" t="str">
        <f>IFERROR(_xlfn.XLOOKUP(A1282,'BASE SQL PLANTIO'!B:B,'BASE SQL PLANTIO'!T:T,"verificar",0),"")</f>
        <v/>
      </c>
      <c r="I1282" s="77" t="str">
        <f>IF(_xlfn.MINIFS('BASE SQL PLANTIO'!E:E,'BASE SQL PLANTIO'!B:B,VOOS!A1282)=0/1/1900,"",_xlfn.MINIFS('BASE SQL PLANTIO'!E:E,'BASE SQL PLANTIO'!B:B,VOOS!A1282))</f>
        <v/>
      </c>
      <c r="J1282" s="26"/>
      <c r="K1282" s="34" t="str">
        <f t="shared" si="58"/>
        <v/>
      </c>
      <c r="L1282" s="35" t="str">
        <f t="shared" si="59"/>
        <v/>
      </c>
      <c r="M1282" s="14"/>
      <c r="N1282" s="18"/>
    </row>
    <row r="1283" spans="1:14" ht="15.6" x14ac:dyDescent="0.3">
      <c r="A1283" s="13" t="str">
        <f t="shared" si="57"/>
        <v>-</v>
      </c>
      <c r="B1283" s="27"/>
      <c r="C1283" s="26"/>
      <c r="D1283" s="26"/>
      <c r="E1283" s="26"/>
      <c r="F1283" s="26"/>
      <c r="G1283" s="34">
        <f>SUMIFS('BASE EXEC. Q.L'!N:N,'BASE EXEC. Q.L'!B:B,VOOS!A1283)</f>
        <v>0</v>
      </c>
      <c r="H1283" s="15" t="str">
        <f>IFERROR(_xlfn.XLOOKUP(A1283,'BASE SQL PLANTIO'!B:B,'BASE SQL PLANTIO'!T:T,"verificar",0),"")</f>
        <v/>
      </c>
      <c r="I1283" s="77" t="str">
        <f>IF(_xlfn.MINIFS('BASE SQL PLANTIO'!E:E,'BASE SQL PLANTIO'!B:B,VOOS!A1283)=0/1/1900,"",_xlfn.MINIFS('BASE SQL PLANTIO'!E:E,'BASE SQL PLANTIO'!B:B,VOOS!A1283))</f>
        <v/>
      </c>
      <c r="J1283" s="26"/>
      <c r="K1283" s="34" t="str">
        <f t="shared" si="58"/>
        <v/>
      </c>
      <c r="L1283" s="35" t="str">
        <f t="shared" si="59"/>
        <v/>
      </c>
      <c r="M1283" s="14"/>
      <c r="N1283" s="17"/>
    </row>
    <row r="1284" spans="1:14" ht="15.6" x14ac:dyDescent="0.3">
      <c r="A1284" s="13" t="str">
        <f t="shared" si="57"/>
        <v>-</v>
      </c>
      <c r="B1284" s="27"/>
      <c r="C1284" s="26"/>
      <c r="D1284" s="26"/>
      <c r="E1284" s="26"/>
      <c r="F1284" s="26"/>
      <c r="G1284" s="34">
        <f>SUMIFS('BASE EXEC. Q.L'!N:N,'BASE EXEC. Q.L'!B:B,VOOS!A1284)</f>
        <v>0</v>
      </c>
      <c r="H1284" s="15" t="str">
        <f>IFERROR(_xlfn.XLOOKUP(A1284,'BASE SQL PLANTIO'!B:B,'BASE SQL PLANTIO'!T:T,"verificar",0),"")</f>
        <v/>
      </c>
      <c r="I1284" s="77" t="str">
        <f>IF(_xlfn.MINIFS('BASE SQL PLANTIO'!E:E,'BASE SQL PLANTIO'!B:B,VOOS!A1284)=0/1/1900,"",_xlfn.MINIFS('BASE SQL PLANTIO'!E:E,'BASE SQL PLANTIO'!B:B,VOOS!A1284))</f>
        <v/>
      </c>
      <c r="J1284" s="26"/>
      <c r="K1284" s="34" t="str">
        <f t="shared" si="58"/>
        <v/>
      </c>
      <c r="L1284" s="35" t="str">
        <f t="shared" si="59"/>
        <v/>
      </c>
      <c r="M1284" s="14"/>
      <c r="N1284" s="17"/>
    </row>
    <row r="1285" spans="1:14" ht="15.6" x14ac:dyDescent="0.3">
      <c r="A1285" s="13" t="str">
        <f t="shared" ref="A1285:A1348" si="60">CONCATENATE(B1285,"-",E1285)</f>
        <v>-</v>
      </c>
      <c r="B1285" s="27"/>
      <c r="C1285" s="26"/>
      <c r="D1285" s="26"/>
      <c r="E1285" s="26"/>
      <c r="F1285" s="26"/>
      <c r="G1285" s="34">
        <f>SUMIFS('BASE EXEC. Q.L'!N:N,'BASE EXEC. Q.L'!B:B,VOOS!A1285)</f>
        <v>0</v>
      </c>
      <c r="H1285" s="15" t="str">
        <f>IFERROR(_xlfn.XLOOKUP(A1285,'BASE SQL PLANTIO'!B:B,'BASE SQL PLANTIO'!T:T,"verificar",0),"")</f>
        <v/>
      </c>
      <c r="I1285" s="77" t="str">
        <f>IF(_xlfn.MINIFS('BASE SQL PLANTIO'!E:E,'BASE SQL PLANTIO'!B:B,VOOS!A1285)=0/1/1900,"",_xlfn.MINIFS('BASE SQL PLANTIO'!E:E,'BASE SQL PLANTIO'!B:B,VOOS!A1285))</f>
        <v/>
      </c>
      <c r="J1285" s="26"/>
      <c r="K1285" s="34" t="str">
        <f t="shared" ref="K1285:K1348" si="61">IF(I1285="","",$K$3-I1285)</f>
        <v/>
      </c>
      <c r="L1285" s="35" t="str">
        <f t="shared" ref="L1285:L1348" si="62">K1285</f>
        <v/>
      </c>
      <c r="M1285" s="14"/>
      <c r="N1285" s="17"/>
    </row>
    <row r="1286" spans="1:14" ht="15.6" x14ac:dyDescent="0.3">
      <c r="A1286" s="13" t="str">
        <f t="shared" si="60"/>
        <v>-</v>
      </c>
      <c r="B1286" s="27"/>
      <c r="C1286" s="26"/>
      <c r="D1286" s="26"/>
      <c r="E1286" s="26"/>
      <c r="F1286" s="26"/>
      <c r="G1286" s="34">
        <f>SUMIFS('BASE EXEC. Q.L'!N:N,'BASE EXEC. Q.L'!B:B,VOOS!A1286)</f>
        <v>0</v>
      </c>
      <c r="H1286" s="15" t="str">
        <f>IFERROR(_xlfn.XLOOKUP(A1286,'BASE SQL PLANTIO'!B:B,'BASE SQL PLANTIO'!T:T,"verificar",0),"")</f>
        <v/>
      </c>
      <c r="I1286" s="77" t="str">
        <f>IF(_xlfn.MINIFS('BASE SQL PLANTIO'!E:E,'BASE SQL PLANTIO'!B:B,VOOS!A1286)=0/1/1900,"",_xlfn.MINIFS('BASE SQL PLANTIO'!E:E,'BASE SQL PLANTIO'!B:B,VOOS!A1286))</f>
        <v/>
      </c>
      <c r="J1286" s="26"/>
      <c r="K1286" s="34" t="str">
        <f t="shared" si="61"/>
        <v/>
      </c>
      <c r="L1286" s="35" t="str">
        <f t="shared" si="62"/>
        <v/>
      </c>
      <c r="M1286" s="14"/>
      <c r="N1286" s="17"/>
    </row>
    <row r="1287" spans="1:14" ht="15.6" x14ac:dyDescent="0.3">
      <c r="A1287" s="13" t="str">
        <f t="shared" si="60"/>
        <v>-</v>
      </c>
      <c r="B1287" s="27"/>
      <c r="C1287" s="26"/>
      <c r="D1287" s="26"/>
      <c r="E1287" s="26"/>
      <c r="F1287" s="26"/>
      <c r="G1287" s="34">
        <f>SUMIFS('BASE EXEC. Q.L'!N:N,'BASE EXEC. Q.L'!B:B,VOOS!A1287)</f>
        <v>0</v>
      </c>
      <c r="H1287" s="15" t="str">
        <f>IFERROR(_xlfn.XLOOKUP(A1287,'BASE SQL PLANTIO'!B:B,'BASE SQL PLANTIO'!T:T,"verificar",0),"")</f>
        <v/>
      </c>
      <c r="I1287" s="77" t="str">
        <f>IF(_xlfn.MINIFS('BASE SQL PLANTIO'!E:E,'BASE SQL PLANTIO'!B:B,VOOS!A1287)=0/1/1900,"",_xlfn.MINIFS('BASE SQL PLANTIO'!E:E,'BASE SQL PLANTIO'!B:B,VOOS!A1287))</f>
        <v/>
      </c>
      <c r="J1287" s="26"/>
      <c r="K1287" s="34" t="str">
        <f t="shared" si="61"/>
        <v/>
      </c>
      <c r="L1287" s="35" t="str">
        <f t="shared" si="62"/>
        <v/>
      </c>
      <c r="M1287" s="14"/>
      <c r="N1287" s="18"/>
    </row>
    <row r="1288" spans="1:14" ht="15.6" x14ac:dyDescent="0.3">
      <c r="A1288" s="13" t="str">
        <f t="shared" si="60"/>
        <v>-</v>
      </c>
      <c r="B1288" s="27"/>
      <c r="C1288" s="26"/>
      <c r="D1288" s="26"/>
      <c r="E1288" s="26"/>
      <c r="F1288" s="26"/>
      <c r="G1288" s="34">
        <f>SUMIFS('BASE EXEC. Q.L'!N:N,'BASE EXEC. Q.L'!B:B,VOOS!A1288)</f>
        <v>0</v>
      </c>
      <c r="H1288" s="15" t="str">
        <f>IFERROR(_xlfn.XLOOKUP(A1288,'BASE SQL PLANTIO'!B:B,'BASE SQL PLANTIO'!T:T,"verificar",0),"")</f>
        <v/>
      </c>
      <c r="I1288" s="77" t="str">
        <f>IF(_xlfn.MINIFS('BASE SQL PLANTIO'!E:E,'BASE SQL PLANTIO'!B:B,VOOS!A1288)=0/1/1900,"",_xlfn.MINIFS('BASE SQL PLANTIO'!E:E,'BASE SQL PLANTIO'!B:B,VOOS!A1288))</f>
        <v/>
      </c>
      <c r="J1288" s="26"/>
      <c r="K1288" s="34" t="str">
        <f t="shared" si="61"/>
        <v/>
      </c>
      <c r="L1288" s="35" t="str">
        <f t="shared" si="62"/>
        <v/>
      </c>
      <c r="M1288" s="14"/>
      <c r="N1288" s="16"/>
    </row>
    <row r="1289" spans="1:14" ht="15.6" x14ac:dyDescent="0.3">
      <c r="A1289" s="13" t="str">
        <f t="shared" si="60"/>
        <v>-</v>
      </c>
      <c r="B1289" s="27"/>
      <c r="C1289" s="26"/>
      <c r="D1289" s="26"/>
      <c r="E1289" s="26"/>
      <c r="F1289" s="26"/>
      <c r="G1289" s="34">
        <f>SUMIFS('BASE EXEC. Q.L'!N:N,'BASE EXEC. Q.L'!B:B,VOOS!A1289)</f>
        <v>0</v>
      </c>
      <c r="H1289" s="15" t="str">
        <f>IFERROR(_xlfn.XLOOKUP(A1289,'BASE SQL PLANTIO'!B:B,'BASE SQL PLANTIO'!T:T,"verificar",0),"")</f>
        <v/>
      </c>
      <c r="I1289" s="77" t="str">
        <f>IF(_xlfn.MINIFS('BASE SQL PLANTIO'!E:E,'BASE SQL PLANTIO'!B:B,VOOS!A1289)=0/1/1900,"",_xlfn.MINIFS('BASE SQL PLANTIO'!E:E,'BASE SQL PLANTIO'!B:B,VOOS!A1289))</f>
        <v/>
      </c>
      <c r="J1289" s="26"/>
      <c r="K1289" s="34" t="str">
        <f t="shared" si="61"/>
        <v/>
      </c>
      <c r="L1289" s="35" t="str">
        <f t="shared" si="62"/>
        <v/>
      </c>
      <c r="M1289" s="14"/>
      <c r="N1289" s="16"/>
    </row>
    <row r="1290" spans="1:14" ht="15.6" x14ac:dyDescent="0.3">
      <c r="A1290" s="13" t="str">
        <f t="shared" si="60"/>
        <v>-</v>
      </c>
      <c r="B1290" s="27"/>
      <c r="C1290" s="26"/>
      <c r="D1290" s="26"/>
      <c r="E1290" s="26"/>
      <c r="F1290" s="26"/>
      <c r="G1290" s="34">
        <f>SUMIFS('BASE EXEC. Q.L'!N:N,'BASE EXEC. Q.L'!B:B,VOOS!A1290)</f>
        <v>0</v>
      </c>
      <c r="H1290" s="15" t="str">
        <f>IFERROR(_xlfn.XLOOKUP(A1290,'BASE SQL PLANTIO'!B:B,'BASE SQL PLANTIO'!T:T,"verificar",0),"")</f>
        <v/>
      </c>
      <c r="I1290" s="77" t="str">
        <f>IF(_xlfn.MINIFS('BASE SQL PLANTIO'!E:E,'BASE SQL PLANTIO'!B:B,VOOS!A1290)=0/1/1900,"",_xlfn.MINIFS('BASE SQL PLANTIO'!E:E,'BASE SQL PLANTIO'!B:B,VOOS!A1290))</f>
        <v/>
      </c>
      <c r="J1290" s="26"/>
      <c r="K1290" s="34" t="str">
        <f t="shared" si="61"/>
        <v/>
      </c>
      <c r="L1290" s="35" t="str">
        <f t="shared" si="62"/>
        <v/>
      </c>
      <c r="M1290" s="14"/>
      <c r="N1290" s="15"/>
    </row>
    <row r="1291" spans="1:14" ht="15.6" x14ac:dyDescent="0.3">
      <c r="A1291" s="13" t="str">
        <f t="shared" si="60"/>
        <v>-</v>
      </c>
      <c r="B1291" s="27"/>
      <c r="C1291" s="26"/>
      <c r="D1291" s="26"/>
      <c r="E1291" s="26"/>
      <c r="F1291" s="26"/>
      <c r="G1291" s="34">
        <f>SUMIFS('BASE EXEC. Q.L'!N:N,'BASE EXEC. Q.L'!B:B,VOOS!A1291)</f>
        <v>0</v>
      </c>
      <c r="H1291" s="15" t="str">
        <f>IFERROR(_xlfn.XLOOKUP(A1291,'BASE SQL PLANTIO'!B:B,'BASE SQL PLANTIO'!T:T,"verificar",0),"")</f>
        <v/>
      </c>
      <c r="I1291" s="77" t="str">
        <f>IF(_xlfn.MINIFS('BASE SQL PLANTIO'!E:E,'BASE SQL PLANTIO'!B:B,VOOS!A1291)=0/1/1900,"",_xlfn.MINIFS('BASE SQL PLANTIO'!E:E,'BASE SQL PLANTIO'!B:B,VOOS!A1291))</f>
        <v/>
      </c>
      <c r="J1291" s="26"/>
      <c r="K1291" s="34" t="str">
        <f t="shared" si="61"/>
        <v/>
      </c>
      <c r="L1291" s="35" t="str">
        <f t="shared" si="62"/>
        <v/>
      </c>
      <c r="M1291" s="14"/>
      <c r="N1291" s="16"/>
    </row>
    <row r="1292" spans="1:14" ht="15.6" x14ac:dyDescent="0.3">
      <c r="A1292" s="13" t="str">
        <f t="shared" si="60"/>
        <v>-</v>
      </c>
      <c r="B1292" s="25"/>
      <c r="C1292" s="25"/>
      <c r="D1292" s="25"/>
      <c r="E1292" s="25"/>
      <c r="F1292" s="31"/>
      <c r="G1292" s="34">
        <f>SUMIFS('BASE EXEC. Q.L'!N:N,'BASE EXEC. Q.L'!B:B,VOOS!A1292)</f>
        <v>0</v>
      </c>
      <c r="H1292" s="15" t="str">
        <f>IFERROR(_xlfn.XLOOKUP(A1292,'BASE SQL PLANTIO'!B:B,'BASE SQL PLANTIO'!T:T,"verificar",0),"")</f>
        <v/>
      </c>
      <c r="I1292" s="77" t="str">
        <f>IF(_xlfn.MINIFS('BASE SQL PLANTIO'!E:E,'BASE SQL PLANTIO'!B:B,VOOS!A1292)=0/1/1900,"",_xlfn.MINIFS('BASE SQL PLANTIO'!E:E,'BASE SQL PLANTIO'!B:B,VOOS!A1292))</f>
        <v/>
      </c>
      <c r="J1292" s="26"/>
      <c r="K1292" s="34" t="str">
        <f t="shared" si="61"/>
        <v/>
      </c>
      <c r="L1292" s="35" t="str">
        <f t="shared" si="62"/>
        <v/>
      </c>
      <c r="M1292" s="14"/>
      <c r="N1292" s="16"/>
    </row>
    <row r="1293" spans="1:14" ht="15.6" x14ac:dyDescent="0.3">
      <c r="A1293" s="13" t="str">
        <f t="shared" si="60"/>
        <v>-</v>
      </c>
      <c r="B1293" s="25"/>
      <c r="C1293" s="25"/>
      <c r="D1293" s="25"/>
      <c r="E1293" s="25"/>
      <c r="F1293" s="31"/>
      <c r="G1293" s="34">
        <f>SUMIFS('BASE EXEC. Q.L'!N:N,'BASE EXEC. Q.L'!B:B,VOOS!A1293)</f>
        <v>0</v>
      </c>
      <c r="H1293" s="15" t="str">
        <f>IFERROR(_xlfn.XLOOKUP(A1293,'BASE SQL PLANTIO'!B:B,'BASE SQL PLANTIO'!T:T,"verificar",0),"")</f>
        <v/>
      </c>
      <c r="I1293" s="77" t="str">
        <f>IF(_xlfn.MINIFS('BASE SQL PLANTIO'!E:E,'BASE SQL PLANTIO'!B:B,VOOS!A1293)=0/1/1900,"",_xlfn.MINIFS('BASE SQL PLANTIO'!E:E,'BASE SQL PLANTIO'!B:B,VOOS!A1293))</f>
        <v/>
      </c>
      <c r="J1293" s="26"/>
      <c r="K1293" s="34" t="str">
        <f t="shared" si="61"/>
        <v/>
      </c>
      <c r="L1293" s="35" t="str">
        <f t="shared" si="62"/>
        <v/>
      </c>
      <c r="M1293" s="14"/>
      <c r="N1293" s="15"/>
    </row>
    <row r="1294" spans="1:14" ht="15.6" x14ac:dyDescent="0.3">
      <c r="A1294" s="13" t="str">
        <f t="shared" si="60"/>
        <v>-</v>
      </c>
      <c r="B1294" s="27"/>
      <c r="C1294" s="26"/>
      <c r="D1294" s="26"/>
      <c r="E1294" s="26"/>
      <c r="F1294" s="26"/>
      <c r="G1294" s="34">
        <f>SUMIFS('BASE EXEC. Q.L'!N:N,'BASE EXEC. Q.L'!B:B,VOOS!A1294)</f>
        <v>0</v>
      </c>
      <c r="H1294" s="15" t="str">
        <f>IFERROR(_xlfn.XLOOKUP(A1294,'BASE SQL PLANTIO'!B:B,'BASE SQL PLANTIO'!T:T,"verificar",0),"")</f>
        <v/>
      </c>
      <c r="I1294" s="77" t="str">
        <f>IF(_xlfn.MINIFS('BASE SQL PLANTIO'!E:E,'BASE SQL PLANTIO'!B:B,VOOS!A1294)=0/1/1900,"",_xlfn.MINIFS('BASE SQL PLANTIO'!E:E,'BASE SQL PLANTIO'!B:B,VOOS!A1294))</f>
        <v/>
      </c>
      <c r="J1294" s="26"/>
      <c r="K1294" s="34" t="str">
        <f t="shared" si="61"/>
        <v/>
      </c>
      <c r="L1294" s="35" t="str">
        <f t="shared" si="62"/>
        <v/>
      </c>
      <c r="M1294" s="14"/>
      <c r="N1294" s="16"/>
    </row>
    <row r="1295" spans="1:14" ht="15.6" x14ac:dyDescent="0.3">
      <c r="A1295" s="13" t="str">
        <f t="shared" si="60"/>
        <v>-</v>
      </c>
      <c r="B1295" s="27"/>
      <c r="C1295" s="26"/>
      <c r="D1295" s="26"/>
      <c r="E1295" s="26"/>
      <c r="F1295" s="26"/>
      <c r="G1295" s="34">
        <f>SUMIFS('BASE EXEC. Q.L'!N:N,'BASE EXEC. Q.L'!B:B,VOOS!A1295)</f>
        <v>0</v>
      </c>
      <c r="H1295" s="15" t="str">
        <f>IFERROR(_xlfn.XLOOKUP(A1295,'BASE SQL PLANTIO'!B:B,'BASE SQL PLANTIO'!T:T,"verificar",0),"")</f>
        <v/>
      </c>
      <c r="I1295" s="77" t="str">
        <f>IF(_xlfn.MINIFS('BASE SQL PLANTIO'!E:E,'BASE SQL PLANTIO'!B:B,VOOS!A1295)=0/1/1900,"",_xlfn.MINIFS('BASE SQL PLANTIO'!E:E,'BASE SQL PLANTIO'!B:B,VOOS!A1295))</f>
        <v/>
      </c>
      <c r="J1295" s="26"/>
      <c r="K1295" s="34" t="str">
        <f t="shared" si="61"/>
        <v/>
      </c>
      <c r="L1295" s="35" t="str">
        <f t="shared" si="62"/>
        <v/>
      </c>
      <c r="M1295" s="14"/>
      <c r="N1295" s="16"/>
    </row>
    <row r="1296" spans="1:14" ht="15.6" x14ac:dyDescent="0.3">
      <c r="A1296" s="13" t="str">
        <f t="shared" si="60"/>
        <v>-</v>
      </c>
      <c r="B1296" s="25"/>
      <c r="C1296" s="25"/>
      <c r="D1296" s="25"/>
      <c r="E1296" s="25"/>
      <c r="F1296" s="31"/>
      <c r="G1296" s="34">
        <f>SUMIFS('BASE EXEC. Q.L'!N:N,'BASE EXEC. Q.L'!B:B,VOOS!A1296)</f>
        <v>0</v>
      </c>
      <c r="H1296" s="15" t="str">
        <f>IFERROR(_xlfn.XLOOKUP(A1296,'BASE SQL PLANTIO'!B:B,'BASE SQL PLANTIO'!T:T,"verificar",0),"")</f>
        <v/>
      </c>
      <c r="I1296" s="77" t="str">
        <f>IF(_xlfn.MINIFS('BASE SQL PLANTIO'!E:E,'BASE SQL PLANTIO'!B:B,VOOS!A1296)=0/1/1900,"",_xlfn.MINIFS('BASE SQL PLANTIO'!E:E,'BASE SQL PLANTIO'!B:B,VOOS!A1296))</f>
        <v/>
      </c>
      <c r="J1296" s="26"/>
      <c r="K1296" s="34" t="str">
        <f t="shared" si="61"/>
        <v/>
      </c>
      <c r="L1296" s="35" t="str">
        <f t="shared" si="62"/>
        <v/>
      </c>
      <c r="M1296" s="14"/>
      <c r="N1296" s="16"/>
    </row>
    <row r="1297" spans="1:14" ht="15.6" x14ac:dyDescent="0.3">
      <c r="A1297" s="13" t="str">
        <f t="shared" si="60"/>
        <v>-</v>
      </c>
      <c r="B1297" s="25"/>
      <c r="C1297" s="25"/>
      <c r="D1297" s="25"/>
      <c r="E1297" s="25"/>
      <c r="F1297" s="31"/>
      <c r="G1297" s="34">
        <f>SUMIFS('BASE EXEC. Q.L'!N:N,'BASE EXEC. Q.L'!B:B,VOOS!A1297)</f>
        <v>0</v>
      </c>
      <c r="H1297" s="15" t="str">
        <f>IFERROR(_xlfn.XLOOKUP(A1297,'BASE SQL PLANTIO'!B:B,'BASE SQL PLANTIO'!T:T,"verificar",0),"")</f>
        <v/>
      </c>
      <c r="I1297" s="77" t="str">
        <f>IF(_xlfn.MINIFS('BASE SQL PLANTIO'!E:E,'BASE SQL PLANTIO'!B:B,VOOS!A1297)=0/1/1900,"",_xlfn.MINIFS('BASE SQL PLANTIO'!E:E,'BASE SQL PLANTIO'!B:B,VOOS!A1297))</f>
        <v/>
      </c>
      <c r="J1297" s="26"/>
      <c r="K1297" s="34" t="str">
        <f t="shared" si="61"/>
        <v/>
      </c>
      <c r="L1297" s="35" t="str">
        <f t="shared" si="62"/>
        <v/>
      </c>
      <c r="M1297" s="14"/>
      <c r="N1297" s="16"/>
    </row>
    <row r="1298" spans="1:14" ht="15.6" x14ac:dyDescent="0.3">
      <c r="A1298" s="13" t="str">
        <f t="shared" si="60"/>
        <v>-</v>
      </c>
      <c r="B1298" s="27"/>
      <c r="C1298" s="26"/>
      <c r="D1298" s="26"/>
      <c r="E1298" s="26"/>
      <c r="F1298" s="26"/>
      <c r="G1298" s="34">
        <f>SUMIFS('BASE EXEC. Q.L'!N:N,'BASE EXEC. Q.L'!B:B,VOOS!A1298)</f>
        <v>0</v>
      </c>
      <c r="H1298" s="15" t="str">
        <f>IFERROR(_xlfn.XLOOKUP(A1298,'BASE SQL PLANTIO'!B:B,'BASE SQL PLANTIO'!T:T,"verificar",0),"")</f>
        <v/>
      </c>
      <c r="I1298" s="77" t="str">
        <f>IF(_xlfn.MINIFS('BASE SQL PLANTIO'!E:E,'BASE SQL PLANTIO'!B:B,VOOS!A1298)=0/1/1900,"",_xlfn.MINIFS('BASE SQL PLANTIO'!E:E,'BASE SQL PLANTIO'!B:B,VOOS!A1298))</f>
        <v/>
      </c>
      <c r="J1298" s="26"/>
      <c r="K1298" s="34" t="str">
        <f t="shared" si="61"/>
        <v/>
      </c>
      <c r="L1298" s="35" t="str">
        <f t="shared" si="62"/>
        <v/>
      </c>
      <c r="M1298" s="14"/>
      <c r="N1298" s="16"/>
    </row>
    <row r="1299" spans="1:14" ht="15.6" x14ac:dyDescent="0.3">
      <c r="A1299" s="13" t="str">
        <f t="shared" si="60"/>
        <v>-</v>
      </c>
      <c r="B1299" s="25"/>
      <c r="C1299" s="25"/>
      <c r="D1299" s="25"/>
      <c r="E1299" s="25"/>
      <c r="F1299" s="31"/>
      <c r="G1299" s="34">
        <f>SUMIFS('BASE EXEC. Q.L'!N:N,'BASE EXEC. Q.L'!B:B,VOOS!A1299)</f>
        <v>0</v>
      </c>
      <c r="H1299" s="15" t="str">
        <f>IFERROR(_xlfn.XLOOKUP(A1299,'BASE SQL PLANTIO'!B:B,'BASE SQL PLANTIO'!T:T,"verificar",0),"")</f>
        <v/>
      </c>
      <c r="I1299" s="77" t="str">
        <f>IF(_xlfn.MINIFS('BASE SQL PLANTIO'!E:E,'BASE SQL PLANTIO'!B:B,VOOS!A1299)=0/1/1900,"",_xlfn.MINIFS('BASE SQL PLANTIO'!E:E,'BASE SQL PLANTIO'!B:B,VOOS!A1299))</f>
        <v/>
      </c>
      <c r="J1299" s="26"/>
      <c r="K1299" s="34" t="str">
        <f t="shared" si="61"/>
        <v/>
      </c>
      <c r="L1299" s="35" t="str">
        <f t="shared" si="62"/>
        <v/>
      </c>
      <c r="M1299" s="14"/>
      <c r="N1299" s="16"/>
    </row>
    <row r="1300" spans="1:14" ht="15.6" x14ac:dyDescent="0.3">
      <c r="A1300" s="13" t="str">
        <f t="shared" si="60"/>
        <v>-</v>
      </c>
      <c r="B1300" s="25"/>
      <c r="C1300" s="25"/>
      <c r="D1300" s="25"/>
      <c r="E1300" s="25"/>
      <c r="F1300" s="31"/>
      <c r="G1300" s="34">
        <f>SUMIFS('BASE EXEC. Q.L'!N:N,'BASE EXEC. Q.L'!B:B,VOOS!A1300)</f>
        <v>0</v>
      </c>
      <c r="H1300" s="15" t="str">
        <f>IFERROR(_xlfn.XLOOKUP(A1300,'BASE SQL PLANTIO'!B:B,'BASE SQL PLANTIO'!T:T,"verificar",0),"")</f>
        <v/>
      </c>
      <c r="I1300" s="77" t="str">
        <f>IF(_xlfn.MINIFS('BASE SQL PLANTIO'!E:E,'BASE SQL PLANTIO'!B:B,VOOS!A1300)=0/1/1900,"",_xlfn.MINIFS('BASE SQL PLANTIO'!E:E,'BASE SQL PLANTIO'!B:B,VOOS!A1300))</f>
        <v/>
      </c>
      <c r="J1300" s="26"/>
      <c r="K1300" s="34" t="str">
        <f t="shared" si="61"/>
        <v/>
      </c>
      <c r="L1300" s="35" t="str">
        <f t="shared" si="62"/>
        <v/>
      </c>
      <c r="M1300" s="14"/>
      <c r="N1300" s="16"/>
    </row>
    <row r="1301" spans="1:14" ht="15.6" x14ac:dyDescent="0.3">
      <c r="A1301" s="13" t="str">
        <f t="shared" si="60"/>
        <v>-</v>
      </c>
      <c r="B1301" s="27"/>
      <c r="C1301" s="26"/>
      <c r="D1301" s="26"/>
      <c r="E1301" s="26"/>
      <c r="F1301" s="26"/>
      <c r="G1301" s="34">
        <f>SUMIFS('BASE EXEC. Q.L'!N:N,'BASE EXEC. Q.L'!B:B,VOOS!A1301)</f>
        <v>0</v>
      </c>
      <c r="H1301" s="15" t="str">
        <f>IFERROR(_xlfn.XLOOKUP(A1301,'BASE SQL PLANTIO'!B:B,'BASE SQL PLANTIO'!T:T,"verificar",0),"")</f>
        <v/>
      </c>
      <c r="I1301" s="77" t="str">
        <f>IF(_xlfn.MINIFS('BASE SQL PLANTIO'!E:E,'BASE SQL PLANTIO'!B:B,VOOS!A1301)=0/1/1900,"",_xlfn.MINIFS('BASE SQL PLANTIO'!E:E,'BASE SQL PLANTIO'!B:B,VOOS!A1301))</f>
        <v/>
      </c>
      <c r="J1301" s="26"/>
      <c r="K1301" s="34" t="str">
        <f t="shared" si="61"/>
        <v/>
      </c>
      <c r="L1301" s="35" t="str">
        <f t="shared" si="62"/>
        <v/>
      </c>
      <c r="M1301" s="14"/>
      <c r="N1301" s="16"/>
    </row>
    <row r="1302" spans="1:14" ht="15.6" x14ac:dyDescent="0.3">
      <c r="A1302" s="13" t="str">
        <f t="shared" si="60"/>
        <v>-</v>
      </c>
      <c r="B1302" s="27"/>
      <c r="C1302" s="26"/>
      <c r="D1302" s="26"/>
      <c r="E1302" s="26"/>
      <c r="F1302" s="26"/>
      <c r="G1302" s="34">
        <f>SUMIFS('BASE EXEC. Q.L'!N:N,'BASE EXEC. Q.L'!B:B,VOOS!A1302)</f>
        <v>0</v>
      </c>
      <c r="H1302" s="15" t="str">
        <f>IFERROR(_xlfn.XLOOKUP(A1302,'BASE SQL PLANTIO'!B:B,'BASE SQL PLANTIO'!T:T,"verificar",0),"")</f>
        <v/>
      </c>
      <c r="I1302" s="77" t="str">
        <f>IF(_xlfn.MINIFS('BASE SQL PLANTIO'!E:E,'BASE SQL PLANTIO'!B:B,VOOS!A1302)=0/1/1900,"",_xlfn.MINIFS('BASE SQL PLANTIO'!E:E,'BASE SQL PLANTIO'!B:B,VOOS!A1302))</f>
        <v/>
      </c>
      <c r="J1302" s="26"/>
      <c r="K1302" s="34" t="str">
        <f t="shared" si="61"/>
        <v/>
      </c>
      <c r="L1302" s="35" t="str">
        <f t="shared" si="62"/>
        <v/>
      </c>
      <c r="M1302" s="14"/>
      <c r="N1302" s="16"/>
    </row>
    <row r="1303" spans="1:14" ht="15.6" x14ac:dyDescent="0.3">
      <c r="A1303" s="13" t="str">
        <f t="shared" si="60"/>
        <v>-</v>
      </c>
      <c r="B1303" s="25"/>
      <c r="C1303" s="25"/>
      <c r="D1303" s="25"/>
      <c r="E1303" s="25"/>
      <c r="F1303" s="31"/>
      <c r="G1303" s="34">
        <f>SUMIFS('BASE EXEC. Q.L'!N:N,'BASE EXEC. Q.L'!B:B,VOOS!A1303)</f>
        <v>0</v>
      </c>
      <c r="H1303" s="15" t="str">
        <f>IFERROR(_xlfn.XLOOKUP(A1303,'BASE SQL PLANTIO'!B:B,'BASE SQL PLANTIO'!T:T,"verificar",0),"")</f>
        <v/>
      </c>
      <c r="I1303" s="77" t="str">
        <f>IF(_xlfn.MINIFS('BASE SQL PLANTIO'!E:E,'BASE SQL PLANTIO'!B:B,VOOS!A1303)=0/1/1900,"",_xlfn.MINIFS('BASE SQL PLANTIO'!E:E,'BASE SQL PLANTIO'!B:B,VOOS!A1303))</f>
        <v/>
      </c>
      <c r="J1303" s="26"/>
      <c r="K1303" s="34" t="str">
        <f t="shared" si="61"/>
        <v/>
      </c>
      <c r="L1303" s="35" t="str">
        <f t="shared" si="62"/>
        <v/>
      </c>
      <c r="M1303" s="14"/>
      <c r="N1303" s="16"/>
    </row>
    <row r="1304" spans="1:14" ht="15.6" x14ac:dyDescent="0.3">
      <c r="A1304" s="13" t="str">
        <f t="shared" si="60"/>
        <v>-</v>
      </c>
      <c r="B1304" s="25"/>
      <c r="C1304" s="25"/>
      <c r="D1304" s="25"/>
      <c r="E1304" s="25"/>
      <c r="F1304" s="31"/>
      <c r="G1304" s="34">
        <f>SUMIFS('BASE EXEC. Q.L'!N:N,'BASE EXEC. Q.L'!B:B,VOOS!A1304)</f>
        <v>0</v>
      </c>
      <c r="H1304" s="15" t="str">
        <f>IFERROR(_xlfn.XLOOKUP(A1304,'BASE SQL PLANTIO'!B:B,'BASE SQL PLANTIO'!T:T,"verificar",0),"")</f>
        <v/>
      </c>
      <c r="I1304" s="77" t="str">
        <f>IF(_xlfn.MINIFS('BASE SQL PLANTIO'!E:E,'BASE SQL PLANTIO'!B:B,VOOS!A1304)=0/1/1900,"",_xlfn.MINIFS('BASE SQL PLANTIO'!E:E,'BASE SQL PLANTIO'!B:B,VOOS!A1304))</f>
        <v/>
      </c>
      <c r="J1304" s="26"/>
      <c r="K1304" s="34" t="str">
        <f t="shared" si="61"/>
        <v/>
      </c>
      <c r="L1304" s="35" t="str">
        <f t="shared" si="62"/>
        <v/>
      </c>
      <c r="M1304" s="14"/>
      <c r="N1304" s="16"/>
    </row>
    <row r="1305" spans="1:14" ht="15.6" x14ac:dyDescent="0.3">
      <c r="A1305" s="13" t="str">
        <f t="shared" si="60"/>
        <v>-</v>
      </c>
      <c r="B1305" s="25"/>
      <c r="C1305" s="25"/>
      <c r="D1305" s="25"/>
      <c r="E1305" s="25"/>
      <c r="F1305" s="31"/>
      <c r="G1305" s="34">
        <f>SUMIFS('BASE EXEC. Q.L'!N:N,'BASE EXEC. Q.L'!B:B,VOOS!A1305)</f>
        <v>0</v>
      </c>
      <c r="H1305" s="15" t="str">
        <f>IFERROR(_xlfn.XLOOKUP(A1305,'BASE SQL PLANTIO'!B:B,'BASE SQL PLANTIO'!T:T,"verificar",0),"")</f>
        <v/>
      </c>
      <c r="I1305" s="77" t="str">
        <f>IF(_xlfn.MINIFS('BASE SQL PLANTIO'!E:E,'BASE SQL PLANTIO'!B:B,VOOS!A1305)=0/1/1900,"",_xlfn.MINIFS('BASE SQL PLANTIO'!E:E,'BASE SQL PLANTIO'!B:B,VOOS!A1305))</f>
        <v/>
      </c>
      <c r="J1305" s="26"/>
      <c r="K1305" s="34" t="str">
        <f t="shared" si="61"/>
        <v/>
      </c>
      <c r="L1305" s="35" t="str">
        <f t="shared" si="62"/>
        <v/>
      </c>
      <c r="M1305" s="14"/>
      <c r="N1305" s="15"/>
    </row>
    <row r="1306" spans="1:14" ht="15.6" x14ac:dyDescent="0.3">
      <c r="A1306" s="13" t="str">
        <f t="shared" si="60"/>
        <v>-</v>
      </c>
      <c r="B1306" s="27"/>
      <c r="C1306" s="26"/>
      <c r="D1306" s="26"/>
      <c r="E1306" s="26"/>
      <c r="F1306" s="26"/>
      <c r="G1306" s="34">
        <f>SUMIFS('BASE EXEC. Q.L'!N:N,'BASE EXEC. Q.L'!B:B,VOOS!A1306)</f>
        <v>0</v>
      </c>
      <c r="H1306" s="15" t="str">
        <f>IFERROR(_xlfn.XLOOKUP(A1306,'BASE SQL PLANTIO'!B:B,'BASE SQL PLANTIO'!T:T,"verificar",0),"")</f>
        <v/>
      </c>
      <c r="I1306" s="77" t="str">
        <f>IF(_xlfn.MINIFS('BASE SQL PLANTIO'!E:E,'BASE SQL PLANTIO'!B:B,VOOS!A1306)=0/1/1900,"",_xlfn.MINIFS('BASE SQL PLANTIO'!E:E,'BASE SQL PLANTIO'!B:B,VOOS!A1306))</f>
        <v/>
      </c>
      <c r="J1306" s="26"/>
      <c r="K1306" s="34" t="str">
        <f t="shared" si="61"/>
        <v/>
      </c>
      <c r="L1306" s="35" t="str">
        <f t="shared" si="62"/>
        <v/>
      </c>
      <c r="M1306" s="14"/>
      <c r="N1306" s="16"/>
    </row>
    <row r="1307" spans="1:14" ht="15.6" x14ac:dyDescent="0.3">
      <c r="A1307" s="13" t="str">
        <f t="shared" si="60"/>
        <v>-</v>
      </c>
      <c r="B1307" s="27"/>
      <c r="C1307" s="26"/>
      <c r="D1307" s="26"/>
      <c r="E1307" s="26"/>
      <c r="F1307" s="26"/>
      <c r="G1307" s="34">
        <f>SUMIFS('BASE EXEC. Q.L'!N:N,'BASE EXEC. Q.L'!B:B,VOOS!A1307)</f>
        <v>0</v>
      </c>
      <c r="H1307" s="15" t="str">
        <f>IFERROR(_xlfn.XLOOKUP(A1307,'BASE SQL PLANTIO'!B:B,'BASE SQL PLANTIO'!T:T,"verificar",0),"")</f>
        <v/>
      </c>
      <c r="I1307" s="77" t="str">
        <f>IF(_xlfn.MINIFS('BASE SQL PLANTIO'!E:E,'BASE SQL PLANTIO'!B:B,VOOS!A1307)=0/1/1900,"",_xlfn.MINIFS('BASE SQL PLANTIO'!E:E,'BASE SQL PLANTIO'!B:B,VOOS!A1307))</f>
        <v/>
      </c>
      <c r="J1307" s="26"/>
      <c r="K1307" s="34" t="str">
        <f t="shared" si="61"/>
        <v/>
      </c>
      <c r="L1307" s="35" t="str">
        <f t="shared" si="62"/>
        <v/>
      </c>
      <c r="M1307" s="14"/>
      <c r="N1307" s="16"/>
    </row>
    <row r="1308" spans="1:14" ht="15.6" x14ac:dyDescent="0.3">
      <c r="A1308" s="13" t="str">
        <f t="shared" si="60"/>
        <v>-</v>
      </c>
      <c r="B1308" s="27"/>
      <c r="C1308" s="26"/>
      <c r="D1308" s="26"/>
      <c r="E1308" s="26"/>
      <c r="F1308" s="26"/>
      <c r="G1308" s="34">
        <f>SUMIFS('BASE EXEC. Q.L'!N:N,'BASE EXEC. Q.L'!B:B,VOOS!A1308)</f>
        <v>0</v>
      </c>
      <c r="H1308" s="15" t="str">
        <f>IFERROR(_xlfn.XLOOKUP(A1308,'BASE SQL PLANTIO'!B:B,'BASE SQL PLANTIO'!T:T,"verificar",0),"")</f>
        <v/>
      </c>
      <c r="I1308" s="77" t="str">
        <f>IF(_xlfn.MINIFS('BASE SQL PLANTIO'!E:E,'BASE SQL PLANTIO'!B:B,VOOS!A1308)=0/1/1900,"",_xlfn.MINIFS('BASE SQL PLANTIO'!E:E,'BASE SQL PLANTIO'!B:B,VOOS!A1308))</f>
        <v/>
      </c>
      <c r="J1308" s="26"/>
      <c r="K1308" s="34" t="str">
        <f t="shared" si="61"/>
        <v/>
      </c>
      <c r="L1308" s="35" t="str">
        <f t="shared" si="62"/>
        <v/>
      </c>
      <c r="M1308" s="14"/>
      <c r="N1308" s="16"/>
    </row>
    <row r="1309" spans="1:14" ht="15.6" x14ac:dyDescent="0.3">
      <c r="A1309" s="13" t="str">
        <f t="shared" si="60"/>
        <v>-</v>
      </c>
      <c r="B1309" s="25"/>
      <c r="C1309" s="25"/>
      <c r="D1309" s="25"/>
      <c r="E1309" s="25"/>
      <c r="F1309" s="31"/>
      <c r="G1309" s="34">
        <f>SUMIFS('BASE EXEC. Q.L'!N:N,'BASE EXEC. Q.L'!B:B,VOOS!A1309)</f>
        <v>0</v>
      </c>
      <c r="H1309" s="15" t="str">
        <f>IFERROR(_xlfn.XLOOKUP(A1309,'BASE SQL PLANTIO'!B:B,'BASE SQL PLANTIO'!T:T,"verificar",0),"")</f>
        <v/>
      </c>
      <c r="I1309" s="77" t="str">
        <f>IF(_xlfn.MINIFS('BASE SQL PLANTIO'!E:E,'BASE SQL PLANTIO'!B:B,VOOS!A1309)=0/1/1900,"",_xlfn.MINIFS('BASE SQL PLANTIO'!E:E,'BASE SQL PLANTIO'!B:B,VOOS!A1309))</f>
        <v/>
      </c>
      <c r="J1309" s="26"/>
      <c r="K1309" s="34" t="str">
        <f t="shared" si="61"/>
        <v/>
      </c>
      <c r="L1309" s="35" t="str">
        <f t="shared" si="62"/>
        <v/>
      </c>
      <c r="M1309" s="14"/>
      <c r="N1309" s="16"/>
    </row>
    <row r="1310" spans="1:14" ht="15.6" x14ac:dyDescent="0.3">
      <c r="A1310" s="13" t="str">
        <f t="shared" si="60"/>
        <v>-</v>
      </c>
      <c r="B1310" s="25"/>
      <c r="C1310" s="25"/>
      <c r="D1310" s="25"/>
      <c r="E1310" s="25"/>
      <c r="F1310" s="31"/>
      <c r="G1310" s="34">
        <f>SUMIFS('BASE EXEC. Q.L'!N:N,'BASE EXEC. Q.L'!B:B,VOOS!A1310)</f>
        <v>0</v>
      </c>
      <c r="H1310" s="15" t="str">
        <f>IFERROR(_xlfn.XLOOKUP(A1310,'BASE SQL PLANTIO'!B:B,'BASE SQL PLANTIO'!T:T,"verificar",0),"")</f>
        <v/>
      </c>
      <c r="I1310" s="77" t="str">
        <f>IF(_xlfn.MINIFS('BASE SQL PLANTIO'!E:E,'BASE SQL PLANTIO'!B:B,VOOS!A1310)=0/1/1900,"",_xlfn.MINIFS('BASE SQL PLANTIO'!E:E,'BASE SQL PLANTIO'!B:B,VOOS!A1310))</f>
        <v/>
      </c>
      <c r="J1310" s="26"/>
      <c r="K1310" s="34" t="str">
        <f t="shared" si="61"/>
        <v/>
      </c>
      <c r="L1310" s="35" t="str">
        <f t="shared" si="62"/>
        <v/>
      </c>
      <c r="M1310" s="14"/>
      <c r="N1310" s="15"/>
    </row>
    <row r="1311" spans="1:14" ht="15.6" x14ac:dyDescent="0.3">
      <c r="A1311" s="13" t="str">
        <f t="shared" si="60"/>
        <v>-</v>
      </c>
      <c r="B1311" s="25"/>
      <c r="C1311" s="25"/>
      <c r="D1311" s="25"/>
      <c r="E1311" s="25"/>
      <c r="F1311" s="31"/>
      <c r="G1311" s="34">
        <f>SUMIFS('BASE EXEC. Q.L'!N:N,'BASE EXEC. Q.L'!B:B,VOOS!A1311)</f>
        <v>0</v>
      </c>
      <c r="H1311" s="15" t="str">
        <f>IFERROR(_xlfn.XLOOKUP(A1311,'BASE SQL PLANTIO'!B:B,'BASE SQL PLANTIO'!T:T,"verificar",0),"")</f>
        <v/>
      </c>
      <c r="I1311" s="77" t="str">
        <f>IF(_xlfn.MINIFS('BASE SQL PLANTIO'!E:E,'BASE SQL PLANTIO'!B:B,VOOS!A1311)=0/1/1900,"",_xlfn.MINIFS('BASE SQL PLANTIO'!E:E,'BASE SQL PLANTIO'!B:B,VOOS!A1311))</f>
        <v/>
      </c>
      <c r="J1311" s="26"/>
      <c r="K1311" s="34" t="str">
        <f t="shared" si="61"/>
        <v/>
      </c>
      <c r="L1311" s="35" t="str">
        <f t="shared" si="62"/>
        <v/>
      </c>
      <c r="M1311" s="14"/>
      <c r="N1311" s="16"/>
    </row>
    <row r="1312" spans="1:14" ht="15.6" x14ac:dyDescent="0.3">
      <c r="A1312" s="13" t="str">
        <f t="shared" si="60"/>
        <v>-</v>
      </c>
      <c r="B1312" s="27"/>
      <c r="C1312" s="26"/>
      <c r="D1312" s="26"/>
      <c r="E1312" s="26"/>
      <c r="F1312" s="26"/>
      <c r="G1312" s="34">
        <f>SUMIFS('BASE EXEC. Q.L'!N:N,'BASE EXEC. Q.L'!B:B,VOOS!A1312)</f>
        <v>0</v>
      </c>
      <c r="H1312" s="15" t="str">
        <f>IFERROR(_xlfn.XLOOKUP(A1312,'BASE SQL PLANTIO'!B:B,'BASE SQL PLANTIO'!T:T,"verificar",0),"")</f>
        <v/>
      </c>
      <c r="I1312" s="77" t="str">
        <f>IF(_xlfn.MINIFS('BASE SQL PLANTIO'!E:E,'BASE SQL PLANTIO'!B:B,VOOS!A1312)=0/1/1900,"",_xlfn.MINIFS('BASE SQL PLANTIO'!E:E,'BASE SQL PLANTIO'!B:B,VOOS!A1312))</f>
        <v/>
      </c>
      <c r="J1312" s="26"/>
      <c r="K1312" s="34" t="str">
        <f t="shared" si="61"/>
        <v/>
      </c>
      <c r="L1312" s="35" t="str">
        <f t="shared" si="62"/>
        <v/>
      </c>
      <c r="M1312" s="14"/>
      <c r="N1312" s="16"/>
    </row>
    <row r="1313" spans="1:14" ht="15.6" x14ac:dyDescent="0.3">
      <c r="A1313" s="13" t="str">
        <f t="shared" si="60"/>
        <v>-</v>
      </c>
      <c r="B1313" s="27"/>
      <c r="C1313" s="26"/>
      <c r="D1313" s="26"/>
      <c r="E1313" s="26"/>
      <c r="F1313" s="26"/>
      <c r="G1313" s="34">
        <f>SUMIFS('BASE EXEC. Q.L'!N:N,'BASE EXEC. Q.L'!B:B,VOOS!A1313)</f>
        <v>0</v>
      </c>
      <c r="H1313" s="15" t="str">
        <f>IFERROR(_xlfn.XLOOKUP(A1313,'BASE SQL PLANTIO'!B:B,'BASE SQL PLANTIO'!T:T,"verificar",0),"")</f>
        <v/>
      </c>
      <c r="I1313" s="77" t="str">
        <f>IF(_xlfn.MINIFS('BASE SQL PLANTIO'!E:E,'BASE SQL PLANTIO'!B:B,VOOS!A1313)=0/1/1900,"",_xlfn.MINIFS('BASE SQL PLANTIO'!E:E,'BASE SQL PLANTIO'!B:B,VOOS!A1313))</f>
        <v/>
      </c>
      <c r="J1313" s="26"/>
      <c r="K1313" s="34" t="str">
        <f t="shared" si="61"/>
        <v/>
      </c>
      <c r="L1313" s="35" t="str">
        <f t="shared" si="62"/>
        <v/>
      </c>
      <c r="M1313" s="14"/>
      <c r="N1313" s="15"/>
    </row>
    <row r="1314" spans="1:14" ht="15.6" x14ac:dyDescent="0.3">
      <c r="A1314" s="13" t="str">
        <f t="shared" si="60"/>
        <v>-</v>
      </c>
      <c r="B1314" s="25"/>
      <c r="C1314" s="25"/>
      <c r="D1314" s="25"/>
      <c r="E1314" s="25"/>
      <c r="F1314" s="31"/>
      <c r="G1314" s="34">
        <f>SUMIFS('BASE EXEC. Q.L'!N:N,'BASE EXEC. Q.L'!B:B,VOOS!A1314)</f>
        <v>0</v>
      </c>
      <c r="H1314" s="15" t="str">
        <f>IFERROR(_xlfn.XLOOKUP(A1314,'BASE SQL PLANTIO'!B:B,'BASE SQL PLANTIO'!T:T,"verificar",0),"")</f>
        <v/>
      </c>
      <c r="I1314" s="77" t="str">
        <f>IF(_xlfn.MINIFS('BASE SQL PLANTIO'!E:E,'BASE SQL PLANTIO'!B:B,VOOS!A1314)=0/1/1900,"",_xlfn.MINIFS('BASE SQL PLANTIO'!E:E,'BASE SQL PLANTIO'!B:B,VOOS!A1314))</f>
        <v/>
      </c>
      <c r="J1314" s="26"/>
      <c r="K1314" s="34" t="str">
        <f t="shared" si="61"/>
        <v/>
      </c>
      <c r="L1314" s="35" t="str">
        <f t="shared" si="62"/>
        <v/>
      </c>
      <c r="M1314" s="14"/>
      <c r="N1314" s="16"/>
    </row>
    <row r="1315" spans="1:14" ht="15.6" x14ac:dyDescent="0.3">
      <c r="A1315" s="13" t="str">
        <f t="shared" si="60"/>
        <v>-</v>
      </c>
      <c r="B1315" s="25"/>
      <c r="C1315" s="25"/>
      <c r="D1315" s="25"/>
      <c r="E1315" s="25"/>
      <c r="F1315" s="31"/>
      <c r="G1315" s="34">
        <f>SUMIFS('BASE EXEC. Q.L'!N:N,'BASE EXEC. Q.L'!B:B,VOOS!A1315)</f>
        <v>0</v>
      </c>
      <c r="H1315" s="15" t="str">
        <f>IFERROR(_xlfn.XLOOKUP(A1315,'BASE SQL PLANTIO'!B:B,'BASE SQL PLANTIO'!T:T,"verificar",0),"")</f>
        <v/>
      </c>
      <c r="I1315" s="77" t="str">
        <f>IF(_xlfn.MINIFS('BASE SQL PLANTIO'!E:E,'BASE SQL PLANTIO'!B:B,VOOS!A1315)=0/1/1900,"",_xlfn.MINIFS('BASE SQL PLANTIO'!E:E,'BASE SQL PLANTIO'!B:B,VOOS!A1315))</f>
        <v/>
      </c>
      <c r="J1315" s="26"/>
      <c r="K1315" s="34" t="str">
        <f t="shared" si="61"/>
        <v/>
      </c>
      <c r="L1315" s="35" t="str">
        <f t="shared" si="62"/>
        <v/>
      </c>
      <c r="M1315" s="14"/>
      <c r="N1315" s="16"/>
    </row>
    <row r="1316" spans="1:14" ht="15.6" x14ac:dyDescent="0.3">
      <c r="A1316" s="13" t="str">
        <f t="shared" si="60"/>
        <v>-</v>
      </c>
      <c r="B1316" s="25"/>
      <c r="C1316" s="25"/>
      <c r="D1316" s="25"/>
      <c r="E1316" s="25"/>
      <c r="F1316" s="31"/>
      <c r="G1316" s="34">
        <f>SUMIFS('BASE EXEC. Q.L'!N:N,'BASE EXEC. Q.L'!B:B,VOOS!A1316)</f>
        <v>0</v>
      </c>
      <c r="H1316" s="15" t="str">
        <f>IFERROR(_xlfn.XLOOKUP(A1316,'BASE SQL PLANTIO'!B:B,'BASE SQL PLANTIO'!T:T,"verificar",0),"")</f>
        <v/>
      </c>
      <c r="I1316" s="77" t="str">
        <f>IF(_xlfn.MINIFS('BASE SQL PLANTIO'!E:E,'BASE SQL PLANTIO'!B:B,VOOS!A1316)=0/1/1900,"",_xlfn.MINIFS('BASE SQL PLANTIO'!E:E,'BASE SQL PLANTIO'!B:B,VOOS!A1316))</f>
        <v/>
      </c>
      <c r="J1316" s="26"/>
      <c r="K1316" s="34" t="str">
        <f t="shared" si="61"/>
        <v/>
      </c>
      <c r="L1316" s="35" t="str">
        <f t="shared" si="62"/>
        <v/>
      </c>
      <c r="M1316" s="14"/>
      <c r="N1316" s="16"/>
    </row>
    <row r="1317" spans="1:14" ht="15.6" x14ac:dyDescent="0.3">
      <c r="A1317" s="13" t="str">
        <f t="shared" si="60"/>
        <v>-</v>
      </c>
      <c r="B1317" s="25"/>
      <c r="C1317" s="25"/>
      <c r="D1317" s="25"/>
      <c r="E1317" s="25"/>
      <c r="F1317" s="31"/>
      <c r="G1317" s="34">
        <f>SUMIFS('BASE EXEC. Q.L'!N:N,'BASE EXEC. Q.L'!B:B,VOOS!A1317)</f>
        <v>0</v>
      </c>
      <c r="H1317" s="15" t="str">
        <f>IFERROR(_xlfn.XLOOKUP(A1317,'BASE SQL PLANTIO'!B:B,'BASE SQL PLANTIO'!T:T,"verificar",0),"")</f>
        <v/>
      </c>
      <c r="I1317" s="77" t="str">
        <f>IF(_xlfn.MINIFS('BASE SQL PLANTIO'!E:E,'BASE SQL PLANTIO'!B:B,VOOS!A1317)=0/1/1900,"",_xlfn.MINIFS('BASE SQL PLANTIO'!E:E,'BASE SQL PLANTIO'!B:B,VOOS!A1317))</f>
        <v/>
      </c>
      <c r="J1317" s="26"/>
      <c r="K1317" s="34" t="str">
        <f t="shared" si="61"/>
        <v/>
      </c>
      <c r="L1317" s="35" t="str">
        <f t="shared" si="62"/>
        <v/>
      </c>
      <c r="M1317" s="14"/>
      <c r="N1317" s="16"/>
    </row>
    <row r="1318" spans="1:14" ht="15.6" x14ac:dyDescent="0.3">
      <c r="A1318" s="13" t="str">
        <f t="shared" si="60"/>
        <v>-</v>
      </c>
      <c r="B1318" s="25"/>
      <c r="C1318" s="25"/>
      <c r="D1318" s="25"/>
      <c r="E1318" s="25"/>
      <c r="F1318" s="31"/>
      <c r="G1318" s="34">
        <f>SUMIFS('BASE EXEC. Q.L'!N:N,'BASE EXEC. Q.L'!B:B,VOOS!A1318)</f>
        <v>0</v>
      </c>
      <c r="H1318" s="15" t="str">
        <f>IFERROR(_xlfn.XLOOKUP(A1318,'BASE SQL PLANTIO'!B:B,'BASE SQL PLANTIO'!T:T,"verificar",0),"")</f>
        <v/>
      </c>
      <c r="I1318" s="77" t="str">
        <f>IF(_xlfn.MINIFS('BASE SQL PLANTIO'!E:E,'BASE SQL PLANTIO'!B:B,VOOS!A1318)=0/1/1900,"",_xlfn.MINIFS('BASE SQL PLANTIO'!E:E,'BASE SQL PLANTIO'!B:B,VOOS!A1318))</f>
        <v/>
      </c>
      <c r="J1318" s="26"/>
      <c r="K1318" s="34" t="str">
        <f t="shared" si="61"/>
        <v/>
      </c>
      <c r="L1318" s="35" t="str">
        <f t="shared" si="62"/>
        <v/>
      </c>
      <c r="M1318" s="14"/>
      <c r="N1318" s="15"/>
    </row>
    <row r="1319" spans="1:14" ht="15.6" x14ac:dyDescent="0.3">
      <c r="A1319" s="13" t="str">
        <f t="shared" si="60"/>
        <v>-</v>
      </c>
      <c r="B1319" s="27"/>
      <c r="C1319" s="26"/>
      <c r="D1319" s="26"/>
      <c r="E1319" s="26"/>
      <c r="F1319" s="26"/>
      <c r="G1319" s="34">
        <f>SUMIFS('BASE EXEC. Q.L'!N:N,'BASE EXEC. Q.L'!B:B,VOOS!A1319)</f>
        <v>0</v>
      </c>
      <c r="H1319" s="15" t="str">
        <f>IFERROR(_xlfn.XLOOKUP(A1319,'BASE SQL PLANTIO'!B:B,'BASE SQL PLANTIO'!T:T,"verificar",0),"")</f>
        <v/>
      </c>
      <c r="I1319" s="77" t="str">
        <f>IF(_xlfn.MINIFS('BASE SQL PLANTIO'!E:E,'BASE SQL PLANTIO'!B:B,VOOS!A1319)=0/1/1900,"",_xlfn.MINIFS('BASE SQL PLANTIO'!E:E,'BASE SQL PLANTIO'!B:B,VOOS!A1319))</f>
        <v/>
      </c>
      <c r="J1319" s="26"/>
      <c r="K1319" s="34" t="str">
        <f t="shared" si="61"/>
        <v/>
      </c>
      <c r="L1319" s="35" t="str">
        <f t="shared" si="62"/>
        <v/>
      </c>
      <c r="M1319" s="14"/>
      <c r="N1319" s="16"/>
    </row>
    <row r="1320" spans="1:14" ht="15.6" x14ac:dyDescent="0.3">
      <c r="A1320" s="13" t="str">
        <f t="shared" si="60"/>
        <v>-</v>
      </c>
      <c r="B1320" s="27"/>
      <c r="C1320" s="26"/>
      <c r="D1320" s="26"/>
      <c r="E1320" s="26"/>
      <c r="F1320" s="26"/>
      <c r="G1320" s="34">
        <f>SUMIFS('BASE EXEC. Q.L'!N:N,'BASE EXEC. Q.L'!B:B,VOOS!A1320)</f>
        <v>0</v>
      </c>
      <c r="H1320" s="15" t="str">
        <f>IFERROR(_xlfn.XLOOKUP(A1320,'BASE SQL PLANTIO'!B:B,'BASE SQL PLANTIO'!T:T,"verificar",0),"")</f>
        <v/>
      </c>
      <c r="I1320" s="77" t="str">
        <f>IF(_xlfn.MINIFS('BASE SQL PLANTIO'!E:E,'BASE SQL PLANTIO'!B:B,VOOS!A1320)=0/1/1900,"",_xlfn.MINIFS('BASE SQL PLANTIO'!E:E,'BASE SQL PLANTIO'!B:B,VOOS!A1320))</f>
        <v/>
      </c>
      <c r="J1320" s="26"/>
      <c r="K1320" s="34" t="str">
        <f t="shared" si="61"/>
        <v/>
      </c>
      <c r="L1320" s="35" t="str">
        <f t="shared" si="62"/>
        <v/>
      </c>
      <c r="M1320" s="14"/>
      <c r="N1320" s="16"/>
    </row>
    <row r="1321" spans="1:14" ht="15.6" x14ac:dyDescent="0.3">
      <c r="A1321" s="13" t="str">
        <f t="shared" si="60"/>
        <v>-</v>
      </c>
      <c r="B1321" s="25"/>
      <c r="C1321" s="25"/>
      <c r="D1321" s="25"/>
      <c r="E1321" s="25"/>
      <c r="F1321" s="31"/>
      <c r="G1321" s="34">
        <f>SUMIFS('BASE EXEC. Q.L'!N:N,'BASE EXEC. Q.L'!B:B,VOOS!A1321)</f>
        <v>0</v>
      </c>
      <c r="H1321" s="15" t="str">
        <f>IFERROR(_xlfn.XLOOKUP(A1321,'BASE SQL PLANTIO'!B:B,'BASE SQL PLANTIO'!T:T,"verificar",0),"")</f>
        <v/>
      </c>
      <c r="I1321" s="77" t="str">
        <f>IF(_xlfn.MINIFS('BASE SQL PLANTIO'!E:E,'BASE SQL PLANTIO'!B:B,VOOS!A1321)=0/1/1900,"",_xlfn.MINIFS('BASE SQL PLANTIO'!E:E,'BASE SQL PLANTIO'!B:B,VOOS!A1321))</f>
        <v/>
      </c>
      <c r="J1321" s="26"/>
      <c r="K1321" s="34" t="str">
        <f t="shared" si="61"/>
        <v/>
      </c>
      <c r="L1321" s="35" t="str">
        <f t="shared" si="62"/>
        <v/>
      </c>
      <c r="M1321" s="14"/>
      <c r="N1321" s="16"/>
    </row>
    <row r="1322" spans="1:14" ht="15.6" x14ac:dyDescent="0.3">
      <c r="A1322" s="13" t="str">
        <f t="shared" si="60"/>
        <v>-</v>
      </c>
      <c r="B1322" s="25"/>
      <c r="C1322" s="25"/>
      <c r="D1322" s="25"/>
      <c r="E1322" s="25"/>
      <c r="F1322" s="31"/>
      <c r="G1322" s="34">
        <f>SUMIFS('BASE EXEC. Q.L'!N:N,'BASE EXEC. Q.L'!B:B,VOOS!A1322)</f>
        <v>0</v>
      </c>
      <c r="H1322" s="15" t="str">
        <f>IFERROR(_xlfn.XLOOKUP(A1322,'BASE SQL PLANTIO'!B:B,'BASE SQL PLANTIO'!T:T,"verificar",0),"")</f>
        <v/>
      </c>
      <c r="I1322" s="77" t="str">
        <f>IF(_xlfn.MINIFS('BASE SQL PLANTIO'!E:E,'BASE SQL PLANTIO'!B:B,VOOS!A1322)=0/1/1900,"",_xlfn.MINIFS('BASE SQL PLANTIO'!E:E,'BASE SQL PLANTIO'!B:B,VOOS!A1322))</f>
        <v/>
      </c>
      <c r="J1322" s="26"/>
      <c r="K1322" s="34" t="str">
        <f t="shared" si="61"/>
        <v/>
      </c>
      <c r="L1322" s="35" t="str">
        <f t="shared" si="62"/>
        <v/>
      </c>
      <c r="M1322" s="14"/>
      <c r="N1322" s="16"/>
    </row>
    <row r="1323" spans="1:14" ht="15.6" x14ac:dyDescent="0.3">
      <c r="A1323" s="13" t="str">
        <f t="shared" si="60"/>
        <v>-</v>
      </c>
      <c r="B1323" s="25"/>
      <c r="C1323" s="25"/>
      <c r="D1323" s="25"/>
      <c r="E1323" s="25"/>
      <c r="F1323" s="31"/>
      <c r="G1323" s="34">
        <f>SUMIFS('BASE EXEC. Q.L'!N:N,'BASE EXEC. Q.L'!B:B,VOOS!A1323)</f>
        <v>0</v>
      </c>
      <c r="H1323" s="15" t="str">
        <f>IFERROR(_xlfn.XLOOKUP(A1323,'BASE SQL PLANTIO'!B:B,'BASE SQL PLANTIO'!T:T,"verificar",0),"")</f>
        <v/>
      </c>
      <c r="I1323" s="77" t="str">
        <f>IF(_xlfn.MINIFS('BASE SQL PLANTIO'!E:E,'BASE SQL PLANTIO'!B:B,VOOS!A1323)=0/1/1900,"",_xlfn.MINIFS('BASE SQL PLANTIO'!E:E,'BASE SQL PLANTIO'!B:B,VOOS!A1323))</f>
        <v/>
      </c>
      <c r="J1323" s="26"/>
      <c r="K1323" s="34" t="str">
        <f t="shared" si="61"/>
        <v/>
      </c>
      <c r="L1323" s="35" t="str">
        <f t="shared" si="62"/>
        <v/>
      </c>
      <c r="M1323" s="14"/>
      <c r="N1323" s="15"/>
    </row>
    <row r="1324" spans="1:14" ht="15.6" x14ac:dyDescent="0.3">
      <c r="A1324" s="13" t="str">
        <f t="shared" si="60"/>
        <v>-</v>
      </c>
      <c r="B1324" s="27"/>
      <c r="C1324" s="26"/>
      <c r="D1324" s="26"/>
      <c r="E1324" s="26"/>
      <c r="F1324" s="26"/>
      <c r="G1324" s="34">
        <f>SUMIFS('BASE EXEC. Q.L'!N:N,'BASE EXEC. Q.L'!B:B,VOOS!A1324)</f>
        <v>0</v>
      </c>
      <c r="H1324" s="15" t="str">
        <f>IFERROR(_xlfn.XLOOKUP(A1324,'BASE SQL PLANTIO'!B:B,'BASE SQL PLANTIO'!T:T,"verificar",0),"")</f>
        <v/>
      </c>
      <c r="I1324" s="77" t="str">
        <f>IF(_xlfn.MINIFS('BASE SQL PLANTIO'!E:E,'BASE SQL PLANTIO'!B:B,VOOS!A1324)=0/1/1900,"",_xlfn.MINIFS('BASE SQL PLANTIO'!E:E,'BASE SQL PLANTIO'!B:B,VOOS!A1324))</f>
        <v/>
      </c>
      <c r="J1324" s="26"/>
      <c r="K1324" s="34" t="str">
        <f t="shared" si="61"/>
        <v/>
      </c>
      <c r="L1324" s="35" t="str">
        <f t="shared" si="62"/>
        <v/>
      </c>
      <c r="M1324" s="14"/>
      <c r="N1324" s="16"/>
    </row>
    <row r="1325" spans="1:14" ht="15.6" x14ac:dyDescent="0.3">
      <c r="A1325" s="13" t="str">
        <f t="shared" si="60"/>
        <v>-</v>
      </c>
      <c r="B1325" s="27"/>
      <c r="C1325" s="26"/>
      <c r="D1325" s="26"/>
      <c r="E1325" s="26"/>
      <c r="F1325" s="26"/>
      <c r="G1325" s="34">
        <f>SUMIFS('BASE EXEC. Q.L'!N:N,'BASE EXEC. Q.L'!B:B,VOOS!A1325)</f>
        <v>0</v>
      </c>
      <c r="H1325" s="15" t="str">
        <f>IFERROR(_xlfn.XLOOKUP(A1325,'BASE SQL PLANTIO'!B:B,'BASE SQL PLANTIO'!T:T,"verificar",0),"")</f>
        <v/>
      </c>
      <c r="I1325" s="77" t="str">
        <f>IF(_xlfn.MINIFS('BASE SQL PLANTIO'!E:E,'BASE SQL PLANTIO'!B:B,VOOS!A1325)=0/1/1900,"",_xlfn.MINIFS('BASE SQL PLANTIO'!E:E,'BASE SQL PLANTIO'!B:B,VOOS!A1325))</f>
        <v/>
      </c>
      <c r="J1325" s="26"/>
      <c r="K1325" s="34" t="str">
        <f t="shared" si="61"/>
        <v/>
      </c>
      <c r="L1325" s="35" t="str">
        <f t="shared" si="62"/>
        <v/>
      </c>
      <c r="M1325" s="14"/>
      <c r="N1325" s="16"/>
    </row>
    <row r="1326" spans="1:14" ht="15.6" x14ac:dyDescent="0.3">
      <c r="A1326" s="13" t="str">
        <f t="shared" si="60"/>
        <v>-</v>
      </c>
      <c r="B1326" s="25"/>
      <c r="C1326" s="25"/>
      <c r="D1326" s="25"/>
      <c r="E1326" s="25"/>
      <c r="F1326" s="31"/>
      <c r="G1326" s="34">
        <f>SUMIFS('BASE EXEC. Q.L'!N:N,'BASE EXEC. Q.L'!B:B,VOOS!A1326)</f>
        <v>0</v>
      </c>
      <c r="H1326" s="15" t="str">
        <f>IFERROR(_xlfn.XLOOKUP(A1326,'BASE SQL PLANTIO'!B:B,'BASE SQL PLANTIO'!T:T,"verificar",0),"")</f>
        <v/>
      </c>
      <c r="I1326" s="77" t="str">
        <f>IF(_xlfn.MINIFS('BASE SQL PLANTIO'!E:E,'BASE SQL PLANTIO'!B:B,VOOS!A1326)=0/1/1900,"",_xlfn.MINIFS('BASE SQL PLANTIO'!E:E,'BASE SQL PLANTIO'!B:B,VOOS!A1326))</f>
        <v/>
      </c>
      <c r="J1326" s="26"/>
      <c r="K1326" s="34" t="str">
        <f t="shared" si="61"/>
        <v/>
      </c>
      <c r="L1326" s="35" t="str">
        <f t="shared" si="62"/>
        <v/>
      </c>
      <c r="M1326" s="14"/>
      <c r="N1326" s="16"/>
    </row>
    <row r="1327" spans="1:14" ht="15.6" x14ac:dyDescent="0.3">
      <c r="A1327" s="13" t="str">
        <f t="shared" si="60"/>
        <v>-</v>
      </c>
      <c r="B1327" s="25"/>
      <c r="C1327" s="25"/>
      <c r="D1327" s="25"/>
      <c r="E1327" s="25"/>
      <c r="F1327" s="31"/>
      <c r="G1327" s="34">
        <f>SUMIFS('BASE EXEC. Q.L'!N:N,'BASE EXEC. Q.L'!B:B,VOOS!A1327)</f>
        <v>0</v>
      </c>
      <c r="H1327" s="15" t="str">
        <f>IFERROR(_xlfn.XLOOKUP(A1327,'BASE SQL PLANTIO'!B:B,'BASE SQL PLANTIO'!T:T,"verificar",0),"")</f>
        <v/>
      </c>
      <c r="I1327" s="77" t="str">
        <f>IF(_xlfn.MINIFS('BASE SQL PLANTIO'!E:E,'BASE SQL PLANTIO'!B:B,VOOS!A1327)=0/1/1900,"",_xlfn.MINIFS('BASE SQL PLANTIO'!E:E,'BASE SQL PLANTIO'!B:B,VOOS!A1327))</f>
        <v/>
      </c>
      <c r="J1327" s="26"/>
      <c r="K1327" s="34" t="str">
        <f t="shared" si="61"/>
        <v/>
      </c>
      <c r="L1327" s="35" t="str">
        <f t="shared" si="62"/>
        <v/>
      </c>
      <c r="M1327" s="14"/>
      <c r="N1327" s="16"/>
    </row>
    <row r="1328" spans="1:14" ht="15.6" x14ac:dyDescent="0.3">
      <c r="A1328" s="13" t="str">
        <f t="shared" si="60"/>
        <v>-</v>
      </c>
      <c r="B1328" s="25"/>
      <c r="C1328" s="25"/>
      <c r="D1328" s="25"/>
      <c r="E1328" s="25"/>
      <c r="F1328" s="31"/>
      <c r="G1328" s="34">
        <f>SUMIFS('BASE EXEC. Q.L'!N:N,'BASE EXEC. Q.L'!B:B,VOOS!A1328)</f>
        <v>0</v>
      </c>
      <c r="H1328" s="15" t="str">
        <f>IFERROR(_xlfn.XLOOKUP(A1328,'BASE SQL PLANTIO'!B:B,'BASE SQL PLANTIO'!T:T,"verificar",0),"")</f>
        <v/>
      </c>
      <c r="I1328" s="77" t="str">
        <f>IF(_xlfn.MINIFS('BASE SQL PLANTIO'!E:E,'BASE SQL PLANTIO'!B:B,VOOS!A1328)=0/1/1900,"",_xlfn.MINIFS('BASE SQL PLANTIO'!E:E,'BASE SQL PLANTIO'!B:B,VOOS!A1328))</f>
        <v/>
      </c>
      <c r="J1328" s="26"/>
      <c r="K1328" s="34" t="str">
        <f t="shared" si="61"/>
        <v/>
      </c>
      <c r="L1328" s="35" t="str">
        <f t="shared" si="62"/>
        <v/>
      </c>
      <c r="M1328" s="14"/>
      <c r="N1328" s="15"/>
    </row>
    <row r="1329" spans="1:14" ht="15.6" x14ac:dyDescent="0.3">
      <c r="A1329" s="13" t="str">
        <f t="shared" si="60"/>
        <v>-</v>
      </c>
      <c r="B1329" s="27"/>
      <c r="C1329" s="26"/>
      <c r="D1329" s="26"/>
      <c r="E1329" s="26"/>
      <c r="F1329" s="26"/>
      <c r="G1329" s="34">
        <f>SUMIFS('BASE EXEC. Q.L'!N:N,'BASE EXEC. Q.L'!B:B,VOOS!A1329)</f>
        <v>0</v>
      </c>
      <c r="H1329" s="15" t="str">
        <f>IFERROR(_xlfn.XLOOKUP(A1329,'BASE SQL PLANTIO'!B:B,'BASE SQL PLANTIO'!T:T,"verificar",0),"")</f>
        <v/>
      </c>
      <c r="I1329" s="77" t="str">
        <f>IF(_xlfn.MINIFS('BASE SQL PLANTIO'!E:E,'BASE SQL PLANTIO'!B:B,VOOS!A1329)=0/1/1900,"",_xlfn.MINIFS('BASE SQL PLANTIO'!E:E,'BASE SQL PLANTIO'!B:B,VOOS!A1329))</f>
        <v/>
      </c>
      <c r="J1329" s="26"/>
      <c r="K1329" s="34" t="str">
        <f t="shared" si="61"/>
        <v/>
      </c>
      <c r="L1329" s="35" t="str">
        <f t="shared" si="62"/>
        <v/>
      </c>
      <c r="M1329" s="14"/>
      <c r="N1329" s="16"/>
    </row>
    <row r="1330" spans="1:14" ht="15.6" x14ac:dyDescent="0.3">
      <c r="A1330" s="13" t="str">
        <f t="shared" si="60"/>
        <v>-</v>
      </c>
      <c r="B1330" s="27"/>
      <c r="C1330" s="26"/>
      <c r="D1330" s="26"/>
      <c r="E1330" s="26"/>
      <c r="F1330" s="26"/>
      <c r="G1330" s="34">
        <f>SUMIFS('BASE EXEC. Q.L'!N:N,'BASE EXEC. Q.L'!B:B,VOOS!A1330)</f>
        <v>0</v>
      </c>
      <c r="H1330" s="15" t="str">
        <f>IFERROR(_xlfn.XLOOKUP(A1330,'BASE SQL PLANTIO'!B:B,'BASE SQL PLANTIO'!T:T,"verificar",0),"")</f>
        <v/>
      </c>
      <c r="I1330" s="77" t="str">
        <f>IF(_xlfn.MINIFS('BASE SQL PLANTIO'!E:E,'BASE SQL PLANTIO'!B:B,VOOS!A1330)=0/1/1900,"",_xlfn.MINIFS('BASE SQL PLANTIO'!E:E,'BASE SQL PLANTIO'!B:B,VOOS!A1330))</f>
        <v/>
      </c>
      <c r="J1330" s="26"/>
      <c r="K1330" s="34" t="str">
        <f t="shared" si="61"/>
        <v/>
      </c>
      <c r="L1330" s="35" t="str">
        <f t="shared" si="62"/>
        <v/>
      </c>
      <c r="M1330" s="14"/>
      <c r="N1330" s="16"/>
    </row>
    <row r="1331" spans="1:14" ht="15.6" x14ac:dyDescent="0.3">
      <c r="A1331" s="13" t="str">
        <f t="shared" si="60"/>
        <v>-</v>
      </c>
      <c r="B1331" s="25"/>
      <c r="C1331" s="25"/>
      <c r="D1331" s="25"/>
      <c r="E1331" s="25"/>
      <c r="F1331" s="31"/>
      <c r="G1331" s="34">
        <f>SUMIFS('BASE EXEC. Q.L'!N:N,'BASE EXEC. Q.L'!B:B,VOOS!A1331)</f>
        <v>0</v>
      </c>
      <c r="H1331" s="15" t="str">
        <f>IFERROR(_xlfn.XLOOKUP(A1331,'BASE SQL PLANTIO'!B:B,'BASE SQL PLANTIO'!T:T,"verificar",0),"")</f>
        <v/>
      </c>
      <c r="I1331" s="77" t="str">
        <f>IF(_xlfn.MINIFS('BASE SQL PLANTIO'!E:E,'BASE SQL PLANTIO'!B:B,VOOS!A1331)=0/1/1900,"",_xlfn.MINIFS('BASE SQL PLANTIO'!E:E,'BASE SQL PLANTIO'!B:B,VOOS!A1331))</f>
        <v/>
      </c>
      <c r="J1331" s="26"/>
      <c r="K1331" s="34" t="str">
        <f t="shared" si="61"/>
        <v/>
      </c>
      <c r="L1331" s="35" t="str">
        <f t="shared" si="62"/>
        <v/>
      </c>
      <c r="M1331" s="14"/>
      <c r="N1331" s="16"/>
    </row>
    <row r="1332" spans="1:14" ht="15.6" x14ac:dyDescent="0.3">
      <c r="A1332" s="13" t="str">
        <f t="shared" si="60"/>
        <v>-</v>
      </c>
      <c r="B1332" s="25"/>
      <c r="C1332" s="25"/>
      <c r="D1332" s="25"/>
      <c r="E1332" s="25"/>
      <c r="F1332" s="31"/>
      <c r="G1332" s="34">
        <f>SUMIFS('BASE EXEC. Q.L'!N:N,'BASE EXEC. Q.L'!B:B,VOOS!A1332)</f>
        <v>0</v>
      </c>
      <c r="H1332" s="15" t="str">
        <f>IFERROR(_xlfn.XLOOKUP(A1332,'BASE SQL PLANTIO'!B:B,'BASE SQL PLANTIO'!T:T,"verificar",0),"")</f>
        <v/>
      </c>
      <c r="I1332" s="77" t="str">
        <f>IF(_xlfn.MINIFS('BASE SQL PLANTIO'!E:E,'BASE SQL PLANTIO'!B:B,VOOS!A1332)=0/1/1900,"",_xlfn.MINIFS('BASE SQL PLANTIO'!E:E,'BASE SQL PLANTIO'!B:B,VOOS!A1332))</f>
        <v/>
      </c>
      <c r="J1332" s="26"/>
      <c r="K1332" s="34" t="str">
        <f t="shared" si="61"/>
        <v/>
      </c>
      <c r="L1332" s="35" t="str">
        <f t="shared" si="62"/>
        <v/>
      </c>
      <c r="M1332" s="14"/>
      <c r="N1332" s="16"/>
    </row>
    <row r="1333" spans="1:14" ht="15.6" x14ac:dyDescent="0.3">
      <c r="A1333" s="13" t="str">
        <f t="shared" si="60"/>
        <v>-</v>
      </c>
      <c r="B1333" s="25"/>
      <c r="C1333" s="25"/>
      <c r="D1333" s="25"/>
      <c r="E1333" s="25"/>
      <c r="F1333" s="31"/>
      <c r="G1333" s="34">
        <f>SUMIFS('BASE EXEC. Q.L'!N:N,'BASE EXEC. Q.L'!B:B,VOOS!A1333)</f>
        <v>0</v>
      </c>
      <c r="H1333" s="15" t="str">
        <f>IFERROR(_xlfn.XLOOKUP(A1333,'BASE SQL PLANTIO'!B:B,'BASE SQL PLANTIO'!T:T,"verificar",0),"")</f>
        <v/>
      </c>
      <c r="I1333" s="77" t="str">
        <f>IF(_xlfn.MINIFS('BASE SQL PLANTIO'!E:E,'BASE SQL PLANTIO'!B:B,VOOS!A1333)=0/1/1900,"",_xlfn.MINIFS('BASE SQL PLANTIO'!E:E,'BASE SQL PLANTIO'!B:B,VOOS!A1333))</f>
        <v/>
      </c>
      <c r="J1333" s="26"/>
      <c r="K1333" s="34" t="str">
        <f t="shared" si="61"/>
        <v/>
      </c>
      <c r="L1333" s="35" t="str">
        <f t="shared" si="62"/>
        <v/>
      </c>
      <c r="M1333" s="14"/>
      <c r="N1333" s="15"/>
    </row>
    <row r="1334" spans="1:14" ht="15.6" x14ac:dyDescent="0.3">
      <c r="A1334" s="13" t="str">
        <f t="shared" si="60"/>
        <v>-</v>
      </c>
      <c r="B1334" s="27"/>
      <c r="C1334" s="26"/>
      <c r="D1334" s="26"/>
      <c r="E1334" s="26"/>
      <c r="F1334" s="26"/>
      <c r="G1334" s="34">
        <f>SUMIFS('BASE EXEC. Q.L'!N:N,'BASE EXEC. Q.L'!B:B,VOOS!A1334)</f>
        <v>0</v>
      </c>
      <c r="H1334" s="15" t="str">
        <f>IFERROR(_xlfn.XLOOKUP(A1334,'BASE SQL PLANTIO'!B:B,'BASE SQL PLANTIO'!T:T,"verificar",0),"")</f>
        <v/>
      </c>
      <c r="I1334" s="77" t="str">
        <f>IF(_xlfn.MINIFS('BASE SQL PLANTIO'!E:E,'BASE SQL PLANTIO'!B:B,VOOS!A1334)=0/1/1900,"",_xlfn.MINIFS('BASE SQL PLANTIO'!E:E,'BASE SQL PLANTIO'!B:B,VOOS!A1334))</f>
        <v/>
      </c>
      <c r="J1334" s="26"/>
      <c r="K1334" s="34" t="str">
        <f t="shared" si="61"/>
        <v/>
      </c>
      <c r="L1334" s="35" t="str">
        <f t="shared" si="62"/>
        <v/>
      </c>
      <c r="M1334" s="14"/>
      <c r="N1334" s="16"/>
    </row>
    <row r="1335" spans="1:14" ht="15.6" x14ac:dyDescent="0.3">
      <c r="A1335" s="13" t="str">
        <f t="shared" si="60"/>
        <v>-</v>
      </c>
      <c r="B1335" s="27"/>
      <c r="C1335" s="26"/>
      <c r="D1335" s="26"/>
      <c r="E1335" s="26"/>
      <c r="F1335" s="26"/>
      <c r="G1335" s="34">
        <f>SUMIFS('BASE EXEC. Q.L'!N:N,'BASE EXEC. Q.L'!B:B,VOOS!A1335)</f>
        <v>0</v>
      </c>
      <c r="H1335" s="15" t="str">
        <f>IFERROR(_xlfn.XLOOKUP(A1335,'BASE SQL PLANTIO'!B:B,'BASE SQL PLANTIO'!T:T,"verificar",0),"")</f>
        <v/>
      </c>
      <c r="I1335" s="77" t="str">
        <f>IF(_xlfn.MINIFS('BASE SQL PLANTIO'!E:E,'BASE SQL PLANTIO'!B:B,VOOS!A1335)=0/1/1900,"",_xlfn.MINIFS('BASE SQL PLANTIO'!E:E,'BASE SQL PLANTIO'!B:B,VOOS!A1335))</f>
        <v/>
      </c>
      <c r="J1335" s="26"/>
      <c r="K1335" s="34" t="str">
        <f t="shared" si="61"/>
        <v/>
      </c>
      <c r="L1335" s="35" t="str">
        <f t="shared" si="62"/>
        <v/>
      </c>
      <c r="M1335" s="14"/>
      <c r="N1335" s="16"/>
    </row>
    <row r="1336" spans="1:14" ht="15.6" x14ac:dyDescent="0.3">
      <c r="A1336" s="13" t="str">
        <f t="shared" si="60"/>
        <v>-</v>
      </c>
      <c r="B1336" s="25"/>
      <c r="C1336" s="25"/>
      <c r="D1336" s="25"/>
      <c r="E1336" s="25"/>
      <c r="F1336" s="31"/>
      <c r="G1336" s="34">
        <f>SUMIFS('BASE EXEC. Q.L'!N:N,'BASE EXEC. Q.L'!B:B,VOOS!A1336)</f>
        <v>0</v>
      </c>
      <c r="H1336" s="15" t="str">
        <f>IFERROR(_xlfn.XLOOKUP(A1336,'BASE SQL PLANTIO'!B:B,'BASE SQL PLANTIO'!T:T,"verificar",0),"")</f>
        <v/>
      </c>
      <c r="I1336" s="77" t="str">
        <f>IF(_xlfn.MINIFS('BASE SQL PLANTIO'!E:E,'BASE SQL PLANTIO'!B:B,VOOS!A1336)=0/1/1900,"",_xlfn.MINIFS('BASE SQL PLANTIO'!E:E,'BASE SQL PLANTIO'!B:B,VOOS!A1336))</f>
        <v/>
      </c>
      <c r="J1336" s="26"/>
      <c r="K1336" s="34" t="str">
        <f t="shared" si="61"/>
        <v/>
      </c>
      <c r="L1336" s="35" t="str">
        <f t="shared" si="62"/>
        <v/>
      </c>
      <c r="M1336" s="14"/>
      <c r="N1336" s="16"/>
    </row>
    <row r="1337" spans="1:14" ht="15.6" x14ac:dyDescent="0.3">
      <c r="A1337" s="13" t="str">
        <f t="shared" si="60"/>
        <v>-</v>
      </c>
      <c r="B1337" s="25"/>
      <c r="C1337" s="25"/>
      <c r="D1337" s="25"/>
      <c r="E1337" s="25"/>
      <c r="F1337" s="31"/>
      <c r="G1337" s="34">
        <f>SUMIFS('BASE EXEC. Q.L'!N:N,'BASE EXEC. Q.L'!B:B,VOOS!A1337)</f>
        <v>0</v>
      </c>
      <c r="H1337" s="15" t="str">
        <f>IFERROR(_xlfn.XLOOKUP(A1337,'BASE SQL PLANTIO'!B:B,'BASE SQL PLANTIO'!T:T,"verificar",0),"")</f>
        <v/>
      </c>
      <c r="I1337" s="77" t="str">
        <f>IF(_xlfn.MINIFS('BASE SQL PLANTIO'!E:E,'BASE SQL PLANTIO'!B:B,VOOS!A1337)=0/1/1900,"",_xlfn.MINIFS('BASE SQL PLANTIO'!E:E,'BASE SQL PLANTIO'!B:B,VOOS!A1337))</f>
        <v/>
      </c>
      <c r="J1337" s="26"/>
      <c r="K1337" s="34" t="str">
        <f t="shared" si="61"/>
        <v/>
      </c>
      <c r="L1337" s="35" t="str">
        <f t="shared" si="62"/>
        <v/>
      </c>
      <c r="M1337" s="14"/>
      <c r="N1337" s="16"/>
    </row>
    <row r="1338" spans="1:14" ht="15.6" x14ac:dyDescent="0.3">
      <c r="A1338" s="13" t="str">
        <f t="shared" si="60"/>
        <v>-</v>
      </c>
      <c r="B1338" s="25"/>
      <c r="C1338" s="25"/>
      <c r="D1338" s="25"/>
      <c r="E1338" s="25"/>
      <c r="F1338" s="31"/>
      <c r="G1338" s="34">
        <f>SUMIFS('BASE EXEC. Q.L'!N:N,'BASE EXEC. Q.L'!B:B,VOOS!A1338)</f>
        <v>0</v>
      </c>
      <c r="H1338" s="15" t="str">
        <f>IFERROR(_xlfn.XLOOKUP(A1338,'BASE SQL PLANTIO'!B:B,'BASE SQL PLANTIO'!T:T,"verificar",0),"")</f>
        <v/>
      </c>
      <c r="I1338" s="77" t="str">
        <f>IF(_xlfn.MINIFS('BASE SQL PLANTIO'!E:E,'BASE SQL PLANTIO'!B:B,VOOS!A1338)=0/1/1900,"",_xlfn.MINIFS('BASE SQL PLANTIO'!E:E,'BASE SQL PLANTIO'!B:B,VOOS!A1338))</f>
        <v/>
      </c>
      <c r="J1338" s="26"/>
      <c r="K1338" s="34" t="str">
        <f t="shared" si="61"/>
        <v/>
      </c>
      <c r="L1338" s="35" t="str">
        <f t="shared" si="62"/>
        <v/>
      </c>
      <c r="M1338" s="14"/>
      <c r="N1338" s="15"/>
    </row>
    <row r="1339" spans="1:14" ht="15.6" x14ac:dyDescent="0.3">
      <c r="A1339" s="13" t="str">
        <f t="shared" si="60"/>
        <v>-</v>
      </c>
      <c r="B1339" s="27"/>
      <c r="C1339" s="26"/>
      <c r="D1339" s="26"/>
      <c r="E1339" s="26"/>
      <c r="F1339" s="26"/>
      <c r="G1339" s="34">
        <f>SUMIFS('BASE EXEC. Q.L'!N:N,'BASE EXEC. Q.L'!B:B,VOOS!A1339)</f>
        <v>0</v>
      </c>
      <c r="H1339" s="15" t="str">
        <f>IFERROR(_xlfn.XLOOKUP(A1339,'BASE SQL PLANTIO'!B:B,'BASE SQL PLANTIO'!T:T,"verificar",0),"")</f>
        <v/>
      </c>
      <c r="I1339" s="77" t="str">
        <f>IF(_xlfn.MINIFS('BASE SQL PLANTIO'!E:E,'BASE SQL PLANTIO'!B:B,VOOS!A1339)=0/1/1900,"",_xlfn.MINIFS('BASE SQL PLANTIO'!E:E,'BASE SQL PLANTIO'!B:B,VOOS!A1339))</f>
        <v/>
      </c>
      <c r="J1339" s="26"/>
      <c r="K1339" s="34" t="str">
        <f t="shared" si="61"/>
        <v/>
      </c>
      <c r="L1339" s="35" t="str">
        <f t="shared" si="62"/>
        <v/>
      </c>
      <c r="M1339" s="14"/>
      <c r="N1339" s="16"/>
    </row>
    <row r="1340" spans="1:14" ht="15.6" x14ac:dyDescent="0.3">
      <c r="A1340" s="13" t="str">
        <f t="shared" si="60"/>
        <v>-</v>
      </c>
      <c r="B1340" s="27"/>
      <c r="C1340" s="26"/>
      <c r="D1340" s="26"/>
      <c r="E1340" s="26"/>
      <c r="F1340" s="26"/>
      <c r="G1340" s="34">
        <f>SUMIFS('BASE EXEC. Q.L'!N:N,'BASE EXEC. Q.L'!B:B,VOOS!A1340)</f>
        <v>0</v>
      </c>
      <c r="H1340" s="15" t="str">
        <f>IFERROR(_xlfn.XLOOKUP(A1340,'BASE SQL PLANTIO'!B:B,'BASE SQL PLANTIO'!T:T,"verificar",0),"")</f>
        <v/>
      </c>
      <c r="I1340" s="77" t="str">
        <f>IF(_xlfn.MINIFS('BASE SQL PLANTIO'!E:E,'BASE SQL PLANTIO'!B:B,VOOS!A1340)=0/1/1900,"",_xlfn.MINIFS('BASE SQL PLANTIO'!E:E,'BASE SQL PLANTIO'!B:B,VOOS!A1340))</f>
        <v/>
      </c>
      <c r="J1340" s="26"/>
      <c r="K1340" s="34" t="str">
        <f t="shared" si="61"/>
        <v/>
      </c>
      <c r="L1340" s="35" t="str">
        <f t="shared" si="62"/>
        <v/>
      </c>
      <c r="M1340" s="14"/>
      <c r="N1340" s="16"/>
    </row>
    <row r="1341" spans="1:14" ht="15.6" x14ac:dyDescent="0.3">
      <c r="A1341" s="13" t="str">
        <f t="shared" si="60"/>
        <v>-</v>
      </c>
      <c r="B1341" s="25"/>
      <c r="C1341" s="25"/>
      <c r="D1341" s="25"/>
      <c r="E1341" s="25"/>
      <c r="F1341" s="31"/>
      <c r="G1341" s="34">
        <f>SUMIFS('BASE EXEC. Q.L'!N:N,'BASE EXEC. Q.L'!B:B,VOOS!A1341)</f>
        <v>0</v>
      </c>
      <c r="H1341" s="15" t="str">
        <f>IFERROR(_xlfn.XLOOKUP(A1341,'BASE SQL PLANTIO'!B:B,'BASE SQL PLANTIO'!T:T,"verificar",0),"")</f>
        <v/>
      </c>
      <c r="I1341" s="77" t="str">
        <f>IF(_xlfn.MINIFS('BASE SQL PLANTIO'!E:E,'BASE SQL PLANTIO'!B:B,VOOS!A1341)=0/1/1900,"",_xlfn.MINIFS('BASE SQL PLANTIO'!E:E,'BASE SQL PLANTIO'!B:B,VOOS!A1341))</f>
        <v/>
      </c>
      <c r="J1341" s="26"/>
      <c r="K1341" s="34" t="str">
        <f t="shared" si="61"/>
        <v/>
      </c>
      <c r="L1341" s="35" t="str">
        <f t="shared" si="62"/>
        <v/>
      </c>
      <c r="M1341" s="14"/>
      <c r="N1341" s="16"/>
    </row>
    <row r="1342" spans="1:14" ht="15.6" x14ac:dyDescent="0.3">
      <c r="A1342" s="13" t="str">
        <f t="shared" si="60"/>
        <v>-</v>
      </c>
      <c r="B1342" s="25"/>
      <c r="C1342" s="25"/>
      <c r="D1342" s="25"/>
      <c r="E1342" s="25"/>
      <c r="F1342" s="31"/>
      <c r="G1342" s="34">
        <f>SUMIFS('BASE EXEC. Q.L'!N:N,'BASE EXEC. Q.L'!B:B,VOOS!A1342)</f>
        <v>0</v>
      </c>
      <c r="H1342" s="15" t="str">
        <f>IFERROR(_xlfn.XLOOKUP(A1342,'BASE SQL PLANTIO'!B:B,'BASE SQL PLANTIO'!T:T,"verificar",0),"")</f>
        <v/>
      </c>
      <c r="I1342" s="77" t="str">
        <f>IF(_xlfn.MINIFS('BASE SQL PLANTIO'!E:E,'BASE SQL PLANTIO'!B:B,VOOS!A1342)=0/1/1900,"",_xlfn.MINIFS('BASE SQL PLANTIO'!E:E,'BASE SQL PLANTIO'!B:B,VOOS!A1342))</f>
        <v/>
      </c>
      <c r="J1342" s="26"/>
      <c r="K1342" s="34" t="str">
        <f t="shared" si="61"/>
        <v/>
      </c>
      <c r="L1342" s="35" t="str">
        <f t="shared" si="62"/>
        <v/>
      </c>
      <c r="M1342" s="14"/>
      <c r="N1342" s="16"/>
    </row>
    <row r="1343" spans="1:14" ht="15.6" x14ac:dyDescent="0.3">
      <c r="A1343" s="13" t="str">
        <f t="shared" si="60"/>
        <v>-</v>
      </c>
      <c r="B1343" s="25"/>
      <c r="C1343" s="25"/>
      <c r="D1343" s="25"/>
      <c r="E1343" s="25"/>
      <c r="F1343" s="31"/>
      <c r="G1343" s="34">
        <f>SUMIFS('BASE EXEC. Q.L'!N:N,'BASE EXEC. Q.L'!B:B,VOOS!A1343)</f>
        <v>0</v>
      </c>
      <c r="H1343" s="15" t="str">
        <f>IFERROR(_xlfn.XLOOKUP(A1343,'BASE SQL PLANTIO'!B:B,'BASE SQL PLANTIO'!T:T,"verificar",0),"")</f>
        <v/>
      </c>
      <c r="I1343" s="77" t="str">
        <f>IF(_xlfn.MINIFS('BASE SQL PLANTIO'!E:E,'BASE SQL PLANTIO'!B:B,VOOS!A1343)=0/1/1900,"",_xlfn.MINIFS('BASE SQL PLANTIO'!E:E,'BASE SQL PLANTIO'!B:B,VOOS!A1343))</f>
        <v/>
      </c>
      <c r="J1343" s="26"/>
      <c r="K1343" s="34" t="str">
        <f t="shared" si="61"/>
        <v/>
      </c>
      <c r="L1343" s="35" t="str">
        <f t="shared" si="62"/>
        <v/>
      </c>
      <c r="M1343" s="14"/>
      <c r="N1343" s="15"/>
    </row>
    <row r="1344" spans="1:14" ht="15.6" x14ac:dyDescent="0.3">
      <c r="A1344" s="13" t="str">
        <f t="shared" si="60"/>
        <v>-</v>
      </c>
      <c r="B1344" s="27"/>
      <c r="C1344" s="26"/>
      <c r="D1344" s="26"/>
      <c r="E1344" s="26"/>
      <c r="F1344" s="26"/>
      <c r="G1344" s="34">
        <f>SUMIFS('BASE EXEC. Q.L'!N:N,'BASE EXEC. Q.L'!B:B,VOOS!A1344)</f>
        <v>0</v>
      </c>
      <c r="H1344" s="15" t="str">
        <f>IFERROR(_xlfn.XLOOKUP(A1344,'BASE SQL PLANTIO'!B:B,'BASE SQL PLANTIO'!T:T,"verificar",0),"")</f>
        <v/>
      </c>
      <c r="I1344" s="77" t="str">
        <f>IF(_xlfn.MINIFS('BASE SQL PLANTIO'!E:E,'BASE SQL PLANTIO'!B:B,VOOS!A1344)=0/1/1900,"",_xlfn.MINIFS('BASE SQL PLANTIO'!E:E,'BASE SQL PLANTIO'!B:B,VOOS!A1344))</f>
        <v/>
      </c>
      <c r="J1344" s="26"/>
      <c r="K1344" s="34" t="str">
        <f t="shared" si="61"/>
        <v/>
      </c>
      <c r="L1344" s="35" t="str">
        <f t="shared" si="62"/>
        <v/>
      </c>
      <c r="M1344" s="14"/>
      <c r="N1344" s="16"/>
    </row>
    <row r="1345" spans="1:14" ht="15.6" x14ac:dyDescent="0.3">
      <c r="A1345" s="13" t="str">
        <f t="shared" si="60"/>
        <v>-</v>
      </c>
      <c r="B1345" s="27"/>
      <c r="C1345" s="26"/>
      <c r="D1345" s="26"/>
      <c r="E1345" s="26"/>
      <c r="F1345" s="26"/>
      <c r="G1345" s="34">
        <f>SUMIFS('BASE EXEC. Q.L'!N:N,'BASE EXEC. Q.L'!B:B,VOOS!A1345)</f>
        <v>0</v>
      </c>
      <c r="H1345" s="15" t="str">
        <f>IFERROR(_xlfn.XLOOKUP(A1345,'BASE SQL PLANTIO'!B:B,'BASE SQL PLANTIO'!T:T,"verificar",0),"")</f>
        <v/>
      </c>
      <c r="I1345" s="77" t="str">
        <f>IF(_xlfn.MINIFS('BASE SQL PLANTIO'!E:E,'BASE SQL PLANTIO'!B:B,VOOS!A1345)=0/1/1900,"",_xlfn.MINIFS('BASE SQL PLANTIO'!E:E,'BASE SQL PLANTIO'!B:B,VOOS!A1345))</f>
        <v/>
      </c>
      <c r="J1345" s="26"/>
      <c r="K1345" s="34" t="str">
        <f t="shared" si="61"/>
        <v/>
      </c>
      <c r="L1345" s="35" t="str">
        <f t="shared" si="62"/>
        <v/>
      </c>
      <c r="M1345" s="14"/>
      <c r="N1345" s="16"/>
    </row>
    <row r="1346" spans="1:14" ht="15.6" x14ac:dyDescent="0.3">
      <c r="A1346" s="13" t="str">
        <f t="shared" si="60"/>
        <v>-</v>
      </c>
      <c r="B1346" s="25"/>
      <c r="C1346" s="25"/>
      <c r="D1346" s="25"/>
      <c r="E1346" s="25"/>
      <c r="F1346" s="31"/>
      <c r="G1346" s="34">
        <f>SUMIFS('BASE EXEC. Q.L'!N:N,'BASE EXEC. Q.L'!B:B,VOOS!A1346)</f>
        <v>0</v>
      </c>
      <c r="H1346" s="15" t="str">
        <f>IFERROR(_xlfn.XLOOKUP(A1346,'BASE SQL PLANTIO'!B:B,'BASE SQL PLANTIO'!T:T,"verificar",0),"")</f>
        <v/>
      </c>
      <c r="I1346" s="77" t="str">
        <f>IF(_xlfn.MINIFS('BASE SQL PLANTIO'!E:E,'BASE SQL PLANTIO'!B:B,VOOS!A1346)=0/1/1900,"",_xlfn.MINIFS('BASE SQL PLANTIO'!E:E,'BASE SQL PLANTIO'!B:B,VOOS!A1346))</f>
        <v/>
      </c>
      <c r="J1346" s="26"/>
      <c r="K1346" s="34" t="str">
        <f t="shared" si="61"/>
        <v/>
      </c>
      <c r="L1346" s="35" t="str">
        <f t="shared" si="62"/>
        <v/>
      </c>
      <c r="M1346" s="14"/>
      <c r="N1346" s="16"/>
    </row>
    <row r="1347" spans="1:14" ht="15.6" x14ac:dyDescent="0.3">
      <c r="A1347" s="13" t="str">
        <f t="shared" si="60"/>
        <v>-</v>
      </c>
      <c r="B1347" s="25"/>
      <c r="C1347" s="25"/>
      <c r="D1347" s="25"/>
      <c r="E1347" s="25"/>
      <c r="F1347" s="31"/>
      <c r="G1347" s="34">
        <f>SUMIFS('BASE EXEC. Q.L'!N:N,'BASE EXEC. Q.L'!B:B,VOOS!A1347)</f>
        <v>0</v>
      </c>
      <c r="H1347" s="15" t="str">
        <f>IFERROR(_xlfn.XLOOKUP(A1347,'BASE SQL PLANTIO'!B:B,'BASE SQL PLANTIO'!T:T,"verificar",0),"")</f>
        <v/>
      </c>
      <c r="I1347" s="77" t="str">
        <f>IF(_xlfn.MINIFS('BASE SQL PLANTIO'!E:E,'BASE SQL PLANTIO'!B:B,VOOS!A1347)=0/1/1900,"",_xlfn.MINIFS('BASE SQL PLANTIO'!E:E,'BASE SQL PLANTIO'!B:B,VOOS!A1347))</f>
        <v/>
      </c>
      <c r="J1347" s="26"/>
      <c r="K1347" s="34" t="str">
        <f t="shared" si="61"/>
        <v/>
      </c>
      <c r="L1347" s="35" t="str">
        <f t="shared" si="62"/>
        <v/>
      </c>
      <c r="M1347" s="14"/>
      <c r="N1347" s="16"/>
    </row>
    <row r="1348" spans="1:14" ht="15.6" x14ac:dyDescent="0.3">
      <c r="A1348" s="13" t="str">
        <f t="shared" si="60"/>
        <v>-</v>
      </c>
      <c r="B1348" s="25"/>
      <c r="C1348" s="25"/>
      <c r="D1348" s="25"/>
      <c r="E1348" s="25"/>
      <c r="F1348" s="31"/>
      <c r="G1348" s="34">
        <f>SUMIFS('BASE EXEC. Q.L'!N:N,'BASE EXEC. Q.L'!B:B,VOOS!A1348)</f>
        <v>0</v>
      </c>
      <c r="H1348" s="15" t="str">
        <f>IFERROR(_xlfn.XLOOKUP(A1348,'BASE SQL PLANTIO'!B:B,'BASE SQL PLANTIO'!T:T,"verificar",0),"")</f>
        <v/>
      </c>
      <c r="I1348" s="77" t="str">
        <f>IF(_xlfn.MINIFS('BASE SQL PLANTIO'!E:E,'BASE SQL PLANTIO'!B:B,VOOS!A1348)=0/1/1900,"",_xlfn.MINIFS('BASE SQL PLANTIO'!E:E,'BASE SQL PLANTIO'!B:B,VOOS!A1348))</f>
        <v/>
      </c>
      <c r="J1348" s="26"/>
      <c r="K1348" s="34" t="str">
        <f t="shared" si="61"/>
        <v/>
      </c>
      <c r="L1348" s="35" t="str">
        <f t="shared" si="62"/>
        <v/>
      </c>
      <c r="M1348" s="14"/>
      <c r="N1348" s="15"/>
    </row>
    <row r="1349" spans="1:14" ht="15.6" x14ac:dyDescent="0.3">
      <c r="A1349" s="13" t="str">
        <f t="shared" ref="A1349:A1412" si="63">CONCATENATE(B1349,"-",E1349)</f>
        <v>-</v>
      </c>
      <c r="B1349" s="27"/>
      <c r="C1349" s="26"/>
      <c r="D1349" s="26"/>
      <c r="E1349" s="26"/>
      <c r="F1349" s="26"/>
      <c r="G1349" s="34">
        <f>SUMIFS('BASE EXEC. Q.L'!N:N,'BASE EXEC. Q.L'!B:B,VOOS!A1349)</f>
        <v>0</v>
      </c>
      <c r="H1349" s="15" t="str">
        <f>IFERROR(_xlfn.XLOOKUP(A1349,'BASE SQL PLANTIO'!B:B,'BASE SQL PLANTIO'!T:T,"verificar",0),"")</f>
        <v/>
      </c>
      <c r="I1349" s="77" t="str">
        <f>IF(_xlfn.MINIFS('BASE SQL PLANTIO'!E:E,'BASE SQL PLANTIO'!B:B,VOOS!A1349)=0/1/1900,"",_xlfn.MINIFS('BASE SQL PLANTIO'!E:E,'BASE SQL PLANTIO'!B:B,VOOS!A1349))</f>
        <v/>
      </c>
      <c r="J1349" s="26"/>
      <c r="K1349" s="34" t="str">
        <f t="shared" ref="K1349:K1412" si="64">IF(I1349="","",$K$3-I1349)</f>
        <v/>
      </c>
      <c r="L1349" s="35" t="str">
        <f t="shared" ref="L1349:L1412" si="65">K1349</f>
        <v/>
      </c>
      <c r="M1349" s="14"/>
      <c r="N1349" s="15"/>
    </row>
    <row r="1350" spans="1:14" ht="15.6" x14ac:dyDescent="0.3">
      <c r="A1350" s="13" t="str">
        <f t="shared" si="63"/>
        <v>-</v>
      </c>
      <c r="B1350" s="27"/>
      <c r="C1350" s="26"/>
      <c r="D1350" s="26"/>
      <c r="E1350" s="26"/>
      <c r="F1350" s="26"/>
      <c r="G1350" s="34">
        <f>SUMIFS('BASE EXEC. Q.L'!N:N,'BASE EXEC. Q.L'!B:B,VOOS!A1350)</f>
        <v>0</v>
      </c>
      <c r="H1350" s="15" t="str">
        <f>IFERROR(_xlfn.XLOOKUP(A1350,'BASE SQL PLANTIO'!B:B,'BASE SQL PLANTIO'!T:T,"verificar",0),"")</f>
        <v/>
      </c>
      <c r="I1350" s="77" t="str">
        <f>IF(_xlfn.MINIFS('BASE SQL PLANTIO'!E:E,'BASE SQL PLANTIO'!B:B,VOOS!A1350)=0/1/1900,"",_xlfn.MINIFS('BASE SQL PLANTIO'!E:E,'BASE SQL PLANTIO'!B:B,VOOS!A1350))</f>
        <v/>
      </c>
      <c r="J1350" s="26"/>
      <c r="K1350" s="34" t="str">
        <f t="shared" si="64"/>
        <v/>
      </c>
      <c r="L1350" s="35" t="str">
        <f t="shared" si="65"/>
        <v/>
      </c>
      <c r="M1350" s="14"/>
      <c r="N1350" s="15"/>
    </row>
    <row r="1351" spans="1:14" ht="15.6" x14ac:dyDescent="0.3">
      <c r="A1351" s="13" t="str">
        <f t="shared" si="63"/>
        <v>-</v>
      </c>
      <c r="B1351" s="25"/>
      <c r="C1351" s="25"/>
      <c r="D1351" s="25"/>
      <c r="E1351" s="25"/>
      <c r="F1351" s="31"/>
      <c r="G1351" s="34">
        <f>SUMIFS('BASE EXEC. Q.L'!N:N,'BASE EXEC. Q.L'!B:B,VOOS!A1351)</f>
        <v>0</v>
      </c>
      <c r="H1351" s="15" t="str">
        <f>IFERROR(_xlfn.XLOOKUP(A1351,'BASE SQL PLANTIO'!B:B,'BASE SQL PLANTIO'!T:T,"verificar",0),"")</f>
        <v/>
      </c>
      <c r="I1351" s="77" t="str">
        <f>IF(_xlfn.MINIFS('BASE SQL PLANTIO'!E:E,'BASE SQL PLANTIO'!B:B,VOOS!A1351)=0/1/1900,"",_xlfn.MINIFS('BASE SQL PLANTIO'!E:E,'BASE SQL PLANTIO'!B:B,VOOS!A1351))</f>
        <v/>
      </c>
      <c r="J1351" s="26"/>
      <c r="K1351" s="34" t="str">
        <f t="shared" si="64"/>
        <v/>
      </c>
      <c r="L1351" s="35" t="str">
        <f t="shared" si="65"/>
        <v/>
      </c>
      <c r="M1351" s="14"/>
      <c r="N1351" s="15"/>
    </row>
    <row r="1352" spans="1:14" ht="15.6" x14ac:dyDescent="0.3">
      <c r="A1352" s="13" t="str">
        <f t="shared" si="63"/>
        <v>-</v>
      </c>
      <c r="B1352" s="25"/>
      <c r="C1352" s="25"/>
      <c r="D1352" s="25"/>
      <c r="E1352" s="25"/>
      <c r="F1352" s="31"/>
      <c r="G1352" s="34">
        <f>SUMIFS('BASE EXEC. Q.L'!N:N,'BASE EXEC. Q.L'!B:B,VOOS!A1352)</f>
        <v>0</v>
      </c>
      <c r="H1352" s="15" t="str">
        <f>IFERROR(_xlfn.XLOOKUP(A1352,'BASE SQL PLANTIO'!B:B,'BASE SQL PLANTIO'!T:T,"verificar",0),"")</f>
        <v/>
      </c>
      <c r="I1352" s="77" t="str">
        <f>IF(_xlfn.MINIFS('BASE SQL PLANTIO'!E:E,'BASE SQL PLANTIO'!B:B,VOOS!A1352)=0/1/1900,"",_xlfn.MINIFS('BASE SQL PLANTIO'!E:E,'BASE SQL PLANTIO'!B:B,VOOS!A1352))</f>
        <v/>
      </c>
      <c r="J1352" s="26"/>
      <c r="K1352" s="34" t="str">
        <f t="shared" si="64"/>
        <v/>
      </c>
      <c r="L1352" s="35" t="str">
        <f t="shared" si="65"/>
        <v/>
      </c>
      <c r="M1352" s="14"/>
      <c r="N1352" s="15"/>
    </row>
    <row r="1353" spans="1:14" ht="15.6" x14ac:dyDescent="0.3">
      <c r="A1353" s="13" t="str">
        <f t="shared" si="63"/>
        <v>-</v>
      </c>
      <c r="B1353" s="25"/>
      <c r="C1353" s="25"/>
      <c r="D1353" s="25"/>
      <c r="E1353" s="25"/>
      <c r="F1353" s="31"/>
      <c r="G1353" s="34">
        <f>SUMIFS('BASE EXEC. Q.L'!N:N,'BASE EXEC. Q.L'!B:B,VOOS!A1353)</f>
        <v>0</v>
      </c>
      <c r="H1353" s="15" t="str">
        <f>IFERROR(_xlfn.XLOOKUP(A1353,'BASE SQL PLANTIO'!B:B,'BASE SQL PLANTIO'!T:T,"verificar",0),"")</f>
        <v/>
      </c>
      <c r="I1353" s="77" t="str">
        <f>IF(_xlfn.MINIFS('BASE SQL PLANTIO'!E:E,'BASE SQL PLANTIO'!B:B,VOOS!A1353)=0/1/1900,"",_xlfn.MINIFS('BASE SQL PLANTIO'!E:E,'BASE SQL PLANTIO'!B:B,VOOS!A1353))</f>
        <v/>
      </c>
      <c r="J1353" s="26"/>
      <c r="K1353" s="34" t="str">
        <f t="shared" si="64"/>
        <v/>
      </c>
      <c r="L1353" s="35" t="str">
        <f t="shared" si="65"/>
        <v/>
      </c>
      <c r="M1353" s="14"/>
      <c r="N1353" s="15"/>
    </row>
    <row r="1354" spans="1:14" ht="15.6" x14ac:dyDescent="0.3">
      <c r="A1354" s="13" t="str">
        <f t="shared" si="63"/>
        <v>-</v>
      </c>
      <c r="B1354" s="27"/>
      <c r="C1354" s="26"/>
      <c r="D1354" s="26"/>
      <c r="E1354" s="26"/>
      <c r="F1354" s="26"/>
      <c r="G1354" s="34">
        <f>SUMIFS('BASE EXEC. Q.L'!N:N,'BASE EXEC. Q.L'!B:B,VOOS!A1354)</f>
        <v>0</v>
      </c>
      <c r="H1354" s="15" t="str">
        <f>IFERROR(_xlfn.XLOOKUP(A1354,'BASE SQL PLANTIO'!B:B,'BASE SQL PLANTIO'!T:T,"verificar",0),"")</f>
        <v/>
      </c>
      <c r="I1354" s="77" t="str">
        <f>IF(_xlfn.MINIFS('BASE SQL PLANTIO'!E:E,'BASE SQL PLANTIO'!B:B,VOOS!A1354)=0/1/1900,"",_xlfn.MINIFS('BASE SQL PLANTIO'!E:E,'BASE SQL PLANTIO'!B:B,VOOS!A1354))</f>
        <v/>
      </c>
      <c r="J1354" s="26"/>
      <c r="K1354" s="34" t="str">
        <f t="shared" si="64"/>
        <v/>
      </c>
      <c r="L1354" s="35" t="str">
        <f t="shared" si="65"/>
        <v/>
      </c>
      <c r="M1354" s="14"/>
      <c r="N1354" s="15"/>
    </row>
    <row r="1355" spans="1:14" ht="15.6" x14ac:dyDescent="0.3">
      <c r="A1355" s="13" t="str">
        <f t="shared" si="63"/>
        <v>-</v>
      </c>
      <c r="B1355" s="27"/>
      <c r="C1355" s="26"/>
      <c r="D1355" s="26"/>
      <c r="E1355" s="26"/>
      <c r="F1355" s="26"/>
      <c r="G1355" s="34">
        <f>SUMIFS('BASE EXEC. Q.L'!N:N,'BASE EXEC. Q.L'!B:B,VOOS!A1355)</f>
        <v>0</v>
      </c>
      <c r="H1355" s="15" t="str">
        <f>IFERROR(_xlfn.XLOOKUP(A1355,'BASE SQL PLANTIO'!B:B,'BASE SQL PLANTIO'!T:T,"verificar",0),"")</f>
        <v/>
      </c>
      <c r="I1355" s="77" t="str">
        <f>IF(_xlfn.MINIFS('BASE SQL PLANTIO'!E:E,'BASE SQL PLANTIO'!B:B,VOOS!A1355)=0/1/1900,"",_xlfn.MINIFS('BASE SQL PLANTIO'!E:E,'BASE SQL PLANTIO'!B:B,VOOS!A1355))</f>
        <v/>
      </c>
      <c r="J1355" s="26"/>
      <c r="K1355" s="34" t="str">
        <f t="shared" si="64"/>
        <v/>
      </c>
      <c r="L1355" s="35" t="str">
        <f t="shared" si="65"/>
        <v/>
      </c>
      <c r="M1355" s="14"/>
      <c r="N1355" s="16"/>
    </row>
    <row r="1356" spans="1:14" ht="15.6" x14ac:dyDescent="0.3">
      <c r="A1356" s="13" t="str">
        <f t="shared" si="63"/>
        <v>-</v>
      </c>
      <c r="B1356" s="25"/>
      <c r="C1356" s="25"/>
      <c r="D1356" s="25"/>
      <c r="E1356" s="25"/>
      <c r="F1356" s="31"/>
      <c r="G1356" s="34">
        <f>SUMIFS('BASE EXEC. Q.L'!N:N,'BASE EXEC. Q.L'!B:B,VOOS!A1356)</f>
        <v>0</v>
      </c>
      <c r="H1356" s="15" t="str">
        <f>IFERROR(_xlfn.XLOOKUP(A1356,'BASE SQL PLANTIO'!B:B,'BASE SQL PLANTIO'!T:T,"verificar",0),"")</f>
        <v/>
      </c>
      <c r="I1356" s="77" t="str">
        <f>IF(_xlfn.MINIFS('BASE SQL PLANTIO'!E:E,'BASE SQL PLANTIO'!B:B,VOOS!A1356)=0/1/1900,"",_xlfn.MINIFS('BASE SQL PLANTIO'!E:E,'BASE SQL PLANTIO'!B:B,VOOS!A1356))</f>
        <v/>
      </c>
      <c r="J1356" s="26"/>
      <c r="K1356" s="34" t="str">
        <f t="shared" si="64"/>
        <v/>
      </c>
      <c r="L1356" s="35" t="str">
        <f t="shared" si="65"/>
        <v/>
      </c>
      <c r="M1356" s="14"/>
      <c r="N1356" s="16"/>
    </row>
    <row r="1357" spans="1:14" ht="15.6" x14ac:dyDescent="0.3">
      <c r="A1357" s="13" t="str">
        <f t="shared" si="63"/>
        <v>-</v>
      </c>
      <c r="B1357" s="25"/>
      <c r="C1357" s="25"/>
      <c r="D1357" s="25"/>
      <c r="E1357" s="25"/>
      <c r="F1357" s="31"/>
      <c r="G1357" s="34">
        <f>SUMIFS('BASE EXEC. Q.L'!N:N,'BASE EXEC. Q.L'!B:B,VOOS!A1357)</f>
        <v>0</v>
      </c>
      <c r="H1357" s="15" t="str">
        <f>IFERROR(_xlfn.XLOOKUP(A1357,'BASE SQL PLANTIO'!B:B,'BASE SQL PLANTIO'!T:T,"verificar",0),"")</f>
        <v/>
      </c>
      <c r="I1357" s="77" t="str">
        <f>IF(_xlfn.MINIFS('BASE SQL PLANTIO'!E:E,'BASE SQL PLANTIO'!B:B,VOOS!A1357)=0/1/1900,"",_xlfn.MINIFS('BASE SQL PLANTIO'!E:E,'BASE SQL PLANTIO'!B:B,VOOS!A1357))</f>
        <v/>
      </c>
      <c r="J1357" s="26"/>
      <c r="K1357" s="34" t="str">
        <f t="shared" si="64"/>
        <v/>
      </c>
      <c r="L1357" s="35" t="str">
        <f t="shared" si="65"/>
        <v/>
      </c>
      <c r="M1357" s="14"/>
      <c r="N1357" s="16"/>
    </row>
    <row r="1358" spans="1:14" ht="15.6" x14ac:dyDescent="0.3">
      <c r="A1358" s="13" t="str">
        <f t="shared" si="63"/>
        <v>-</v>
      </c>
      <c r="B1358" s="25"/>
      <c r="C1358" s="25"/>
      <c r="D1358" s="25"/>
      <c r="E1358" s="25"/>
      <c r="F1358" s="31"/>
      <c r="G1358" s="34">
        <f>SUMIFS('BASE EXEC. Q.L'!N:N,'BASE EXEC. Q.L'!B:B,VOOS!A1358)</f>
        <v>0</v>
      </c>
      <c r="H1358" s="15" t="str">
        <f>IFERROR(_xlfn.XLOOKUP(A1358,'BASE SQL PLANTIO'!B:B,'BASE SQL PLANTIO'!T:T,"verificar",0),"")</f>
        <v/>
      </c>
      <c r="I1358" s="77" t="str">
        <f>IF(_xlfn.MINIFS('BASE SQL PLANTIO'!E:E,'BASE SQL PLANTIO'!B:B,VOOS!A1358)=0/1/1900,"",_xlfn.MINIFS('BASE SQL PLANTIO'!E:E,'BASE SQL PLANTIO'!B:B,VOOS!A1358))</f>
        <v/>
      </c>
      <c r="J1358" s="26"/>
      <c r="K1358" s="34" t="str">
        <f t="shared" si="64"/>
        <v/>
      </c>
      <c r="L1358" s="35" t="str">
        <f t="shared" si="65"/>
        <v/>
      </c>
      <c r="M1358" s="14"/>
      <c r="N1358" s="15"/>
    </row>
    <row r="1359" spans="1:14" ht="15.6" x14ac:dyDescent="0.3">
      <c r="A1359" s="13" t="str">
        <f t="shared" si="63"/>
        <v>-</v>
      </c>
      <c r="B1359" s="27"/>
      <c r="C1359" s="26"/>
      <c r="D1359" s="26"/>
      <c r="E1359" s="26"/>
      <c r="F1359" s="26"/>
      <c r="G1359" s="34">
        <f>SUMIFS('BASE EXEC. Q.L'!N:N,'BASE EXEC. Q.L'!B:B,VOOS!A1359)</f>
        <v>0</v>
      </c>
      <c r="H1359" s="15" t="str">
        <f>IFERROR(_xlfn.XLOOKUP(A1359,'BASE SQL PLANTIO'!B:B,'BASE SQL PLANTIO'!T:T,"verificar",0),"")</f>
        <v/>
      </c>
      <c r="I1359" s="77" t="str">
        <f>IF(_xlfn.MINIFS('BASE SQL PLANTIO'!E:E,'BASE SQL PLANTIO'!B:B,VOOS!A1359)=0/1/1900,"",_xlfn.MINIFS('BASE SQL PLANTIO'!E:E,'BASE SQL PLANTIO'!B:B,VOOS!A1359))</f>
        <v/>
      </c>
      <c r="J1359" s="26"/>
      <c r="K1359" s="34" t="str">
        <f t="shared" si="64"/>
        <v/>
      </c>
      <c r="L1359" s="35" t="str">
        <f t="shared" si="65"/>
        <v/>
      </c>
      <c r="M1359" s="14"/>
      <c r="N1359" s="16"/>
    </row>
    <row r="1360" spans="1:14" ht="15.6" x14ac:dyDescent="0.3">
      <c r="A1360" s="13" t="str">
        <f t="shared" si="63"/>
        <v>-</v>
      </c>
      <c r="B1360" s="27"/>
      <c r="C1360" s="26"/>
      <c r="D1360" s="26"/>
      <c r="E1360" s="26"/>
      <c r="F1360" s="26"/>
      <c r="G1360" s="34">
        <f>SUMIFS('BASE EXEC. Q.L'!N:N,'BASE EXEC. Q.L'!B:B,VOOS!A1360)</f>
        <v>0</v>
      </c>
      <c r="H1360" s="15" t="str">
        <f>IFERROR(_xlfn.XLOOKUP(A1360,'BASE SQL PLANTIO'!B:B,'BASE SQL PLANTIO'!T:T,"verificar",0),"")</f>
        <v/>
      </c>
      <c r="I1360" s="77" t="str">
        <f>IF(_xlfn.MINIFS('BASE SQL PLANTIO'!E:E,'BASE SQL PLANTIO'!B:B,VOOS!A1360)=0/1/1900,"",_xlfn.MINIFS('BASE SQL PLANTIO'!E:E,'BASE SQL PLANTIO'!B:B,VOOS!A1360))</f>
        <v/>
      </c>
      <c r="J1360" s="26"/>
      <c r="K1360" s="34" t="str">
        <f t="shared" si="64"/>
        <v/>
      </c>
      <c r="L1360" s="35" t="str">
        <f t="shared" si="65"/>
        <v/>
      </c>
      <c r="M1360" s="14"/>
      <c r="N1360" s="16"/>
    </row>
    <row r="1361" spans="1:14" ht="15.6" x14ac:dyDescent="0.3">
      <c r="A1361" s="13" t="str">
        <f t="shared" si="63"/>
        <v>-</v>
      </c>
      <c r="B1361" s="25"/>
      <c r="C1361" s="25"/>
      <c r="D1361" s="25"/>
      <c r="E1361" s="25"/>
      <c r="F1361" s="31"/>
      <c r="G1361" s="34">
        <f>SUMIFS('BASE EXEC. Q.L'!N:N,'BASE EXEC. Q.L'!B:B,VOOS!A1361)</f>
        <v>0</v>
      </c>
      <c r="H1361" s="15" t="str">
        <f>IFERROR(_xlfn.XLOOKUP(A1361,'BASE SQL PLANTIO'!B:B,'BASE SQL PLANTIO'!T:T,"verificar",0),"")</f>
        <v/>
      </c>
      <c r="I1361" s="77" t="str">
        <f>IF(_xlfn.MINIFS('BASE SQL PLANTIO'!E:E,'BASE SQL PLANTIO'!B:B,VOOS!A1361)=0/1/1900,"",_xlfn.MINIFS('BASE SQL PLANTIO'!E:E,'BASE SQL PLANTIO'!B:B,VOOS!A1361))</f>
        <v/>
      </c>
      <c r="J1361" s="26"/>
      <c r="K1361" s="34" t="str">
        <f t="shared" si="64"/>
        <v/>
      </c>
      <c r="L1361" s="35" t="str">
        <f t="shared" si="65"/>
        <v/>
      </c>
      <c r="M1361" s="14"/>
      <c r="N1361" s="16"/>
    </row>
    <row r="1362" spans="1:14" ht="15.6" x14ac:dyDescent="0.3">
      <c r="A1362" s="13" t="str">
        <f t="shared" si="63"/>
        <v>-</v>
      </c>
      <c r="B1362" s="25"/>
      <c r="C1362" s="25"/>
      <c r="D1362" s="25"/>
      <c r="E1362" s="25"/>
      <c r="F1362" s="31"/>
      <c r="G1362" s="34">
        <f>SUMIFS('BASE EXEC. Q.L'!N:N,'BASE EXEC. Q.L'!B:B,VOOS!A1362)</f>
        <v>0</v>
      </c>
      <c r="H1362" s="15" t="str">
        <f>IFERROR(_xlfn.XLOOKUP(A1362,'BASE SQL PLANTIO'!B:B,'BASE SQL PLANTIO'!T:T,"verificar",0),"")</f>
        <v/>
      </c>
      <c r="I1362" s="77" t="str">
        <f>IF(_xlfn.MINIFS('BASE SQL PLANTIO'!E:E,'BASE SQL PLANTIO'!B:B,VOOS!A1362)=0/1/1900,"",_xlfn.MINIFS('BASE SQL PLANTIO'!E:E,'BASE SQL PLANTIO'!B:B,VOOS!A1362))</f>
        <v/>
      </c>
      <c r="J1362" s="26"/>
      <c r="K1362" s="34" t="str">
        <f t="shared" si="64"/>
        <v/>
      </c>
      <c r="L1362" s="35" t="str">
        <f t="shared" si="65"/>
        <v/>
      </c>
      <c r="M1362" s="14"/>
      <c r="N1362" s="16"/>
    </row>
    <row r="1363" spans="1:14" ht="15.6" x14ac:dyDescent="0.3">
      <c r="A1363" s="13" t="str">
        <f t="shared" si="63"/>
        <v>-</v>
      </c>
      <c r="B1363" s="25"/>
      <c r="C1363" s="25"/>
      <c r="D1363" s="25"/>
      <c r="E1363" s="25"/>
      <c r="F1363" s="31"/>
      <c r="G1363" s="34">
        <f>SUMIFS('BASE EXEC. Q.L'!N:N,'BASE EXEC. Q.L'!B:B,VOOS!A1363)</f>
        <v>0</v>
      </c>
      <c r="H1363" s="15" t="str">
        <f>IFERROR(_xlfn.XLOOKUP(A1363,'BASE SQL PLANTIO'!B:B,'BASE SQL PLANTIO'!T:T,"verificar",0),"")</f>
        <v/>
      </c>
      <c r="I1363" s="77" t="str">
        <f>IF(_xlfn.MINIFS('BASE SQL PLANTIO'!E:E,'BASE SQL PLANTIO'!B:B,VOOS!A1363)=0/1/1900,"",_xlfn.MINIFS('BASE SQL PLANTIO'!E:E,'BASE SQL PLANTIO'!B:B,VOOS!A1363))</f>
        <v/>
      </c>
      <c r="J1363" s="26"/>
      <c r="K1363" s="34" t="str">
        <f t="shared" si="64"/>
        <v/>
      </c>
      <c r="L1363" s="35" t="str">
        <f t="shared" si="65"/>
        <v/>
      </c>
      <c r="M1363" s="14"/>
      <c r="N1363" s="15"/>
    </row>
    <row r="1364" spans="1:14" ht="15.6" x14ac:dyDescent="0.3">
      <c r="A1364" s="13" t="str">
        <f t="shared" si="63"/>
        <v>-</v>
      </c>
      <c r="B1364" s="27"/>
      <c r="C1364" s="26"/>
      <c r="D1364" s="26"/>
      <c r="E1364" s="26"/>
      <c r="F1364" s="26"/>
      <c r="G1364" s="34">
        <f>SUMIFS('BASE EXEC. Q.L'!N:N,'BASE EXEC. Q.L'!B:B,VOOS!A1364)</f>
        <v>0</v>
      </c>
      <c r="H1364" s="15" t="str">
        <f>IFERROR(_xlfn.XLOOKUP(A1364,'BASE SQL PLANTIO'!B:B,'BASE SQL PLANTIO'!T:T,"verificar",0),"")</f>
        <v/>
      </c>
      <c r="I1364" s="77" t="str">
        <f>IF(_xlfn.MINIFS('BASE SQL PLANTIO'!E:E,'BASE SQL PLANTIO'!B:B,VOOS!A1364)=0/1/1900,"",_xlfn.MINIFS('BASE SQL PLANTIO'!E:E,'BASE SQL PLANTIO'!B:B,VOOS!A1364))</f>
        <v/>
      </c>
      <c r="J1364" s="26"/>
      <c r="K1364" s="34" t="str">
        <f t="shared" si="64"/>
        <v/>
      </c>
      <c r="L1364" s="35" t="str">
        <f t="shared" si="65"/>
        <v/>
      </c>
      <c r="M1364" s="14"/>
      <c r="N1364" s="16"/>
    </row>
    <row r="1365" spans="1:14" ht="15.6" x14ac:dyDescent="0.3">
      <c r="A1365" s="13" t="str">
        <f t="shared" si="63"/>
        <v>-</v>
      </c>
      <c r="B1365" s="27"/>
      <c r="C1365" s="26"/>
      <c r="D1365" s="26"/>
      <c r="E1365" s="26"/>
      <c r="F1365" s="26"/>
      <c r="G1365" s="34">
        <f>SUMIFS('BASE EXEC. Q.L'!N:N,'BASE EXEC. Q.L'!B:B,VOOS!A1365)</f>
        <v>0</v>
      </c>
      <c r="H1365" s="15" t="str">
        <f>IFERROR(_xlfn.XLOOKUP(A1365,'BASE SQL PLANTIO'!B:B,'BASE SQL PLANTIO'!T:T,"verificar",0),"")</f>
        <v/>
      </c>
      <c r="I1365" s="77" t="str">
        <f>IF(_xlfn.MINIFS('BASE SQL PLANTIO'!E:E,'BASE SQL PLANTIO'!B:B,VOOS!A1365)=0/1/1900,"",_xlfn.MINIFS('BASE SQL PLANTIO'!E:E,'BASE SQL PLANTIO'!B:B,VOOS!A1365))</f>
        <v/>
      </c>
      <c r="J1365" s="26"/>
      <c r="K1365" s="34" t="str">
        <f t="shared" si="64"/>
        <v/>
      </c>
      <c r="L1365" s="35" t="str">
        <f t="shared" si="65"/>
        <v/>
      </c>
      <c r="M1365" s="14"/>
      <c r="N1365" s="16"/>
    </row>
    <row r="1366" spans="1:14" ht="15.6" x14ac:dyDescent="0.3">
      <c r="A1366" s="13" t="str">
        <f t="shared" si="63"/>
        <v>-</v>
      </c>
      <c r="B1366" s="25"/>
      <c r="C1366" s="25"/>
      <c r="D1366" s="25"/>
      <c r="E1366" s="25"/>
      <c r="F1366" s="31"/>
      <c r="G1366" s="34">
        <f>SUMIFS('BASE EXEC. Q.L'!N:N,'BASE EXEC. Q.L'!B:B,VOOS!A1366)</f>
        <v>0</v>
      </c>
      <c r="H1366" s="15" t="str">
        <f>IFERROR(_xlfn.XLOOKUP(A1366,'BASE SQL PLANTIO'!B:B,'BASE SQL PLANTIO'!T:T,"verificar",0),"")</f>
        <v/>
      </c>
      <c r="I1366" s="77" t="str">
        <f>IF(_xlfn.MINIFS('BASE SQL PLANTIO'!E:E,'BASE SQL PLANTIO'!B:B,VOOS!A1366)=0/1/1900,"",_xlfn.MINIFS('BASE SQL PLANTIO'!E:E,'BASE SQL PLANTIO'!B:B,VOOS!A1366))</f>
        <v/>
      </c>
      <c r="J1366" s="26"/>
      <c r="K1366" s="34" t="str">
        <f t="shared" si="64"/>
        <v/>
      </c>
      <c r="L1366" s="35" t="str">
        <f t="shared" si="65"/>
        <v/>
      </c>
      <c r="M1366" s="14"/>
      <c r="N1366" s="16"/>
    </row>
    <row r="1367" spans="1:14" ht="15.6" x14ac:dyDescent="0.3">
      <c r="A1367" s="13" t="str">
        <f t="shared" si="63"/>
        <v>-</v>
      </c>
      <c r="B1367" s="25"/>
      <c r="C1367" s="25"/>
      <c r="D1367" s="25"/>
      <c r="E1367" s="25"/>
      <c r="F1367" s="31"/>
      <c r="G1367" s="34">
        <f>SUMIFS('BASE EXEC. Q.L'!N:N,'BASE EXEC. Q.L'!B:B,VOOS!A1367)</f>
        <v>0</v>
      </c>
      <c r="H1367" s="15" t="str">
        <f>IFERROR(_xlfn.XLOOKUP(A1367,'BASE SQL PLANTIO'!B:B,'BASE SQL PLANTIO'!T:T,"verificar",0),"")</f>
        <v/>
      </c>
      <c r="I1367" s="77" t="str">
        <f>IF(_xlfn.MINIFS('BASE SQL PLANTIO'!E:E,'BASE SQL PLANTIO'!B:B,VOOS!A1367)=0/1/1900,"",_xlfn.MINIFS('BASE SQL PLANTIO'!E:E,'BASE SQL PLANTIO'!B:B,VOOS!A1367))</f>
        <v/>
      </c>
      <c r="J1367" s="26"/>
      <c r="K1367" s="34" t="str">
        <f t="shared" si="64"/>
        <v/>
      </c>
      <c r="L1367" s="35" t="str">
        <f t="shared" si="65"/>
        <v/>
      </c>
      <c r="M1367" s="14"/>
      <c r="N1367" s="16"/>
    </row>
    <row r="1368" spans="1:14" ht="15.6" x14ac:dyDescent="0.3">
      <c r="A1368" s="13" t="str">
        <f t="shared" si="63"/>
        <v>-</v>
      </c>
      <c r="B1368" s="25"/>
      <c r="C1368" s="25"/>
      <c r="D1368" s="25"/>
      <c r="E1368" s="25"/>
      <c r="F1368" s="31"/>
      <c r="G1368" s="34">
        <f>SUMIFS('BASE EXEC. Q.L'!N:N,'BASE EXEC. Q.L'!B:B,VOOS!A1368)</f>
        <v>0</v>
      </c>
      <c r="H1368" s="15" t="str">
        <f>IFERROR(_xlfn.XLOOKUP(A1368,'BASE SQL PLANTIO'!B:B,'BASE SQL PLANTIO'!T:T,"verificar",0),"")</f>
        <v/>
      </c>
      <c r="I1368" s="77" t="str">
        <f>IF(_xlfn.MINIFS('BASE SQL PLANTIO'!E:E,'BASE SQL PLANTIO'!B:B,VOOS!A1368)=0/1/1900,"",_xlfn.MINIFS('BASE SQL PLANTIO'!E:E,'BASE SQL PLANTIO'!B:B,VOOS!A1368))</f>
        <v/>
      </c>
      <c r="J1368" s="26"/>
      <c r="K1368" s="34" t="str">
        <f t="shared" si="64"/>
        <v/>
      </c>
      <c r="L1368" s="35" t="str">
        <f t="shared" si="65"/>
        <v/>
      </c>
      <c r="M1368" s="14"/>
      <c r="N1368" s="15"/>
    </row>
    <row r="1369" spans="1:14" ht="15.6" x14ac:dyDescent="0.3">
      <c r="A1369" s="13" t="str">
        <f t="shared" si="63"/>
        <v>-</v>
      </c>
      <c r="B1369" s="27"/>
      <c r="C1369" s="26"/>
      <c r="D1369" s="26"/>
      <c r="E1369" s="26"/>
      <c r="F1369" s="26"/>
      <c r="G1369" s="34">
        <f>SUMIFS('BASE EXEC. Q.L'!N:N,'BASE EXEC. Q.L'!B:B,VOOS!A1369)</f>
        <v>0</v>
      </c>
      <c r="H1369" s="15" t="str">
        <f>IFERROR(_xlfn.XLOOKUP(A1369,'BASE SQL PLANTIO'!B:B,'BASE SQL PLANTIO'!T:T,"verificar",0),"")</f>
        <v/>
      </c>
      <c r="I1369" s="77" t="str">
        <f>IF(_xlfn.MINIFS('BASE SQL PLANTIO'!E:E,'BASE SQL PLANTIO'!B:B,VOOS!A1369)=0/1/1900,"",_xlfn.MINIFS('BASE SQL PLANTIO'!E:E,'BASE SQL PLANTIO'!B:B,VOOS!A1369))</f>
        <v/>
      </c>
      <c r="J1369" s="26"/>
      <c r="K1369" s="34" t="str">
        <f t="shared" si="64"/>
        <v/>
      </c>
      <c r="L1369" s="35" t="str">
        <f t="shared" si="65"/>
        <v/>
      </c>
      <c r="M1369" s="14"/>
      <c r="N1369" s="16"/>
    </row>
    <row r="1370" spans="1:14" ht="15.6" x14ac:dyDescent="0.3">
      <c r="A1370" s="13" t="str">
        <f t="shared" si="63"/>
        <v>-</v>
      </c>
      <c r="B1370" s="25"/>
      <c r="C1370" s="25"/>
      <c r="D1370" s="25"/>
      <c r="E1370" s="25"/>
      <c r="F1370" s="31"/>
      <c r="G1370" s="34">
        <f>SUMIFS('BASE EXEC. Q.L'!N:N,'BASE EXEC. Q.L'!B:B,VOOS!A1370)</f>
        <v>0</v>
      </c>
      <c r="H1370" s="15" t="str">
        <f>IFERROR(_xlfn.XLOOKUP(A1370,'BASE SQL PLANTIO'!B:B,'BASE SQL PLANTIO'!T:T,"verificar",0),"")</f>
        <v/>
      </c>
      <c r="I1370" s="77" t="str">
        <f>IF(_xlfn.MINIFS('BASE SQL PLANTIO'!E:E,'BASE SQL PLANTIO'!B:B,VOOS!A1370)=0/1/1900,"",_xlfn.MINIFS('BASE SQL PLANTIO'!E:E,'BASE SQL PLANTIO'!B:B,VOOS!A1370))</f>
        <v/>
      </c>
      <c r="J1370" s="26"/>
      <c r="K1370" s="34" t="str">
        <f t="shared" si="64"/>
        <v/>
      </c>
      <c r="L1370" s="35" t="str">
        <f t="shared" si="65"/>
        <v/>
      </c>
      <c r="M1370" s="14"/>
      <c r="N1370" s="16"/>
    </row>
    <row r="1371" spans="1:14" ht="15.6" x14ac:dyDescent="0.3">
      <c r="A1371" s="13" t="str">
        <f t="shared" si="63"/>
        <v>-</v>
      </c>
      <c r="B1371" s="25"/>
      <c r="C1371" s="25"/>
      <c r="D1371" s="25"/>
      <c r="E1371" s="25"/>
      <c r="F1371" s="31"/>
      <c r="G1371" s="34">
        <f>SUMIFS('BASE EXEC. Q.L'!N:N,'BASE EXEC. Q.L'!B:B,VOOS!A1371)</f>
        <v>0</v>
      </c>
      <c r="H1371" s="15" t="str">
        <f>IFERROR(_xlfn.XLOOKUP(A1371,'BASE SQL PLANTIO'!B:B,'BASE SQL PLANTIO'!T:T,"verificar",0),"")</f>
        <v/>
      </c>
      <c r="I1371" s="77" t="str">
        <f>IF(_xlfn.MINIFS('BASE SQL PLANTIO'!E:E,'BASE SQL PLANTIO'!B:B,VOOS!A1371)=0/1/1900,"",_xlfn.MINIFS('BASE SQL PLANTIO'!E:E,'BASE SQL PLANTIO'!B:B,VOOS!A1371))</f>
        <v/>
      </c>
      <c r="J1371" s="26"/>
      <c r="K1371" s="34" t="str">
        <f t="shared" si="64"/>
        <v/>
      </c>
      <c r="L1371" s="35" t="str">
        <f t="shared" si="65"/>
        <v/>
      </c>
      <c r="M1371" s="14"/>
      <c r="N1371" s="15"/>
    </row>
    <row r="1372" spans="1:14" ht="15.6" x14ac:dyDescent="0.3">
      <c r="A1372" s="13" t="str">
        <f t="shared" si="63"/>
        <v>-</v>
      </c>
      <c r="B1372" s="27"/>
      <c r="C1372" s="26"/>
      <c r="D1372" s="26"/>
      <c r="E1372" s="26"/>
      <c r="F1372" s="26"/>
      <c r="G1372" s="34">
        <f>SUMIFS('BASE EXEC. Q.L'!N:N,'BASE EXEC. Q.L'!B:B,VOOS!A1372)</f>
        <v>0</v>
      </c>
      <c r="H1372" s="15" t="str">
        <f>IFERROR(_xlfn.XLOOKUP(A1372,'BASE SQL PLANTIO'!B:B,'BASE SQL PLANTIO'!T:T,"verificar",0),"")</f>
        <v/>
      </c>
      <c r="I1372" s="77" t="str">
        <f>IF(_xlfn.MINIFS('BASE SQL PLANTIO'!E:E,'BASE SQL PLANTIO'!B:B,VOOS!A1372)=0/1/1900,"",_xlfn.MINIFS('BASE SQL PLANTIO'!E:E,'BASE SQL PLANTIO'!B:B,VOOS!A1372))</f>
        <v/>
      </c>
      <c r="J1372" s="26"/>
      <c r="K1372" s="34" t="str">
        <f t="shared" si="64"/>
        <v/>
      </c>
      <c r="L1372" s="35" t="str">
        <f t="shared" si="65"/>
        <v/>
      </c>
      <c r="M1372" s="14"/>
      <c r="N1372" s="16"/>
    </row>
    <row r="1373" spans="1:14" ht="15.6" x14ac:dyDescent="0.3">
      <c r="A1373" s="13" t="str">
        <f t="shared" si="63"/>
        <v>-</v>
      </c>
      <c r="B1373" s="27"/>
      <c r="C1373" s="26"/>
      <c r="D1373" s="26"/>
      <c r="E1373" s="26"/>
      <c r="F1373" s="26"/>
      <c r="G1373" s="34">
        <f>SUMIFS('BASE EXEC. Q.L'!N:N,'BASE EXEC. Q.L'!B:B,VOOS!A1373)</f>
        <v>0</v>
      </c>
      <c r="H1373" s="15" t="str">
        <f>IFERROR(_xlfn.XLOOKUP(A1373,'BASE SQL PLANTIO'!B:B,'BASE SQL PLANTIO'!T:T,"verificar",0),"")</f>
        <v/>
      </c>
      <c r="I1373" s="77" t="str">
        <f>IF(_xlfn.MINIFS('BASE SQL PLANTIO'!E:E,'BASE SQL PLANTIO'!B:B,VOOS!A1373)=0/1/1900,"",_xlfn.MINIFS('BASE SQL PLANTIO'!E:E,'BASE SQL PLANTIO'!B:B,VOOS!A1373))</f>
        <v/>
      </c>
      <c r="J1373" s="26"/>
      <c r="K1373" s="34" t="str">
        <f t="shared" si="64"/>
        <v/>
      </c>
      <c r="L1373" s="35" t="str">
        <f t="shared" si="65"/>
        <v/>
      </c>
      <c r="M1373" s="14"/>
      <c r="N1373" s="16"/>
    </row>
    <row r="1374" spans="1:14" ht="15.6" x14ac:dyDescent="0.3">
      <c r="A1374" s="13" t="str">
        <f t="shared" si="63"/>
        <v>-</v>
      </c>
      <c r="B1374" s="25"/>
      <c r="C1374" s="25"/>
      <c r="D1374" s="25"/>
      <c r="E1374" s="25"/>
      <c r="F1374" s="31"/>
      <c r="G1374" s="34">
        <f>SUMIFS('BASE EXEC. Q.L'!N:N,'BASE EXEC. Q.L'!B:B,VOOS!A1374)</f>
        <v>0</v>
      </c>
      <c r="H1374" s="15" t="str">
        <f>IFERROR(_xlfn.XLOOKUP(A1374,'BASE SQL PLANTIO'!B:B,'BASE SQL PLANTIO'!T:T,"verificar",0),"")</f>
        <v/>
      </c>
      <c r="I1374" s="77" t="str">
        <f>IF(_xlfn.MINIFS('BASE SQL PLANTIO'!E:E,'BASE SQL PLANTIO'!B:B,VOOS!A1374)=0/1/1900,"",_xlfn.MINIFS('BASE SQL PLANTIO'!E:E,'BASE SQL PLANTIO'!B:B,VOOS!A1374))</f>
        <v/>
      </c>
      <c r="J1374" s="26"/>
      <c r="K1374" s="34" t="str">
        <f t="shared" si="64"/>
        <v/>
      </c>
      <c r="L1374" s="35" t="str">
        <f t="shared" si="65"/>
        <v/>
      </c>
      <c r="M1374" s="14"/>
      <c r="N1374" s="16"/>
    </row>
    <row r="1375" spans="1:14" ht="15.6" x14ac:dyDescent="0.3">
      <c r="A1375" s="13" t="str">
        <f t="shared" si="63"/>
        <v>-</v>
      </c>
      <c r="B1375" s="25"/>
      <c r="C1375" s="25"/>
      <c r="D1375" s="25"/>
      <c r="E1375" s="25"/>
      <c r="F1375" s="31"/>
      <c r="G1375" s="34">
        <f>SUMIFS('BASE EXEC. Q.L'!N:N,'BASE EXEC. Q.L'!B:B,VOOS!A1375)</f>
        <v>0</v>
      </c>
      <c r="H1375" s="15" t="str">
        <f>IFERROR(_xlfn.XLOOKUP(A1375,'BASE SQL PLANTIO'!B:B,'BASE SQL PLANTIO'!T:T,"verificar",0),"")</f>
        <v/>
      </c>
      <c r="I1375" s="77" t="str">
        <f>IF(_xlfn.MINIFS('BASE SQL PLANTIO'!E:E,'BASE SQL PLANTIO'!B:B,VOOS!A1375)=0/1/1900,"",_xlfn.MINIFS('BASE SQL PLANTIO'!E:E,'BASE SQL PLANTIO'!B:B,VOOS!A1375))</f>
        <v/>
      </c>
      <c r="J1375" s="26"/>
      <c r="K1375" s="34" t="str">
        <f t="shared" si="64"/>
        <v/>
      </c>
      <c r="L1375" s="35" t="str">
        <f t="shared" si="65"/>
        <v/>
      </c>
      <c r="M1375" s="14"/>
      <c r="N1375" s="16"/>
    </row>
    <row r="1376" spans="1:14" ht="15.6" x14ac:dyDescent="0.3">
      <c r="A1376" s="13" t="str">
        <f t="shared" si="63"/>
        <v>-</v>
      </c>
      <c r="B1376" s="27"/>
      <c r="C1376" s="26"/>
      <c r="D1376" s="26"/>
      <c r="E1376" s="26"/>
      <c r="F1376" s="26"/>
      <c r="G1376" s="34">
        <f>SUMIFS('BASE EXEC. Q.L'!N:N,'BASE EXEC. Q.L'!B:B,VOOS!A1376)</f>
        <v>0</v>
      </c>
      <c r="H1376" s="15" t="str">
        <f>IFERROR(_xlfn.XLOOKUP(A1376,'BASE SQL PLANTIO'!B:B,'BASE SQL PLANTIO'!T:T,"verificar",0),"")</f>
        <v/>
      </c>
      <c r="I1376" s="77" t="str">
        <f>IF(_xlfn.MINIFS('BASE SQL PLANTIO'!E:E,'BASE SQL PLANTIO'!B:B,VOOS!A1376)=0/1/1900,"",_xlfn.MINIFS('BASE SQL PLANTIO'!E:E,'BASE SQL PLANTIO'!B:B,VOOS!A1376))</f>
        <v/>
      </c>
      <c r="J1376" s="26"/>
      <c r="K1376" s="34" t="str">
        <f t="shared" si="64"/>
        <v/>
      </c>
      <c r="L1376" s="35" t="str">
        <f t="shared" si="65"/>
        <v/>
      </c>
      <c r="M1376" s="14"/>
      <c r="N1376" s="15"/>
    </row>
    <row r="1377" spans="1:14" ht="15.6" x14ac:dyDescent="0.3">
      <c r="A1377" s="13" t="str">
        <f t="shared" si="63"/>
        <v>-</v>
      </c>
      <c r="B1377" s="25"/>
      <c r="C1377" s="25"/>
      <c r="D1377" s="25"/>
      <c r="E1377" s="25"/>
      <c r="F1377" s="31"/>
      <c r="G1377" s="34">
        <f>SUMIFS('BASE EXEC. Q.L'!N:N,'BASE EXEC. Q.L'!B:B,VOOS!A1377)</f>
        <v>0</v>
      </c>
      <c r="H1377" s="15" t="str">
        <f>IFERROR(_xlfn.XLOOKUP(A1377,'BASE SQL PLANTIO'!B:B,'BASE SQL PLANTIO'!T:T,"verificar",0),"")</f>
        <v/>
      </c>
      <c r="I1377" s="77" t="str">
        <f>IF(_xlfn.MINIFS('BASE SQL PLANTIO'!E:E,'BASE SQL PLANTIO'!B:B,VOOS!A1377)=0/1/1900,"",_xlfn.MINIFS('BASE SQL PLANTIO'!E:E,'BASE SQL PLANTIO'!B:B,VOOS!A1377))</f>
        <v/>
      </c>
      <c r="J1377" s="26"/>
      <c r="K1377" s="34" t="str">
        <f t="shared" si="64"/>
        <v/>
      </c>
      <c r="L1377" s="35" t="str">
        <f t="shared" si="65"/>
        <v/>
      </c>
      <c r="M1377" s="14"/>
      <c r="N1377" s="15"/>
    </row>
    <row r="1378" spans="1:14" ht="15.6" x14ac:dyDescent="0.3">
      <c r="A1378" s="13" t="str">
        <f t="shared" si="63"/>
        <v>-</v>
      </c>
      <c r="B1378" s="25"/>
      <c r="C1378" s="25"/>
      <c r="D1378" s="25"/>
      <c r="E1378" s="25"/>
      <c r="F1378" s="31"/>
      <c r="G1378" s="34">
        <f>SUMIFS('BASE EXEC. Q.L'!N:N,'BASE EXEC. Q.L'!B:B,VOOS!A1378)</f>
        <v>0</v>
      </c>
      <c r="H1378" s="15" t="str">
        <f>IFERROR(_xlfn.XLOOKUP(A1378,'BASE SQL PLANTIO'!B:B,'BASE SQL PLANTIO'!T:T,"verificar",0),"")</f>
        <v/>
      </c>
      <c r="I1378" s="77" t="str">
        <f>IF(_xlfn.MINIFS('BASE SQL PLANTIO'!E:E,'BASE SQL PLANTIO'!B:B,VOOS!A1378)=0/1/1900,"",_xlfn.MINIFS('BASE SQL PLANTIO'!E:E,'BASE SQL PLANTIO'!B:B,VOOS!A1378))</f>
        <v/>
      </c>
      <c r="J1378" s="26"/>
      <c r="K1378" s="34" t="str">
        <f t="shared" si="64"/>
        <v/>
      </c>
      <c r="L1378" s="35" t="str">
        <f t="shared" si="65"/>
        <v/>
      </c>
      <c r="M1378" s="14"/>
      <c r="N1378" s="15"/>
    </row>
    <row r="1379" spans="1:14" ht="15.6" x14ac:dyDescent="0.3">
      <c r="A1379" s="13" t="str">
        <f t="shared" si="63"/>
        <v>-</v>
      </c>
      <c r="B1379" s="25"/>
      <c r="C1379" s="25"/>
      <c r="D1379" s="25"/>
      <c r="E1379" s="25"/>
      <c r="F1379" s="31"/>
      <c r="G1379" s="34">
        <f>SUMIFS('BASE EXEC. Q.L'!N:N,'BASE EXEC. Q.L'!B:B,VOOS!A1379)</f>
        <v>0</v>
      </c>
      <c r="H1379" s="15" t="str">
        <f>IFERROR(_xlfn.XLOOKUP(A1379,'BASE SQL PLANTIO'!B:B,'BASE SQL PLANTIO'!T:T,"verificar",0),"")</f>
        <v/>
      </c>
      <c r="I1379" s="77" t="str">
        <f>IF(_xlfn.MINIFS('BASE SQL PLANTIO'!E:E,'BASE SQL PLANTIO'!B:B,VOOS!A1379)=0/1/1900,"",_xlfn.MINIFS('BASE SQL PLANTIO'!E:E,'BASE SQL PLANTIO'!B:B,VOOS!A1379))</f>
        <v/>
      </c>
      <c r="J1379" s="26"/>
      <c r="K1379" s="34" t="str">
        <f t="shared" si="64"/>
        <v/>
      </c>
      <c r="L1379" s="35" t="str">
        <f t="shared" si="65"/>
        <v/>
      </c>
      <c r="M1379" s="14"/>
      <c r="N1379" s="15"/>
    </row>
    <row r="1380" spans="1:14" ht="15.6" x14ac:dyDescent="0.3">
      <c r="A1380" s="13" t="str">
        <f t="shared" si="63"/>
        <v>-</v>
      </c>
      <c r="B1380" s="27"/>
      <c r="C1380" s="26"/>
      <c r="D1380" s="26"/>
      <c r="E1380" s="26"/>
      <c r="F1380" s="26"/>
      <c r="G1380" s="34">
        <f>SUMIFS('BASE EXEC. Q.L'!N:N,'BASE EXEC. Q.L'!B:B,VOOS!A1380)</f>
        <v>0</v>
      </c>
      <c r="H1380" s="15" t="str">
        <f>IFERROR(_xlfn.XLOOKUP(A1380,'BASE SQL PLANTIO'!B:B,'BASE SQL PLANTIO'!T:T,"verificar",0),"")</f>
        <v/>
      </c>
      <c r="I1380" s="77" t="str">
        <f>IF(_xlfn.MINIFS('BASE SQL PLANTIO'!E:E,'BASE SQL PLANTIO'!B:B,VOOS!A1380)=0/1/1900,"",_xlfn.MINIFS('BASE SQL PLANTIO'!E:E,'BASE SQL PLANTIO'!B:B,VOOS!A1380))</f>
        <v/>
      </c>
      <c r="J1380" s="26"/>
      <c r="K1380" s="34" t="str">
        <f t="shared" si="64"/>
        <v/>
      </c>
      <c r="L1380" s="35" t="str">
        <f t="shared" si="65"/>
        <v/>
      </c>
      <c r="M1380" s="14"/>
      <c r="N1380" s="15"/>
    </row>
    <row r="1381" spans="1:14" ht="15.6" x14ac:dyDescent="0.3">
      <c r="A1381" s="13" t="str">
        <f t="shared" si="63"/>
        <v>-</v>
      </c>
      <c r="B1381" s="27"/>
      <c r="C1381" s="26"/>
      <c r="D1381" s="26"/>
      <c r="E1381" s="26"/>
      <c r="F1381" s="26"/>
      <c r="G1381" s="34">
        <f>SUMIFS('BASE EXEC. Q.L'!N:N,'BASE EXEC. Q.L'!B:B,VOOS!A1381)</f>
        <v>0</v>
      </c>
      <c r="H1381" s="15" t="str">
        <f>IFERROR(_xlfn.XLOOKUP(A1381,'BASE SQL PLANTIO'!B:B,'BASE SQL PLANTIO'!T:T,"verificar",0),"")</f>
        <v/>
      </c>
      <c r="I1381" s="77" t="str">
        <f>IF(_xlfn.MINIFS('BASE SQL PLANTIO'!E:E,'BASE SQL PLANTIO'!B:B,VOOS!A1381)=0/1/1900,"",_xlfn.MINIFS('BASE SQL PLANTIO'!E:E,'BASE SQL PLANTIO'!B:B,VOOS!A1381))</f>
        <v/>
      </c>
      <c r="J1381" s="26"/>
      <c r="K1381" s="34" t="str">
        <f t="shared" si="64"/>
        <v/>
      </c>
      <c r="L1381" s="35" t="str">
        <f t="shared" si="65"/>
        <v/>
      </c>
      <c r="M1381" s="14"/>
      <c r="N1381" s="15"/>
    </row>
    <row r="1382" spans="1:14" ht="15.6" x14ac:dyDescent="0.3">
      <c r="A1382" s="13" t="str">
        <f t="shared" si="63"/>
        <v>-</v>
      </c>
      <c r="B1382" s="25"/>
      <c r="C1382" s="25"/>
      <c r="D1382" s="25"/>
      <c r="E1382" s="25"/>
      <c r="F1382" s="31"/>
      <c r="G1382" s="34">
        <f>SUMIFS('BASE EXEC. Q.L'!N:N,'BASE EXEC. Q.L'!B:B,VOOS!A1382)</f>
        <v>0</v>
      </c>
      <c r="H1382" s="15" t="str">
        <f>IFERROR(_xlfn.XLOOKUP(A1382,'BASE SQL PLANTIO'!B:B,'BASE SQL PLANTIO'!T:T,"verificar",0),"")</f>
        <v/>
      </c>
      <c r="I1382" s="77" t="str">
        <f>IF(_xlfn.MINIFS('BASE SQL PLANTIO'!E:E,'BASE SQL PLANTIO'!B:B,VOOS!A1382)=0/1/1900,"",_xlfn.MINIFS('BASE SQL PLANTIO'!E:E,'BASE SQL PLANTIO'!B:B,VOOS!A1382))</f>
        <v/>
      </c>
      <c r="J1382" s="26"/>
      <c r="K1382" s="34" t="str">
        <f t="shared" si="64"/>
        <v/>
      </c>
      <c r="L1382" s="35" t="str">
        <f t="shared" si="65"/>
        <v/>
      </c>
      <c r="M1382" s="14"/>
      <c r="N1382" s="15"/>
    </row>
    <row r="1383" spans="1:14" ht="15.6" x14ac:dyDescent="0.3">
      <c r="A1383" s="13" t="str">
        <f t="shared" si="63"/>
        <v>-</v>
      </c>
      <c r="B1383" s="25"/>
      <c r="C1383" s="25"/>
      <c r="D1383" s="25"/>
      <c r="E1383" s="25"/>
      <c r="F1383" s="31"/>
      <c r="G1383" s="34">
        <f>SUMIFS('BASE EXEC. Q.L'!N:N,'BASE EXEC. Q.L'!B:B,VOOS!A1383)</f>
        <v>0</v>
      </c>
      <c r="H1383" s="15" t="str">
        <f>IFERROR(_xlfn.XLOOKUP(A1383,'BASE SQL PLANTIO'!B:B,'BASE SQL PLANTIO'!T:T,"verificar",0),"")</f>
        <v/>
      </c>
      <c r="I1383" s="77" t="str">
        <f>IF(_xlfn.MINIFS('BASE SQL PLANTIO'!E:E,'BASE SQL PLANTIO'!B:B,VOOS!A1383)=0/1/1900,"",_xlfn.MINIFS('BASE SQL PLANTIO'!E:E,'BASE SQL PLANTIO'!B:B,VOOS!A1383))</f>
        <v/>
      </c>
      <c r="J1383" s="26"/>
      <c r="K1383" s="34" t="str">
        <f t="shared" si="64"/>
        <v/>
      </c>
      <c r="L1383" s="35" t="str">
        <f t="shared" si="65"/>
        <v/>
      </c>
      <c r="M1383" s="14"/>
      <c r="N1383" s="15"/>
    </row>
    <row r="1384" spans="1:14" ht="15.6" x14ac:dyDescent="0.3">
      <c r="A1384" s="13" t="str">
        <f t="shared" si="63"/>
        <v>-</v>
      </c>
      <c r="B1384" s="25"/>
      <c r="C1384" s="25"/>
      <c r="D1384" s="25"/>
      <c r="E1384" s="25"/>
      <c r="F1384" s="31"/>
      <c r="G1384" s="34">
        <f>SUMIFS('BASE EXEC. Q.L'!N:N,'BASE EXEC. Q.L'!B:B,VOOS!A1384)</f>
        <v>0</v>
      </c>
      <c r="H1384" s="15" t="str">
        <f>IFERROR(_xlfn.XLOOKUP(A1384,'BASE SQL PLANTIO'!B:B,'BASE SQL PLANTIO'!T:T,"verificar",0),"")</f>
        <v/>
      </c>
      <c r="I1384" s="77" t="str">
        <f>IF(_xlfn.MINIFS('BASE SQL PLANTIO'!E:E,'BASE SQL PLANTIO'!B:B,VOOS!A1384)=0/1/1900,"",_xlfn.MINIFS('BASE SQL PLANTIO'!E:E,'BASE SQL PLANTIO'!B:B,VOOS!A1384))</f>
        <v/>
      </c>
      <c r="J1384" s="26"/>
      <c r="K1384" s="34" t="str">
        <f t="shared" si="64"/>
        <v/>
      </c>
      <c r="L1384" s="35" t="str">
        <f t="shared" si="65"/>
        <v/>
      </c>
      <c r="M1384" s="14"/>
      <c r="N1384" s="15"/>
    </row>
    <row r="1385" spans="1:14" ht="15.6" x14ac:dyDescent="0.3">
      <c r="A1385" s="13" t="str">
        <f t="shared" si="63"/>
        <v>-</v>
      </c>
      <c r="B1385" s="27"/>
      <c r="C1385" s="26"/>
      <c r="D1385" s="26"/>
      <c r="E1385" s="26"/>
      <c r="F1385" s="26"/>
      <c r="G1385" s="34">
        <f>SUMIFS('BASE EXEC. Q.L'!N:N,'BASE EXEC. Q.L'!B:B,VOOS!A1385)</f>
        <v>0</v>
      </c>
      <c r="H1385" s="15" t="str">
        <f>IFERROR(_xlfn.XLOOKUP(A1385,'BASE SQL PLANTIO'!B:B,'BASE SQL PLANTIO'!T:T,"verificar",0),"")</f>
        <v/>
      </c>
      <c r="I1385" s="77" t="str">
        <f>IF(_xlfn.MINIFS('BASE SQL PLANTIO'!E:E,'BASE SQL PLANTIO'!B:B,VOOS!A1385)=0/1/1900,"",_xlfn.MINIFS('BASE SQL PLANTIO'!E:E,'BASE SQL PLANTIO'!B:B,VOOS!A1385))</f>
        <v/>
      </c>
      <c r="J1385" s="26"/>
      <c r="K1385" s="34" t="str">
        <f t="shared" si="64"/>
        <v/>
      </c>
      <c r="L1385" s="35" t="str">
        <f t="shared" si="65"/>
        <v/>
      </c>
      <c r="M1385" s="14"/>
      <c r="N1385" s="15"/>
    </row>
    <row r="1386" spans="1:14" ht="15.6" x14ac:dyDescent="0.3">
      <c r="A1386" s="13" t="str">
        <f t="shared" si="63"/>
        <v>-</v>
      </c>
      <c r="B1386" s="25"/>
      <c r="C1386" s="25"/>
      <c r="D1386" s="25"/>
      <c r="E1386" s="25"/>
      <c r="F1386" s="26"/>
      <c r="G1386" s="34">
        <f>SUMIFS('BASE EXEC. Q.L'!N:N,'BASE EXEC. Q.L'!B:B,VOOS!A1386)</f>
        <v>0</v>
      </c>
      <c r="H1386" s="15" t="str">
        <f>IFERROR(_xlfn.XLOOKUP(A1386,'BASE SQL PLANTIO'!B:B,'BASE SQL PLANTIO'!T:T,"verificar",0),"")</f>
        <v/>
      </c>
      <c r="I1386" s="77" t="str">
        <f>IF(_xlfn.MINIFS('BASE SQL PLANTIO'!E:E,'BASE SQL PLANTIO'!B:B,VOOS!A1386)=0/1/1900,"",_xlfn.MINIFS('BASE SQL PLANTIO'!E:E,'BASE SQL PLANTIO'!B:B,VOOS!A1386))</f>
        <v/>
      </c>
      <c r="J1386" s="26"/>
      <c r="K1386" s="34" t="str">
        <f t="shared" si="64"/>
        <v/>
      </c>
      <c r="L1386" s="35" t="str">
        <f t="shared" si="65"/>
        <v/>
      </c>
      <c r="M1386" s="14"/>
      <c r="N1386" s="15"/>
    </row>
    <row r="1387" spans="1:14" ht="15.6" x14ac:dyDescent="0.3">
      <c r="A1387" s="13" t="str">
        <f t="shared" si="63"/>
        <v>-</v>
      </c>
      <c r="B1387" s="27"/>
      <c r="C1387" s="26"/>
      <c r="D1387" s="26"/>
      <c r="E1387" s="26"/>
      <c r="F1387" s="26"/>
      <c r="G1387" s="34">
        <f>SUMIFS('BASE EXEC. Q.L'!N:N,'BASE EXEC. Q.L'!B:B,VOOS!A1387)</f>
        <v>0</v>
      </c>
      <c r="H1387" s="15" t="str">
        <f>IFERROR(_xlfn.XLOOKUP(A1387,'BASE SQL PLANTIO'!B:B,'BASE SQL PLANTIO'!T:T,"verificar",0),"")</f>
        <v/>
      </c>
      <c r="I1387" s="77" t="str">
        <f>IF(_xlfn.MINIFS('BASE SQL PLANTIO'!E:E,'BASE SQL PLANTIO'!B:B,VOOS!A1387)=0/1/1900,"",_xlfn.MINIFS('BASE SQL PLANTIO'!E:E,'BASE SQL PLANTIO'!B:B,VOOS!A1387))</f>
        <v/>
      </c>
      <c r="J1387" s="26"/>
      <c r="K1387" s="34" t="str">
        <f t="shared" si="64"/>
        <v/>
      </c>
      <c r="L1387" s="35" t="str">
        <f t="shared" si="65"/>
        <v/>
      </c>
      <c r="M1387" s="14"/>
      <c r="N1387" s="16"/>
    </row>
    <row r="1388" spans="1:14" ht="15.6" x14ac:dyDescent="0.3">
      <c r="A1388" s="13" t="str">
        <f t="shared" si="63"/>
        <v>-</v>
      </c>
      <c r="B1388" s="25"/>
      <c r="C1388" s="25"/>
      <c r="D1388" s="25"/>
      <c r="E1388" s="25"/>
      <c r="F1388" s="31"/>
      <c r="G1388" s="34">
        <f>SUMIFS('BASE EXEC. Q.L'!N:N,'BASE EXEC. Q.L'!B:B,VOOS!A1388)</f>
        <v>0</v>
      </c>
      <c r="H1388" s="15" t="str">
        <f>IFERROR(_xlfn.XLOOKUP(A1388,'BASE SQL PLANTIO'!B:B,'BASE SQL PLANTIO'!T:T,"verificar",0),"")</f>
        <v/>
      </c>
      <c r="I1388" s="77" t="str">
        <f>IF(_xlfn.MINIFS('BASE SQL PLANTIO'!E:E,'BASE SQL PLANTIO'!B:B,VOOS!A1388)=0/1/1900,"",_xlfn.MINIFS('BASE SQL PLANTIO'!E:E,'BASE SQL PLANTIO'!B:B,VOOS!A1388))</f>
        <v/>
      </c>
      <c r="J1388" s="26"/>
      <c r="K1388" s="34" t="str">
        <f t="shared" si="64"/>
        <v/>
      </c>
      <c r="L1388" s="35" t="str">
        <f t="shared" si="65"/>
        <v/>
      </c>
      <c r="M1388" s="14"/>
      <c r="N1388" s="16"/>
    </row>
    <row r="1389" spans="1:14" ht="15.6" x14ac:dyDescent="0.3">
      <c r="A1389" s="13" t="str">
        <f t="shared" si="63"/>
        <v>-</v>
      </c>
      <c r="B1389" s="27"/>
      <c r="C1389" s="26"/>
      <c r="D1389" s="26"/>
      <c r="E1389" s="26"/>
      <c r="F1389" s="26"/>
      <c r="G1389" s="34">
        <f>SUMIFS('BASE EXEC. Q.L'!N:N,'BASE EXEC. Q.L'!B:B,VOOS!A1389)</f>
        <v>0</v>
      </c>
      <c r="H1389" s="15" t="str">
        <f>IFERROR(_xlfn.XLOOKUP(A1389,'BASE SQL PLANTIO'!B:B,'BASE SQL PLANTIO'!T:T,"verificar",0),"")</f>
        <v/>
      </c>
      <c r="I1389" s="77" t="str">
        <f>IF(_xlfn.MINIFS('BASE SQL PLANTIO'!E:E,'BASE SQL PLANTIO'!B:B,VOOS!A1389)=0/1/1900,"",_xlfn.MINIFS('BASE SQL PLANTIO'!E:E,'BASE SQL PLANTIO'!B:B,VOOS!A1389))</f>
        <v/>
      </c>
      <c r="J1389" s="26"/>
      <c r="K1389" s="34" t="str">
        <f t="shared" si="64"/>
        <v/>
      </c>
      <c r="L1389" s="35" t="str">
        <f t="shared" si="65"/>
        <v/>
      </c>
      <c r="M1389" s="14"/>
      <c r="N1389" s="16"/>
    </row>
    <row r="1390" spans="1:14" ht="15.6" x14ac:dyDescent="0.3">
      <c r="A1390" s="13" t="str">
        <f t="shared" si="63"/>
        <v>-</v>
      </c>
      <c r="B1390" s="27"/>
      <c r="C1390" s="26"/>
      <c r="D1390" s="26"/>
      <c r="E1390" s="26"/>
      <c r="F1390" s="26"/>
      <c r="G1390" s="34">
        <f>SUMIFS('BASE EXEC. Q.L'!N:N,'BASE EXEC. Q.L'!B:B,VOOS!A1390)</f>
        <v>0</v>
      </c>
      <c r="H1390" s="15" t="str">
        <f>IFERROR(_xlfn.XLOOKUP(A1390,'BASE SQL PLANTIO'!B:B,'BASE SQL PLANTIO'!T:T,"verificar",0),"")</f>
        <v/>
      </c>
      <c r="I1390" s="77" t="str">
        <f>IF(_xlfn.MINIFS('BASE SQL PLANTIO'!E:E,'BASE SQL PLANTIO'!B:B,VOOS!A1390)=0/1/1900,"",_xlfn.MINIFS('BASE SQL PLANTIO'!E:E,'BASE SQL PLANTIO'!B:B,VOOS!A1390))</f>
        <v/>
      </c>
      <c r="J1390" s="26"/>
      <c r="K1390" s="34" t="str">
        <f t="shared" si="64"/>
        <v/>
      </c>
      <c r="L1390" s="35" t="str">
        <f t="shared" si="65"/>
        <v/>
      </c>
      <c r="M1390" s="14"/>
      <c r="N1390" s="16"/>
    </row>
    <row r="1391" spans="1:14" ht="15.6" x14ac:dyDescent="0.3">
      <c r="A1391" s="13" t="str">
        <f t="shared" si="63"/>
        <v>-</v>
      </c>
      <c r="B1391" s="25"/>
      <c r="C1391" s="25"/>
      <c r="D1391" s="25"/>
      <c r="E1391" s="25"/>
      <c r="F1391" s="31"/>
      <c r="G1391" s="34">
        <f>SUMIFS('BASE EXEC. Q.L'!N:N,'BASE EXEC. Q.L'!B:B,VOOS!A1391)</f>
        <v>0</v>
      </c>
      <c r="H1391" s="15" t="str">
        <f>IFERROR(_xlfn.XLOOKUP(A1391,'BASE SQL PLANTIO'!B:B,'BASE SQL PLANTIO'!T:T,"verificar",0),"")</f>
        <v/>
      </c>
      <c r="I1391" s="77" t="str">
        <f>IF(_xlfn.MINIFS('BASE SQL PLANTIO'!E:E,'BASE SQL PLANTIO'!B:B,VOOS!A1391)=0/1/1900,"",_xlfn.MINIFS('BASE SQL PLANTIO'!E:E,'BASE SQL PLANTIO'!B:B,VOOS!A1391))</f>
        <v/>
      </c>
      <c r="J1391" s="26"/>
      <c r="K1391" s="34" t="str">
        <f t="shared" si="64"/>
        <v/>
      </c>
      <c r="L1391" s="35" t="str">
        <f t="shared" si="65"/>
        <v/>
      </c>
      <c r="M1391" s="14"/>
      <c r="N1391" s="15"/>
    </row>
    <row r="1392" spans="1:14" ht="15.6" x14ac:dyDescent="0.3">
      <c r="A1392" s="13" t="str">
        <f t="shared" si="63"/>
        <v>-</v>
      </c>
      <c r="B1392" s="25"/>
      <c r="C1392" s="25"/>
      <c r="D1392" s="25"/>
      <c r="E1392" s="25"/>
      <c r="F1392" s="31"/>
      <c r="G1392" s="34">
        <f>SUMIFS('BASE EXEC. Q.L'!N:N,'BASE EXEC. Q.L'!B:B,VOOS!A1392)</f>
        <v>0</v>
      </c>
      <c r="H1392" s="15" t="str">
        <f>IFERROR(_xlfn.XLOOKUP(A1392,'BASE SQL PLANTIO'!B:B,'BASE SQL PLANTIO'!T:T,"verificar",0),"")</f>
        <v/>
      </c>
      <c r="I1392" s="77" t="str">
        <f>IF(_xlfn.MINIFS('BASE SQL PLANTIO'!E:E,'BASE SQL PLANTIO'!B:B,VOOS!A1392)=0/1/1900,"",_xlfn.MINIFS('BASE SQL PLANTIO'!E:E,'BASE SQL PLANTIO'!B:B,VOOS!A1392))</f>
        <v/>
      </c>
      <c r="J1392" s="26"/>
      <c r="K1392" s="34" t="str">
        <f t="shared" si="64"/>
        <v/>
      </c>
      <c r="L1392" s="35" t="str">
        <f t="shared" si="65"/>
        <v/>
      </c>
      <c r="M1392" s="14"/>
      <c r="N1392" s="16"/>
    </row>
    <row r="1393" spans="1:14" ht="15.6" x14ac:dyDescent="0.3">
      <c r="A1393" s="13" t="str">
        <f t="shared" si="63"/>
        <v>-</v>
      </c>
      <c r="B1393" s="25"/>
      <c r="C1393" s="25"/>
      <c r="D1393" s="25"/>
      <c r="E1393" s="25"/>
      <c r="F1393" s="31"/>
      <c r="G1393" s="34">
        <f>SUMIFS('BASE EXEC. Q.L'!N:N,'BASE EXEC. Q.L'!B:B,VOOS!A1393)</f>
        <v>0</v>
      </c>
      <c r="H1393" s="15" t="str">
        <f>IFERROR(_xlfn.XLOOKUP(A1393,'BASE SQL PLANTIO'!B:B,'BASE SQL PLANTIO'!T:T,"verificar",0),"")</f>
        <v/>
      </c>
      <c r="I1393" s="77" t="str">
        <f>IF(_xlfn.MINIFS('BASE SQL PLANTIO'!E:E,'BASE SQL PLANTIO'!B:B,VOOS!A1393)=0/1/1900,"",_xlfn.MINIFS('BASE SQL PLANTIO'!E:E,'BASE SQL PLANTIO'!B:B,VOOS!A1393))</f>
        <v/>
      </c>
      <c r="J1393" s="26"/>
      <c r="K1393" s="34" t="str">
        <f t="shared" si="64"/>
        <v/>
      </c>
      <c r="L1393" s="35" t="str">
        <f t="shared" si="65"/>
        <v/>
      </c>
      <c r="M1393" s="14"/>
      <c r="N1393" s="16"/>
    </row>
    <row r="1394" spans="1:14" ht="15.6" x14ac:dyDescent="0.3">
      <c r="A1394" s="13" t="str">
        <f t="shared" si="63"/>
        <v>-</v>
      </c>
      <c r="B1394" s="25"/>
      <c r="C1394" s="25"/>
      <c r="D1394" s="25"/>
      <c r="E1394" s="25"/>
      <c r="F1394" s="31"/>
      <c r="G1394" s="34">
        <f>SUMIFS('BASE EXEC. Q.L'!N:N,'BASE EXEC. Q.L'!B:B,VOOS!A1394)</f>
        <v>0</v>
      </c>
      <c r="H1394" s="15" t="str">
        <f>IFERROR(_xlfn.XLOOKUP(A1394,'BASE SQL PLANTIO'!B:B,'BASE SQL PLANTIO'!T:T,"verificar",0),"")</f>
        <v/>
      </c>
      <c r="I1394" s="77" t="str">
        <f>IF(_xlfn.MINIFS('BASE SQL PLANTIO'!E:E,'BASE SQL PLANTIO'!B:B,VOOS!A1394)=0/1/1900,"",_xlfn.MINIFS('BASE SQL PLANTIO'!E:E,'BASE SQL PLANTIO'!B:B,VOOS!A1394))</f>
        <v/>
      </c>
      <c r="J1394" s="26"/>
      <c r="K1394" s="34" t="str">
        <f t="shared" si="64"/>
        <v/>
      </c>
      <c r="L1394" s="35" t="str">
        <f t="shared" si="65"/>
        <v/>
      </c>
      <c r="M1394" s="14"/>
      <c r="N1394" s="16"/>
    </row>
    <row r="1395" spans="1:14" ht="15.6" x14ac:dyDescent="0.3">
      <c r="A1395" s="13" t="str">
        <f t="shared" si="63"/>
        <v>-</v>
      </c>
      <c r="B1395" s="25"/>
      <c r="C1395" s="25"/>
      <c r="D1395" s="25"/>
      <c r="E1395" s="25"/>
      <c r="F1395" s="31"/>
      <c r="G1395" s="34">
        <f>SUMIFS('BASE EXEC. Q.L'!N:N,'BASE EXEC. Q.L'!B:B,VOOS!A1395)</f>
        <v>0</v>
      </c>
      <c r="H1395" s="15" t="str">
        <f>IFERROR(_xlfn.XLOOKUP(A1395,'BASE SQL PLANTIO'!B:B,'BASE SQL PLANTIO'!T:T,"verificar",0),"")</f>
        <v/>
      </c>
      <c r="I1395" s="77" t="str">
        <f>IF(_xlfn.MINIFS('BASE SQL PLANTIO'!E:E,'BASE SQL PLANTIO'!B:B,VOOS!A1395)=0/1/1900,"",_xlfn.MINIFS('BASE SQL PLANTIO'!E:E,'BASE SQL PLANTIO'!B:B,VOOS!A1395))</f>
        <v/>
      </c>
      <c r="J1395" s="26"/>
      <c r="K1395" s="34" t="str">
        <f t="shared" si="64"/>
        <v/>
      </c>
      <c r="L1395" s="35" t="str">
        <f t="shared" si="65"/>
        <v/>
      </c>
      <c r="M1395" s="14"/>
      <c r="N1395" s="16"/>
    </row>
    <row r="1396" spans="1:14" ht="15.6" x14ac:dyDescent="0.3">
      <c r="A1396" s="13" t="str">
        <f t="shared" si="63"/>
        <v>-</v>
      </c>
      <c r="B1396" s="25"/>
      <c r="C1396" s="25"/>
      <c r="D1396" s="25"/>
      <c r="E1396" s="25"/>
      <c r="F1396" s="31"/>
      <c r="G1396" s="34">
        <f>SUMIFS('BASE EXEC. Q.L'!N:N,'BASE EXEC. Q.L'!B:B,VOOS!A1396)</f>
        <v>0</v>
      </c>
      <c r="H1396" s="15" t="str">
        <f>IFERROR(_xlfn.XLOOKUP(A1396,'BASE SQL PLANTIO'!B:B,'BASE SQL PLANTIO'!T:T,"verificar",0),"")</f>
        <v/>
      </c>
      <c r="I1396" s="77" t="str">
        <f>IF(_xlfn.MINIFS('BASE SQL PLANTIO'!E:E,'BASE SQL PLANTIO'!B:B,VOOS!A1396)=0/1/1900,"",_xlfn.MINIFS('BASE SQL PLANTIO'!E:E,'BASE SQL PLANTIO'!B:B,VOOS!A1396))</f>
        <v/>
      </c>
      <c r="J1396" s="26"/>
      <c r="K1396" s="34" t="str">
        <f t="shared" si="64"/>
        <v/>
      </c>
      <c r="L1396" s="35" t="str">
        <f t="shared" si="65"/>
        <v/>
      </c>
      <c r="M1396" s="14"/>
      <c r="N1396" s="15"/>
    </row>
    <row r="1397" spans="1:14" ht="15.6" x14ac:dyDescent="0.3">
      <c r="A1397" s="13" t="str">
        <f t="shared" si="63"/>
        <v>-</v>
      </c>
      <c r="B1397" s="27"/>
      <c r="C1397" s="26"/>
      <c r="D1397" s="26"/>
      <c r="E1397" s="26"/>
      <c r="F1397" s="26"/>
      <c r="G1397" s="34">
        <f>SUMIFS('BASE EXEC. Q.L'!N:N,'BASE EXEC. Q.L'!B:B,VOOS!A1397)</f>
        <v>0</v>
      </c>
      <c r="H1397" s="15" t="str">
        <f>IFERROR(_xlfn.XLOOKUP(A1397,'BASE SQL PLANTIO'!B:B,'BASE SQL PLANTIO'!T:T,"verificar",0),"")</f>
        <v/>
      </c>
      <c r="I1397" s="77" t="str">
        <f>IF(_xlfn.MINIFS('BASE SQL PLANTIO'!E:E,'BASE SQL PLANTIO'!B:B,VOOS!A1397)=0/1/1900,"",_xlfn.MINIFS('BASE SQL PLANTIO'!E:E,'BASE SQL PLANTIO'!B:B,VOOS!A1397))</f>
        <v/>
      </c>
      <c r="J1397" s="26"/>
      <c r="K1397" s="34" t="str">
        <f t="shared" si="64"/>
        <v/>
      </c>
      <c r="L1397" s="35" t="str">
        <f t="shared" si="65"/>
        <v/>
      </c>
      <c r="M1397" s="14"/>
      <c r="N1397" s="16"/>
    </row>
    <row r="1398" spans="1:14" ht="15.6" x14ac:dyDescent="0.3">
      <c r="A1398" s="13" t="str">
        <f t="shared" si="63"/>
        <v>-</v>
      </c>
      <c r="B1398" s="27"/>
      <c r="C1398" s="26"/>
      <c r="D1398" s="26"/>
      <c r="E1398" s="26"/>
      <c r="F1398" s="26"/>
      <c r="G1398" s="34">
        <f>SUMIFS('BASE EXEC. Q.L'!N:N,'BASE EXEC. Q.L'!B:B,VOOS!A1398)</f>
        <v>0</v>
      </c>
      <c r="H1398" s="15" t="str">
        <f>IFERROR(_xlfn.XLOOKUP(A1398,'BASE SQL PLANTIO'!B:B,'BASE SQL PLANTIO'!T:T,"verificar",0),"")</f>
        <v/>
      </c>
      <c r="I1398" s="77" t="str">
        <f>IF(_xlfn.MINIFS('BASE SQL PLANTIO'!E:E,'BASE SQL PLANTIO'!B:B,VOOS!A1398)=0/1/1900,"",_xlfn.MINIFS('BASE SQL PLANTIO'!E:E,'BASE SQL PLANTIO'!B:B,VOOS!A1398))</f>
        <v/>
      </c>
      <c r="J1398" s="26"/>
      <c r="K1398" s="34" t="str">
        <f t="shared" si="64"/>
        <v/>
      </c>
      <c r="L1398" s="35" t="str">
        <f t="shared" si="65"/>
        <v/>
      </c>
      <c r="M1398" s="14"/>
      <c r="N1398" s="16"/>
    </row>
    <row r="1399" spans="1:14" ht="15.6" x14ac:dyDescent="0.3">
      <c r="A1399" s="13" t="str">
        <f t="shared" si="63"/>
        <v>-</v>
      </c>
      <c r="B1399" s="27"/>
      <c r="C1399" s="26"/>
      <c r="D1399" s="26"/>
      <c r="E1399" s="26"/>
      <c r="F1399" s="26"/>
      <c r="G1399" s="34">
        <f>SUMIFS('BASE EXEC. Q.L'!N:N,'BASE EXEC. Q.L'!B:B,VOOS!A1399)</f>
        <v>0</v>
      </c>
      <c r="H1399" s="15" t="str">
        <f>IFERROR(_xlfn.XLOOKUP(A1399,'BASE SQL PLANTIO'!B:B,'BASE SQL PLANTIO'!T:T,"verificar",0),"")</f>
        <v/>
      </c>
      <c r="I1399" s="77" t="str">
        <f>IF(_xlfn.MINIFS('BASE SQL PLANTIO'!E:E,'BASE SQL PLANTIO'!B:B,VOOS!A1399)=0/1/1900,"",_xlfn.MINIFS('BASE SQL PLANTIO'!E:E,'BASE SQL PLANTIO'!B:B,VOOS!A1399))</f>
        <v/>
      </c>
      <c r="J1399" s="26"/>
      <c r="K1399" s="34" t="str">
        <f t="shared" si="64"/>
        <v/>
      </c>
      <c r="L1399" s="35" t="str">
        <f t="shared" si="65"/>
        <v/>
      </c>
      <c r="M1399" s="14"/>
      <c r="N1399" s="16"/>
    </row>
    <row r="1400" spans="1:14" ht="15.6" x14ac:dyDescent="0.3">
      <c r="A1400" s="13" t="str">
        <f t="shared" si="63"/>
        <v>-</v>
      </c>
      <c r="B1400" s="25"/>
      <c r="C1400" s="25"/>
      <c r="D1400" s="25"/>
      <c r="E1400" s="25"/>
      <c r="F1400" s="31"/>
      <c r="G1400" s="34">
        <f>SUMIFS('BASE EXEC. Q.L'!N:N,'BASE EXEC. Q.L'!B:B,VOOS!A1400)</f>
        <v>0</v>
      </c>
      <c r="H1400" s="15" t="str">
        <f>IFERROR(_xlfn.XLOOKUP(A1400,'BASE SQL PLANTIO'!B:B,'BASE SQL PLANTIO'!T:T,"verificar",0),"")</f>
        <v/>
      </c>
      <c r="I1400" s="77" t="str">
        <f>IF(_xlfn.MINIFS('BASE SQL PLANTIO'!E:E,'BASE SQL PLANTIO'!B:B,VOOS!A1400)=0/1/1900,"",_xlfn.MINIFS('BASE SQL PLANTIO'!E:E,'BASE SQL PLANTIO'!B:B,VOOS!A1400))</f>
        <v/>
      </c>
      <c r="J1400" s="26"/>
      <c r="K1400" s="34" t="str">
        <f t="shared" si="64"/>
        <v/>
      </c>
      <c r="L1400" s="35" t="str">
        <f t="shared" si="65"/>
        <v/>
      </c>
      <c r="M1400" s="14"/>
      <c r="N1400" s="16"/>
    </row>
    <row r="1401" spans="1:14" ht="15.6" x14ac:dyDescent="0.3">
      <c r="A1401" s="13" t="str">
        <f t="shared" si="63"/>
        <v>-</v>
      </c>
      <c r="B1401" s="27"/>
      <c r="C1401" s="26"/>
      <c r="D1401" s="26"/>
      <c r="E1401" s="26"/>
      <c r="F1401" s="26"/>
      <c r="G1401" s="34">
        <f>SUMIFS('BASE EXEC. Q.L'!N:N,'BASE EXEC. Q.L'!B:B,VOOS!A1401)</f>
        <v>0</v>
      </c>
      <c r="H1401" s="15" t="str">
        <f>IFERROR(_xlfn.XLOOKUP(A1401,'BASE SQL PLANTIO'!B:B,'BASE SQL PLANTIO'!T:T,"verificar",0),"")</f>
        <v/>
      </c>
      <c r="I1401" s="77" t="str">
        <f>IF(_xlfn.MINIFS('BASE SQL PLANTIO'!E:E,'BASE SQL PLANTIO'!B:B,VOOS!A1401)=0/1/1900,"",_xlfn.MINIFS('BASE SQL PLANTIO'!E:E,'BASE SQL PLANTIO'!B:B,VOOS!A1401))</f>
        <v/>
      </c>
      <c r="J1401" s="26"/>
      <c r="K1401" s="34" t="str">
        <f t="shared" si="64"/>
        <v/>
      </c>
      <c r="L1401" s="35" t="str">
        <f t="shared" si="65"/>
        <v/>
      </c>
      <c r="M1401" s="14"/>
      <c r="N1401" s="15"/>
    </row>
    <row r="1402" spans="1:14" ht="15.6" x14ac:dyDescent="0.3">
      <c r="A1402" s="13" t="str">
        <f t="shared" si="63"/>
        <v>-</v>
      </c>
      <c r="B1402" s="27"/>
      <c r="C1402" s="26"/>
      <c r="D1402" s="26"/>
      <c r="E1402" s="26"/>
      <c r="F1402" s="26"/>
      <c r="G1402" s="34">
        <f>SUMIFS('BASE EXEC. Q.L'!N:N,'BASE EXEC. Q.L'!B:B,VOOS!A1402)</f>
        <v>0</v>
      </c>
      <c r="H1402" s="15" t="str">
        <f>IFERROR(_xlfn.XLOOKUP(A1402,'BASE SQL PLANTIO'!B:B,'BASE SQL PLANTIO'!T:T,"verificar",0),"")</f>
        <v/>
      </c>
      <c r="I1402" s="77" t="str">
        <f>IF(_xlfn.MINIFS('BASE SQL PLANTIO'!E:E,'BASE SQL PLANTIO'!B:B,VOOS!A1402)=0/1/1900,"",_xlfn.MINIFS('BASE SQL PLANTIO'!E:E,'BASE SQL PLANTIO'!B:B,VOOS!A1402))</f>
        <v/>
      </c>
      <c r="J1402" s="26"/>
      <c r="K1402" s="34" t="str">
        <f t="shared" si="64"/>
        <v/>
      </c>
      <c r="L1402" s="35" t="str">
        <f t="shared" si="65"/>
        <v/>
      </c>
      <c r="M1402" s="14"/>
      <c r="N1402" s="16"/>
    </row>
    <row r="1403" spans="1:14" ht="15.6" x14ac:dyDescent="0.3">
      <c r="A1403" s="13" t="str">
        <f t="shared" si="63"/>
        <v>-</v>
      </c>
      <c r="B1403" s="27"/>
      <c r="C1403" s="26"/>
      <c r="D1403" s="26"/>
      <c r="E1403" s="26"/>
      <c r="F1403" s="26"/>
      <c r="G1403" s="34">
        <f>SUMIFS('BASE EXEC. Q.L'!N:N,'BASE EXEC. Q.L'!B:B,VOOS!A1403)</f>
        <v>0</v>
      </c>
      <c r="H1403" s="15" t="str">
        <f>IFERROR(_xlfn.XLOOKUP(A1403,'BASE SQL PLANTIO'!B:B,'BASE SQL PLANTIO'!T:T,"verificar",0),"")</f>
        <v/>
      </c>
      <c r="I1403" s="77" t="str">
        <f>IF(_xlfn.MINIFS('BASE SQL PLANTIO'!E:E,'BASE SQL PLANTIO'!B:B,VOOS!A1403)=0/1/1900,"",_xlfn.MINIFS('BASE SQL PLANTIO'!E:E,'BASE SQL PLANTIO'!B:B,VOOS!A1403))</f>
        <v/>
      </c>
      <c r="J1403" s="26"/>
      <c r="K1403" s="34" t="str">
        <f t="shared" si="64"/>
        <v/>
      </c>
      <c r="L1403" s="35" t="str">
        <f t="shared" si="65"/>
        <v/>
      </c>
      <c r="M1403" s="14"/>
      <c r="N1403" s="16"/>
    </row>
    <row r="1404" spans="1:14" ht="15.6" x14ac:dyDescent="0.3">
      <c r="A1404" s="13" t="str">
        <f t="shared" si="63"/>
        <v>-</v>
      </c>
      <c r="B1404" s="25"/>
      <c r="C1404" s="25"/>
      <c r="D1404" s="25"/>
      <c r="E1404" s="25"/>
      <c r="F1404" s="31"/>
      <c r="G1404" s="34">
        <f>SUMIFS('BASE EXEC. Q.L'!N:N,'BASE EXEC. Q.L'!B:B,VOOS!A1404)</f>
        <v>0</v>
      </c>
      <c r="H1404" s="15" t="str">
        <f>IFERROR(_xlfn.XLOOKUP(A1404,'BASE SQL PLANTIO'!B:B,'BASE SQL PLANTIO'!T:T,"verificar",0),"")</f>
        <v/>
      </c>
      <c r="I1404" s="77" t="str">
        <f>IF(_xlfn.MINIFS('BASE SQL PLANTIO'!E:E,'BASE SQL PLANTIO'!B:B,VOOS!A1404)=0/1/1900,"",_xlfn.MINIFS('BASE SQL PLANTIO'!E:E,'BASE SQL PLANTIO'!B:B,VOOS!A1404))</f>
        <v/>
      </c>
      <c r="J1404" s="26"/>
      <c r="K1404" s="34" t="str">
        <f t="shared" si="64"/>
        <v/>
      </c>
      <c r="L1404" s="35" t="str">
        <f t="shared" si="65"/>
        <v/>
      </c>
      <c r="M1404" s="14"/>
      <c r="N1404" s="16"/>
    </row>
    <row r="1405" spans="1:14" ht="15.6" x14ac:dyDescent="0.3">
      <c r="A1405" s="13" t="str">
        <f t="shared" si="63"/>
        <v>-</v>
      </c>
      <c r="B1405" s="25"/>
      <c r="C1405" s="25"/>
      <c r="D1405" s="25"/>
      <c r="E1405" s="25"/>
      <c r="F1405" s="31"/>
      <c r="G1405" s="34">
        <f>SUMIFS('BASE EXEC. Q.L'!N:N,'BASE EXEC. Q.L'!B:B,VOOS!A1405)</f>
        <v>0</v>
      </c>
      <c r="H1405" s="15" t="str">
        <f>IFERROR(_xlfn.XLOOKUP(A1405,'BASE SQL PLANTIO'!B:B,'BASE SQL PLANTIO'!T:T,"verificar",0),"")</f>
        <v/>
      </c>
      <c r="I1405" s="77" t="str">
        <f>IF(_xlfn.MINIFS('BASE SQL PLANTIO'!E:E,'BASE SQL PLANTIO'!B:B,VOOS!A1405)=0/1/1900,"",_xlfn.MINIFS('BASE SQL PLANTIO'!E:E,'BASE SQL PLANTIO'!B:B,VOOS!A1405))</f>
        <v/>
      </c>
      <c r="J1405" s="26"/>
      <c r="K1405" s="34" t="str">
        <f t="shared" si="64"/>
        <v/>
      </c>
      <c r="L1405" s="35" t="str">
        <f t="shared" si="65"/>
        <v/>
      </c>
      <c r="M1405" s="14"/>
      <c r="N1405" s="16"/>
    </row>
    <row r="1406" spans="1:14" ht="15.6" x14ac:dyDescent="0.3">
      <c r="A1406" s="13" t="str">
        <f t="shared" si="63"/>
        <v>-</v>
      </c>
      <c r="B1406" s="25"/>
      <c r="C1406" s="25"/>
      <c r="D1406" s="25"/>
      <c r="E1406" s="25"/>
      <c r="F1406" s="31"/>
      <c r="G1406" s="34">
        <f>SUMIFS('BASE EXEC. Q.L'!N:N,'BASE EXEC. Q.L'!B:B,VOOS!A1406)</f>
        <v>0</v>
      </c>
      <c r="H1406" s="15" t="str">
        <f>IFERROR(_xlfn.XLOOKUP(A1406,'BASE SQL PLANTIO'!B:B,'BASE SQL PLANTIO'!T:T,"verificar",0),"")</f>
        <v/>
      </c>
      <c r="I1406" s="77" t="str">
        <f>IF(_xlfn.MINIFS('BASE SQL PLANTIO'!E:E,'BASE SQL PLANTIO'!B:B,VOOS!A1406)=0/1/1900,"",_xlfn.MINIFS('BASE SQL PLANTIO'!E:E,'BASE SQL PLANTIO'!B:B,VOOS!A1406))</f>
        <v/>
      </c>
      <c r="J1406" s="26"/>
      <c r="K1406" s="34" t="str">
        <f t="shared" si="64"/>
        <v/>
      </c>
      <c r="L1406" s="35" t="str">
        <f t="shared" si="65"/>
        <v/>
      </c>
      <c r="M1406" s="14"/>
      <c r="N1406" s="15"/>
    </row>
    <row r="1407" spans="1:14" ht="15.6" x14ac:dyDescent="0.3">
      <c r="A1407" s="13" t="str">
        <f t="shared" si="63"/>
        <v>-</v>
      </c>
      <c r="B1407" s="27"/>
      <c r="C1407" s="26"/>
      <c r="D1407" s="26"/>
      <c r="E1407" s="26"/>
      <c r="F1407" s="26"/>
      <c r="G1407" s="34">
        <f>SUMIFS('BASE EXEC. Q.L'!N:N,'BASE EXEC. Q.L'!B:B,VOOS!A1407)</f>
        <v>0</v>
      </c>
      <c r="H1407" s="15" t="str">
        <f>IFERROR(_xlfn.XLOOKUP(A1407,'BASE SQL PLANTIO'!B:B,'BASE SQL PLANTIO'!T:T,"verificar",0),"")</f>
        <v/>
      </c>
      <c r="I1407" s="77" t="str">
        <f>IF(_xlfn.MINIFS('BASE SQL PLANTIO'!E:E,'BASE SQL PLANTIO'!B:B,VOOS!A1407)=0/1/1900,"",_xlfn.MINIFS('BASE SQL PLANTIO'!E:E,'BASE SQL PLANTIO'!B:B,VOOS!A1407))</f>
        <v/>
      </c>
      <c r="J1407" s="26"/>
      <c r="K1407" s="34" t="str">
        <f t="shared" si="64"/>
        <v/>
      </c>
      <c r="L1407" s="35" t="str">
        <f t="shared" si="65"/>
        <v/>
      </c>
      <c r="M1407" s="14"/>
      <c r="N1407" s="16"/>
    </row>
    <row r="1408" spans="1:14" ht="15.6" x14ac:dyDescent="0.3">
      <c r="A1408" s="13" t="str">
        <f t="shared" si="63"/>
        <v>-</v>
      </c>
      <c r="B1408" s="27"/>
      <c r="C1408" s="26"/>
      <c r="D1408" s="26"/>
      <c r="E1408" s="26"/>
      <c r="F1408" s="26"/>
      <c r="G1408" s="34">
        <f>SUMIFS('BASE EXEC. Q.L'!N:N,'BASE EXEC. Q.L'!B:B,VOOS!A1408)</f>
        <v>0</v>
      </c>
      <c r="H1408" s="15" t="str">
        <f>IFERROR(_xlfn.XLOOKUP(A1408,'BASE SQL PLANTIO'!B:B,'BASE SQL PLANTIO'!T:T,"verificar",0),"")</f>
        <v/>
      </c>
      <c r="I1408" s="77" t="str">
        <f>IF(_xlfn.MINIFS('BASE SQL PLANTIO'!E:E,'BASE SQL PLANTIO'!B:B,VOOS!A1408)=0/1/1900,"",_xlfn.MINIFS('BASE SQL PLANTIO'!E:E,'BASE SQL PLANTIO'!B:B,VOOS!A1408))</f>
        <v/>
      </c>
      <c r="J1408" s="26"/>
      <c r="K1408" s="34" t="str">
        <f t="shared" si="64"/>
        <v/>
      </c>
      <c r="L1408" s="35" t="str">
        <f t="shared" si="65"/>
        <v/>
      </c>
      <c r="M1408" s="14"/>
      <c r="N1408" s="16"/>
    </row>
    <row r="1409" spans="1:14" ht="15.6" x14ac:dyDescent="0.3">
      <c r="A1409" s="13" t="str">
        <f t="shared" si="63"/>
        <v>-</v>
      </c>
      <c r="B1409" s="25"/>
      <c r="C1409" s="25"/>
      <c r="D1409" s="25"/>
      <c r="E1409" s="25"/>
      <c r="F1409" s="31"/>
      <c r="G1409" s="34">
        <f>SUMIFS('BASE EXEC. Q.L'!N:N,'BASE EXEC. Q.L'!B:B,VOOS!A1409)</f>
        <v>0</v>
      </c>
      <c r="H1409" s="15" t="str">
        <f>IFERROR(_xlfn.XLOOKUP(A1409,'BASE SQL PLANTIO'!B:B,'BASE SQL PLANTIO'!T:T,"verificar",0),"")</f>
        <v/>
      </c>
      <c r="I1409" s="77" t="str">
        <f>IF(_xlfn.MINIFS('BASE SQL PLANTIO'!E:E,'BASE SQL PLANTIO'!B:B,VOOS!A1409)=0/1/1900,"",_xlfn.MINIFS('BASE SQL PLANTIO'!E:E,'BASE SQL PLANTIO'!B:B,VOOS!A1409))</f>
        <v/>
      </c>
      <c r="J1409" s="26"/>
      <c r="K1409" s="34" t="str">
        <f t="shared" si="64"/>
        <v/>
      </c>
      <c r="L1409" s="35" t="str">
        <f t="shared" si="65"/>
        <v/>
      </c>
      <c r="M1409" s="14"/>
      <c r="N1409" s="16"/>
    </row>
    <row r="1410" spans="1:14" ht="15.6" x14ac:dyDescent="0.3">
      <c r="A1410" s="13" t="str">
        <f t="shared" si="63"/>
        <v>-</v>
      </c>
      <c r="B1410" s="25"/>
      <c r="C1410" s="25"/>
      <c r="D1410" s="25"/>
      <c r="E1410" s="25"/>
      <c r="F1410" s="31"/>
      <c r="G1410" s="34">
        <f>SUMIFS('BASE EXEC. Q.L'!N:N,'BASE EXEC. Q.L'!B:B,VOOS!A1410)</f>
        <v>0</v>
      </c>
      <c r="H1410" s="15" t="str">
        <f>IFERROR(_xlfn.XLOOKUP(A1410,'BASE SQL PLANTIO'!B:B,'BASE SQL PLANTIO'!T:T,"verificar",0),"")</f>
        <v/>
      </c>
      <c r="I1410" s="77" t="str">
        <f>IF(_xlfn.MINIFS('BASE SQL PLANTIO'!E:E,'BASE SQL PLANTIO'!B:B,VOOS!A1410)=0/1/1900,"",_xlfn.MINIFS('BASE SQL PLANTIO'!E:E,'BASE SQL PLANTIO'!B:B,VOOS!A1410))</f>
        <v/>
      </c>
      <c r="J1410" s="26"/>
      <c r="K1410" s="34" t="str">
        <f t="shared" si="64"/>
        <v/>
      </c>
      <c r="L1410" s="35" t="str">
        <f t="shared" si="65"/>
        <v/>
      </c>
      <c r="M1410" s="14"/>
      <c r="N1410" s="16"/>
    </row>
    <row r="1411" spans="1:14" ht="15.6" x14ac:dyDescent="0.3">
      <c r="A1411" s="13" t="str">
        <f t="shared" si="63"/>
        <v>-</v>
      </c>
      <c r="B1411" s="25"/>
      <c r="C1411" s="25"/>
      <c r="D1411" s="25"/>
      <c r="E1411" s="25"/>
      <c r="F1411" s="31"/>
      <c r="G1411" s="34">
        <f>SUMIFS('BASE EXEC. Q.L'!N:N,'BASE EXEC. Q.L'!B:B,VOOS!A1411)</f>
        <v>0</v>
      </c>
      <c r="H1411" s="15" t="str">
        <f>IFERROR(_xlfn.XLOOKUP(A1411,'BASE SQL PLANTIO'!B:B,'BASE SQL PLANTIO'!T:T,"verificar",0),"")</f>
        <v/>
      </c>
      <c r="I1411" s="77" t="str">
        <f>IF(_xlfn.MINIFS('BASE SQL PLANTIO'!E:E,'BASE SQL PLANTIO'!B:B,VOOS!A1411)=0/1/1900,"",_xlfn.MINIFS('BASE SQL PLANTIO'!E:E,'BASE SQL PLANTIO'!B:B,VOOS!A1411))</f>
        <v/>
      </c>
      <c r="J1411" s="26"/>
      <c r="K1411" s="34" t="str">
        <f t="shared" si="64"/>
        <v/>
      </c>
      <c r="L1411" s="35" t="str">
        <f t="shared" si="65"/>
        <v/>
      </c>
      <c r="M1411" s="14"/>
      <c r="N1411" s="15"/>
    </row>
    <row r="1412" spans="1:14" ht="15.6" x14ac:dyDescent="0.3">
      <c r="A1412" s="13" t="str">
        <f t="shared" si="63"/>
        <v>-</v>
      </c>
      <c r="B1412" s="27"/>
      <c r="C1412" s="26"/>
      <c r="D1412" s="26"/>
      <c r="E1412" s="26"/>
      <c r="F1412" s="26"/>
      <c r="G1412" s="34">
        <f>SUMIFS('BASE EXEC. Q.L'!N:N,'BASE EXEC. Q.L'!B:B,VOOS!A1412)</f>
        <v>0</v>
      </c>
      <c r="H1412" s="15" t="str">
        <f>IFERROR(_xlfn.XLOOKUP(A1412,'BASE SQL PLANTIO'!B:B,'BASE SQL PLANTIO'!T:T,"verificar",0),"")</f>
        <v/>
      </c>
      <c r="I1412" s="77" t="str">
        <f>IF(_xlfn.MINIFS('BASE SQL PLANTIO'!E:E,'BASE SQL PLANTIO'!B:B,VOOS!A1412)=0/1/1900,"",_xlfn.MINIFS('BASE SQL PLANTIO'!E:E,'BASE SQL PLANTIO'!B:B,VOOS!A1412))</f>
        <v/>
      </c>
      <c r="J1412" s="26"/>
      <c r="K1412" s="34" t="str">
        <f t="shared" si="64"/>
        <v/>
      </c>
      <c r="L1412" s="35" t="str">
        <f t="shared" si="65"/>
        <v/>
      </c>
      <c r="M1412" s="14"/>
      <c r="N1412" s="16"/>
    </row>
    <row r="1413" spans="1:14" ht="15.6" x14ac:dyDescent="0.3">
      <c r="A1413" s="13" t="str">
        <f t="shared" ref="A1413:A1476" si="66">CONCATENATE(B1413,"-",E1413)</f>
        <v>-</v>
      </c>
      <c r="B1413" s="27"/>
      <c r="C1413" s="26"/>
      <c r="D1413" s="26"/>
      <c r="E1413" s="26"/>
      <c r="F1413" s="26"/>
      <c r="G1413" s="34">
        <f>SUMIFS('BASE EXEC. Q.L'!N:N,'BASE EXEC. Q.L'!B:B,VOOS!A1413)</f>
        <v>0</v>
      </c>
      <c r="H1413" s="15" t="str">
        <f>IFERROR(_xlfn.XLOOKUP(A1413,'BASE SQL PLANTIO'!B:B,'BASE SQL PLANTIO'!T:T,"verificar",0),"")</f>
        <v/>
      </c>
      <c r="I1413" s="77" t="str">
        <f>IF(_xlfn.MINIFS('BASE SQL PLANTIO'!E:E,'BASE SQL PLANTIO'!B:B,VOOS!A1413)=0/1/1900,"",_xlfn.MINIFS('BASE SQL PLANTIO'!E:E,'BASE SQL PLANTIO'!B:B,VOOS!A1413))</f>
        <v/>
      </c>
      <c r="J1413" s="26"/>
      <c r="K1413" s="34" t="str">
        <f t="shared" ref="K1413:K1476" si="67">IF(I1413="","",$K$3-I1413)</f>
        <v/>
      </c>
      <c r="L1413" s="35" t="str">
        <f t="shared" ref="L1413:L1476" si="68">K1413</f>
        <v/>
      </c>
      <c r="M1413" s="14"/>
      <c r="N1413" s="16"/>
    </row>
    <row r="1414" spans="1:14" ht="15.6" x14ac:dyDescent="0.3">
      <c r="A1414" s="13" t="str">
        <f t="shared" si="66"/>
        <v>-</v>
      </c>
      <c r="B1414" s="25"/>
      <c r="C1414" s="25"/>
      <c r="D1414" s="25"/>
      <c r="E1414" s="25"/>
      <c r="F1414" s="31"/>
      <c r="G1414" s="34">
        <f>SUMIFS('BASE EXEC. Q.L'!N:N,'BASE EXEC. Q.L'!B:B,VOOS!A1414)</f>
        <v>0</v>
      </c>
      <c r="H1414" s="15" t="str">
        <f>IFERROR(_xlfn.XLOOKUP(A1414,'BASE SQL PLANTIO'!B:B,'BASE SQL PLANTIO'!T:T,"verificar",0),"")</f>
        <v/>
      </c>
      <c r="I1414" s="77" t="str">
        <f>IF(_xlfn.MINIFS('BASE SQL PLANTIO'!E:E,'BASE SQL PLANTIO'!B:B,VOOS!A1414)=0/1/1900,"",_xlfn.MINIFS('BASE SQL PLANTIO'!E:E,'BASE SQL PLANTIO'!B:B,VOOS!A1414))</f>
        <v/>
      </c>
      <c r="J1414" s="26"/>
      <c r="K1414" s="34" t="str">
        <f t="shared" si="67"/>
        <v/>
      </c>
      <c r="L1414" s="35" t="str">
        <f t="shared" si="68"/>
        <v/>
      </c>
      <c r="M1414" s="14"/>
      <c r="N1414" s="16"/>
    </row>
    <row r="1415" spans="1:14" ht="15.6" x14ac:dyDescent="0.3">
      <c r="A1415" s="13" t="str">
        <f t="shared" si="66"/>
        <v>-</v>
      </c>
      <c r="B1415" s="25"/>
      <c r="C1415" s="25"/>
      <c r="D1415" s="25"/>
      <c r="E1415" s="25"/>
      <c r="F1415" s="31"/>
      <c r="G1415" s="34">
        <f>SUMIFS('BASE EXEC. Q.L'!N:N,'BASE EXEC. Q.L'!B:B,VOOS!A1415)</f>
        <v>0</v>
      </c>
      <c r="H1415" s="15" t="str">
        <f>IFERROR(_xlfn.XLOOKUP(A1415,'BASE SQL PLANTIO'!B:B,'BASE SQL PLANTIO'!T:T,"verificar",0),"")</f>
        <v/>
      </c>
      <c r="I1415" s="77" t="str">
        <f>IF(_xlfn.MINIFS('BASE SQL PLANTIO'!E:E,'BASE SQL PLANTIO'!B:B,VOOS!A1415)=0/1/1900,"",_xlfn.MINIFS('BASE SQL PLANTIO'!E:E,'BASE SQL PLANTIO'!B:B,VOOS!A1415))</f>
        <v/>
      </c>
      <c r="J1415" s="26"/>
      <c r="K1415" s="34" t="str">
        <f t="shared" si="67"/>
        <v/>
      </c>
      <c r="L1415" s="35" t="str">
        <f t="shared" si="68"/>
        <v/>
      </c>
      <c r="M1415" s="14"/>
      <c r="N1415" s="16"/>
    </row>
    <row r="1416" spans="1:14" ht="15.6" x14ac:dyDescent="0.3">
      <c r="A1416" s="13" t="str">
        <f t="shared" si="66"/>
        <v>-</v>
      </c>
      <c r="B1416" s="25"/>
      <c r="C1416" s="25"/>
      <c r="D1416" s="25"/>
      <c r="E1416" s="25"/>
      <c r="F1416" s="31"/>
      <c r="G1416" s="34">
        <f>SUMIFS('BASE EXEC. Q.L'!N:N,'BASE EXEC. Q.L'!B:B,VOOS!A1416)</f>
        <v>0</v>
      </c>
      <c r="H1416" s="15" t="str">
        <f>IFERROR(_xlfn.XLOOKUP(A1416,'BASE SQL PLANTIO'!B:B,'BASE SQL PLANTIO'!T:T,"verificar",0),"")</f>
        <v/>
      </c>
      <c r="I1416" s="77" t="str">
        <f>IF(_xlfn.MINIFS('BASE SQL PLANTIO'!E:E,'BASE SQL PLANTIO'!B:B,VOOS!A1416)=0/1/1900,"",_xlfn.MINIFS('BASE SQL PLANTIO'!E:E,'BASE SQL PLANTIO'!B:B,VOOS!A1416))</f>
        <v/>
      </c>
      <c r="J1416" s="26"/>
      <c r="K1416" s="34" t="str">
        <f t="shared" si="67"/>
        <v/>
      </c>
      <c r="L1416" s="35" t="str">
        <f t="shared" si="68"/>
        <v/>
      </c>
      <c r="M1416" s="14"/>
      <c r="N1416" s="15"/>
    </row>
    <row r="1417" spans="1:14" ht="15.6" x14ac:dyDescent="0.3">
      <c r="A1417" s="13" t="str">
        <f t="shared" si="66"/>
        <v>-</v>
      </c>
      <c r="B1417" s="27"/>
      <c r="C1417" s="26"/>
      <c r="D1417" s="26"/>
      <c r="E1417" s="26"/>
      <c r="F1417" s="26"/>
      <c r="G1417" s="34">
        <f>SUMIFS('BASE EXEC. Q.L'!N:N,'BASE EXEC. Q.L'!B:B,VOOS!A1417)</f>
        <v>0</v>
      </c>
      <c r="H1417" s="15" t="str">
        <f>IFERROR(_xlfn.XLOOKUP(A1417,'BASE SQL PLANTIO'!B:B,'BASE SQL PLANTIO'!T:T,"verificar",0),"")</f>
        <v/>
      </c>
      <c r="I1417" s="77" t="str">
        <f>IF(_xlfn.MINIFS('BASE SQL PLANTIO'!E:E,'BASE SQL PLANTIO'!B:B,VOOS!A1417)=0/1/1900,"",_xlfn.MINIFS('BASE SQL PLANTIO'!E:E,'BASE SQL PLANTIO'!B:B,VOOS!A1417))</f>
        <v/>
      </c>
      <c r="J1417" s="26"/>
      <c r="K1417" s="34" t="str">
        <f t="shared" si="67"/>
        <v/>
      </c>
      <c r="L1417" s="35" t="str">
        <f t="shared" si="68"/>
        <v/>
      </c>
      <c r="M1417" s="14"/>
      <c r="N1417" s="16"/>
    </row>
    <row r="1418" spans="1:14" ht="15.6" x14ac:dyDescent="0.3">
      <c r="A1418" s="13" t="str">
        <f t="shared" si="66"/>
        <v>-</v>
      </c>
      <c r="B1418" s="27"/>
      <c r="C1418" s="26"/>
      <c r="D1418" s="26"/>
      <c r="E1418" s="26"/>
      <c r="F1418" s="26"/>
      <c r="G1418" s="34">
        <f>SUMIFS('BASE EXEC. Q.L'!N:N,'BASE EXEC. Q.L'!B:B,VOOS!A1418)</f>
        <v>0</v>
      </c>
      <c r="H1418" s="15" t="str">
        <f>IFERROR(_xlfn.XLOOKUP(A1418,'BASE SQL PLANTIO'!B:B,'BASE SQL PLANTIO'!T:T,"verificar",0),"")</f>
        <v/>
      </c>
      <c r="I1418" s="77" t="str">
        <f>IF(_xlfn.MINIFS('BASE SQL PLANTIO'!E:E,'BASE SQL PLANTIO'!B:B,VOOS!A1418)=0/1/1900,"",_xlfn.MINIFS('BASE SQL PLANTIO'!E:E,'BASE SQL PLANTIO'!B:B,VOOS!A1418))</f>
        <v/>
      </c>
      <c r="J1418" s="26"/>
      <c r="K1418" s="34" t="str">
        <f t="shared" si="67"/>
        <v/>
      </c>
      <c r="L1418" s="35" t="str">
        <f t="shared" si="68"/>
        <v/>
      </c>
      <c r="M1418" s="14"/>
      <c r="N1418" s="16"/>
    </row>
    <row r="1419" spans="1:14" ht="15.6" x14ac:dyDescent="0.3">
      <c r="A1419" s="13" t="str">
        <f t="shared" si="66"/>
        <v>-</v>
      </c>
      <c r="B1419" s="25"/>
      <c r="C1419" s="25"/>
      <c r="D1419" s="25"/>
      <c r="E1419" s="25"/>
      <c r="F1419" s="31"/>
      <c r="G1419" s="34">
        <f>SUMIFS('BASE EXEC. Q.L'!N:N,'BASE EXEC. Q.L'!B:B,VOOS!A1419)</f>
        <v>0</v>
      </c>
      <c r="H1419" s="15" t="str">
        <f>IFERROR(_xlfn.XLOOKUP(A1419,'BASE SQL PLANTIO'!B:B,'BASE SQL PLANTIO'!T:T,"verificar",0),"")</f>
        <v/>
      </c>
      <c r="I1419" s="77" t="str">
        <f>IF(_xlfn.MINIFS('BASE SQL PLANTIO'!E:E,'BASE SQL PLANTIO'!B:B,VOOS!A1419)=0/1/1900,"",_xlfn.MINIFS('BASE SQL PLANTIO'!E:E,'BASE SQL PLANTIO'!B:B,VOOS!A1419))</f>
        <v/>
      </c>
      <c r="J1419" s="26"/>
      <c r="K1419" s="34" t="str">
        <f t="shared" si="67"/>
        <v/>
      </c>
      <c r="L1419" s="35" t="str">
        <f t="shared" si="68"/>
        <v/>
      </c>
      <c r="M1419" s="14"/>
      <c r="N1419" s="16"/>
    </row>
    <row r="1420" spans="1:14" ht="15.6" x14ac:dyDescent="0.3">
      <c r="A1420" s="13" t="str">
        <f t="shared" si="66"/>
        <v>-</v>
      </c>
      <c r="B1420" s="25"/>
      <c r="C1420" s="25"/>
      <c r="D1420" s="25"/>
      <c r="E1420" s="25"/>
      <c r="F1420" s="31"/>
      <c r="G1420" s="34">
        <f>SUMIFS('BASE EXEC. Q.L'!N:N,'BASE EXEC. Q.L'!B:B,VOOS!A1420)</f>
        <v>0</v>
      </c>
      <c r="H1420" s="15" t="str">
        <f>IFERROR(_xlfn.XLOOKUP(A1420,'BASE SQL PLANTIO'!B:B,'BASE SQL PLANTIO'!T:T,"verificar",0),"")</f>
        <v/>
      </c>
      <c r="I1420" s="77" t="str">
        <f>IF(_xlfn.MINIFS('BASE SQL PLANTIO'!E:E,'BASE SQL PLANTIO'!B:B,VOOS!A1420)=0/1/1900,"",_xlfn.MINIFS('BASE SQL PLANTIO'!E:E,'BASE SQL PLANTIO'!B:B,VOOS!A1420))</f>
        <v/>
      </c>
      <c r="J1420" s="26"/>
      <c r="K1420" s="34" t="str">
        <f t="shared" si="67"/>
        <v/>
      </c>
      <c r="L1420" s="35" t="str">
        <f t="shared" si="68"/>
        <v/>
      </c>
      <c r="M1420" s="14"/>
      <c r="N1420" s="16"/>
    </row>
    <row r="1421" spans="1:14" ht="15.6" x14ac:dyDescent="0.3">
      <c r="A1421" s="13" t="str">
        <f t="shared" si="66"/>
        <v>-</v>
      </c>
      <c r="B1421" s="25"/>
      <c r="C1421" s="25"/>
      <c r="D1421" s="25"/>
      <c r="E1421" s="25"/>
      <c r="F1421" s="31"/>
      <c r="G1421" s="34">
        <f>SUMIFS('BASE EXEC. Q.L'!N:N,'BASE EXEC. Q.L'!B:B,VOOS!A1421)</f>
        <v>0</v>
      </c>
      <c r="H1421" s="15" t="str">
        <f>IFERROR(_xlfn.XLOOKUP(A1421,'BASE SQL PLANTIO'!B:B,'BASE SQL PLANTIO'!T:T,"verificar",0),"")</f>
        <v/>
      </c>
      <c r="I1421" s="77" t="str">
        <f>IF(_xlfn.MINIFS('BASE SQL PLANTIO'!E:E,'BASE SQL PLANTIO'!B:B,VOOS!A1421)=0/1/1900,"",_xlfn.MINIFS('BASE SQL PLANTIO'!E:E,'BASE SQL PLANTIO'!B:B,VOOS!A1421))</f>
        <v/>
      </c>
      <c r="J1421" s="26"/>
      <c r="K1421" s="34" t="str">
        <f t="shared" si="67"/>
        <v/>
      </c>
      <c r="L1421" s="35" t="str">
        <f t="shared" si="68"/>
        <v/>
      </c>
      <c r="M1421" s="14"/>
      <c r="N1421" s="15"/>
    </row>
    <row r="1422" spans="1:14" ht="15.6" x14ac:dyDescent="0.3">
      <c r="A1422" s="13" t="str">
        <f t="shared" si="66"/>
        <v>-</v>
      </c>
      <c r="B1422" s="27"/>
      <c r="C1422" s="26"/>
      <c r="D1422" s="26"/>
      <c r="E1422" s="26"/>
      <c r="F1422" s="26"/>
      <c r="G1422" s="34">
        <f>SUMIFS('BASE EXEC. Q.L'!N:N,'BASE EXEC. Q.L'!B:B,VOOS!A1422)</f>
        <v>0</v>
      </c>
      <c r="H1422" s="15" t="str">
        <f>IFERROR(_xlfn.XLOOKUP(A1422,'BASE SQL PLANTIO'!B:B,'BASE SQL PLANTIO'!T:T,"verificar",0),"")</f>
        <v/>
      </c>
      <c r="I1422" s="77" t="str">
        <f>IF(_xlfn.MINIFS('BASE SQL PLANTIO'!E:E,'BASE SQL PLANTIO'!B:B,VOOS!A1422)=0/1/1900,"",_xlfn.MINIFS('BASE SQL PLANTIO'!E:E,'BASE SQL PLANTIO'!B:B,VOOS!A1422))</f>
        <v/>
      </c>
      <c r="J1422" s="26"/>
      <c r="K1422" s="34" t="str">
        <f t="shared" si="67"/>
        <v/>
      </c>
      <c r="L1422" s="35" t="str">
        <f t="shared" si="68"/>
        <v/>
      </c>
      <c r="M1422" s="14"/>
      <c r="N1422" s="16"/>
    </row>
    <row r="1423" spans="1:14" ht="15.6" x14ac:dyDescent="0.3">
      <c r="A1423" s="13" t="str">
        <f t="shared" si="66"/>
        <v>-</v>
      </c>
      <c r="B1423" s="27"/>
      <c r="C1423" s="26"/>
      <c r="D1423" s="26"/>
      <c r="E1423" s="26"/>
      <c r="F1423" s="26"/>
      <c r="G1423" s="34">
        <f>SUMIFS('BASE EXEC. Q.L'!N:N,'BASE EXEC. Q.L'!B:B,VOOS!A1423)</f>
        <v>0</v>
      </c>
      <c r="H1423" s="15" t="str">
        <f>IFERROR(_xlfn.XLOOKUP(A1423,'BASE SQL PLANTIO'!B:B,'BASE SQL PLANTIO'!T:T,"verificar",0),"")</f>
        <v/>
      </c>
      <c r="I1423" s="77" t="str">
        <f>IF(_xlfn.MINIFS('BASE SQL PLANTIO'!E:E,'BASE SQL PLANTIO'!B:B,VOOS!A1423)=0/1/1900,"",_xlfn.MINIFS('BASE SQL PLANTIO'!E:E,'BASE SQL PLANTIO'!B:B,VOOS!A1423))</f>
        <v/>
      </c>
      <c r="J1423" s="26"/>
      <c r="K1423" s="34" t="str">
        <f t="shared" si="67"/>
        <v/>
      </c>
      <c r="L1423" s="35" t="str">
        <f t="shared" si="68"/>
        <v/>
      </c>
      <c r="M1423" s="14"/>
      <c r="N1423" s="16"/>
    </row>
    <row r="1424" spans="1:14" ht="15.6" x14ac:dyDescent="0.3">
      <c r="A1424" s="13" t="str">
        <f t="shared" si="66"/>
        <v>-</v>
      </c>
      <c r="B1424" s="25"/>
      <c r="C1424" s="25"/>
      <c r="D1424" s="25"/>
      <c r="E1424" s="25"/>
      <c r="F1424" s="31"/>
      <c r="G1424" s="34">
        <f>SUMIFS('BASE EXEC. Q.L'!N:N,'BASE EXEC. Q.L'!B:B,VOOS!A1424)</f>
        <v>0</v>
      </c>
      <c r="H1424" s="15" t="str">
        <f>IFERROR(_xlfn.XLOOKUP(A1424,'BASE SQL PLANTIO'!B:B,'BASE SQL PLANTIO'!T:T,"verificar",0),"")</f>
        <v/>
      </c>
      <c r="I1424" s="77" t="str">
        <f>IF(_xlfn.MINIFS('BASE SQL PLANTIO'!E:E,'BASE SQL PLANTIO'!B:B,VOOS!A1424)=0/1/1900,"",_xlfn.MINIFS('BASE SQL PLANTIO'!E:E,'BASE SQL PLANTIO'!B:B,VOOS!A1424))</f>
        <v/>
      </c>
      <c r="J1424" s="26"/>
      <c r="K1424" s="34" t="str">
        <f t="shared" si="67"/>
        <v/>
      </c>
      <c r="L1424" s="35" t="str">
        <f t="shared" si="68"/>
        <v/>
      </c>
      <c r="M1424" s="14"/>
      <c r="N1424" s="16"/>
    </row>
    <row r="1425" spans="1:14" ht="15.6" x14ac:dyDescent="0.3">
      <c r="A1425" s="13" t="str">
        <f t="shared" si="66"/>
        <v>-</v>
      </c>
      <c r="B1425" s="25"/>
      <c r="C1425" s="25"/>
      <c r="D1425" s="25"/>
      <c r="E1425" s="25"/>
      <c r="F1425" s="31"/>
      <c r="G1425" s="34">
        <f>SUMIFS('BASE EXEC. Q.L'!N:N,'BASE EXEC. Q.L'!B:B,VOOS!A1425)</f>
        <v>0</v>
      </c>
      <c r="H1425" s="15" t="str">
        <f>IFERROR(_xlfn.XLOOKUP(A1425,'BASE SQL PLANTIO'!B:B,'BASE SQL PLANTIO'!T:T,"verificar",0),"")</f>
        <v/>
      </c>
      <c r="I1425" s="77" t="str">
        <f>IF(_xlfn.MINIFS('BASE SQL PLANTIO'!E:E,'BASE SQL PLANTIO'!B:B,VOOS!A1425)=0/1/1900,"",_xlfn.MINIFS('BASE SQL PLANTIO'!E:E,'BASE SQL PLANTIO'!B:B,VOOS!A1425))</f>
        <v/>
      </c>
      <c r="J1425" s="26"/>
      <c r="K1425" s="34" t="str">
        <f t="shared" si="67"/>
        <v/>
      </c>
      <c r="L1425" s="35" t="str">
        <f t="shared" si="68"/>
        <v/>
      </c>
      <c r="M1425" s="14"/>
      <c r="N1425" s="16"/>
    </row>
    <row r="1426" spans="1:14" ht="15.6" x14ac:dyDescent="0.3">
      <c r="A1426" s="13" t="str">
        <f t="shared" si="66"/>
        <v>-</v>
      </c>
      <c r="B1426" s="25"/>
      <c r="C1426" s="25"/>
      <c r="D1426" s="25"/>
      <c r="E1426" s="25"/>
      <c r="F1426" s="31"/>
      <c r="G1426" s="34">
        <f>SUMIFS('BASE EXEC. Q.L'!N:N,'BASE EXEC. Q.L'!B:B,VOOS!A1426)</f>
        <v>0</v>
      </c>
      <c r="H1426" s="15" t="str">
        <f>IFERROR(_xlfn.XLOOKUP(A1426,'BASE SQL PLANTIO'!B:B,'BASE SQL PLANTIO'!T:T,"verificar",0),"")</f>
        <v/>
      </c>
      <c r="I1426" s="77" t="str">
        <f>IF(_xlfn.MINIFS('BASE SQL PLANTIO'!E:E,'BASE SQL PLANTIO'!B:B,VOOS!A1426)=0/1/1900,"",_xlfn.MINIFS('BASE SQL PLANTIO'!E:E,'BASE SQL PLANTIO'!B:B,VOOS!A1426))</f>
        <v/>
      </c>
      <c r="J1426" s="26"/>
      <c r="K1426" s="34" t="str">
        <f t="shared" si="67"/>
        <v/>
      </c>
      <c r="L1426" s="35" t="str">
        <f t="shared" si="68"/>
        <v/>
      </c>
      <c r="M1426" s="14"/>
      <c r="N1426" s="15"/>
    </row>
    <row r="1427" spans="1:14" ht="15.6" x14ac:dyDescent="0.3">
      <c r="A1427" s="13" t="str">
        <f t="shared" si="66"/>
        <v>-</v>
      </c>
      <c r="B1427" s="27"/>
      <c r="C1427" s="26"/>
      <c r="D1427" s="26"/>
      <c r="E1427" s="26"/>
      <c r="F1427" s="26"/>
      <c r="G1427" s="34">
        <f>SUMIFS('BASE EXEC. Q.L'!N:N,'BASE EXEC. Q.L'!B:B,VOOS!A1427)</f>
        <v>0</v>
      </c>
      <c r="H1427" s="15" t="str">
        <f>IFERROR(_xlfn.XLOOKUP(A1427,'BASE SQL PLANTIO'!B:B,'BASE SQL PLANTIO'!T:T,"verificar",0),"")</f>
        <v/>
      </c>
      <c r="I1427" s="77" t="str">
        <f>IF(_xlfn.MINIFS('BASE SQL PLANTIO'!E:E,'BASE SQL PLANTIO'!B:B,VOOS!A1427)=0/1/1900,"",_xlfn.MINIFS('BASE SQL PLANTIO'!E:E,'BASE SQL PLANTIO'!B:B,VOOS!A1427))</f>
        <v/>
      </c>
      <c r="J1427" s="26"/>
      <c r="K1427" s="34" t="str">
        <f t="shared" si="67"/>
        <v/>
      </c>
      <c r="L1427" s="35" t="str">
        <f t="shared" si="68"/>
        <v/>
      </c>
      <c r="M1427" s="14"/>
      <c r="N1427" s="16"/>
    </row>
    <row r="1428" spans="1:14" ht="15.6" x14ac:dyDescent="0.3">
      <c r="A1428" s="13" t="str">
        <f t="shared" si="66"/>
        <v>-</v>
      </c>
      <c r="B1428" s="27"/>
      <c r="C1428" s="26"/>
      <c r="D1428" s="26"/>
      <c r="E1428" s="26"/>
      <c r="F1428" s="26"/>
      <c r="G1428" s="34">
        <f>SUMIFS('BASE EXEC. Q.L'!N:N,'BASE EXEC. Q.L'!B:B,VOOS!A1428)</f>
        <v>0</v>
      </c>
      <c r="H1428" s="15" t="str">
        <f>IFERROR(_xlfn.XLOOKUP(A1428,'BASE SQL PLANTIO'!B:B,'BASE SQL PLANTIO'!T:T,"verificar",0),"")</f>
        <v/>
      </c>
      <c r="I1428" s="77" t="str">
        <f>IF(_xlfn.MINIFS('BASE SQL PLANTIO'!E:E,'BASE SQL PLANTIO'!B:B,VOOS!A1428)=0/1/1900,"",_xlfn.MINIFS('BASE SQL PLANTIO'!E:E,'BASE SQL PLANTIO'!B:B,VOOS!A1428))</f>
        <v/>
      </c>
      <c r="J1428" s="26"/>
      <c r="K1428" s="34" t="str">
        <f t="shared" si="67"/>
        <v/>
      </c>
      <c r="L1428" s="35" t="str">
        <f t="shared" si="68"/>
        <v/>
      </c>
      <c r="M1428" s="14"/>
      <c r="N1428" s="16"/>
    </row>
    <row r="1429" spans="1:14" ht="15.6" x14ac:dyDescent="0.3">
      <c r="A1429" s="13" t="str">
        <f t="shared" si="66"/>
        <v>-</v>
      </c>
      <c r="B1429" s="25"/>
      <c r="C1429" s="25"/>
      <c r="D1429" s="25"/>
      <c r="E1429" s="25"/>
      <c r="F1429" s="31"/>
      <c r="G1429" s="34">
        <f>SUMIFS('BASE EXEC. Q.L'!N:N,'BASE EXEC. Q.L'!B:B,VOOS!A1429)</f>
        <v>0</v>
      </c>
      <c r="H1429" s="15" t="str">
        <f>IFERROR(_xlfn.XLOOKUP(A1429,'BASE SQL PLANTIO'!B:B,'BASE SQL PLANTIO'!T:T,"verificar",0),"")</f>
        <v/>
      </c>
      <c r="I1429" s="77" t="str">
        <f>IF(_xlfn.MINIFS('BASE SQL PLANTIO'!E:E,'BASE SQL PLANTIO'!B:B,VOOS!A1429)=0/1/1900,"",_xlfn.MINIFS('BASE SQL PLANTIO'!E:E,'BASE SQL PLANTIO'!B:B,VOOS!A1429))</f>
        <v/>
      </c>
      <c r="J1429" s="26"/>
      <c r="K1429" s="34" t="str">
        <f t="shared" si="67"/>
        <v/>
      </c>
      <c r="L1429" s="35" t="str">
        <f t="shared" si="68"/>
        <v/>
      </c>
      <c r="M1429" s="14"/>
      <c r="N1429" s="16"/>
    </row>
    <row r="1430" spans="1:14" ht="15.6" x14ac:dyDescent="0.3">
      <c r="A1430" s="13" t="str">
        <f t="shared" si="66"/>
        <v>-</v>
      </c>
      <c r="B1430" s="25"/>
      <c r="C1430" s="25"/>
      <c r="D1430" s="25"/>
      <c r="E1430" s="25"/>
      <c r="F1430" s="31"/>
      <c r="G1430" s="34">
        <f>SUMIFS('BASE EXEC. Q.L'!N:N,'BASE EXEC. Q.L'!B:B,VOOS!A1430)</f>
        <v>0</v>
      </c>
      <c r="H1430" s="15" t="str">
        <f>IFERROR(_xlfn.XLOOKUP(A1430,'BASE SQL PLANTIO'!B:B,'BASE SQL PLANTIO'!T:T,"verificar",0),"")</f>
        <v/>
      </c>
      <c r="I1430" s="77" t="str">
        <f>IF(_xlfn.MINIFS('BASE SQL PLANTIO'!E:E,'BASE SQL PLANTIO'!B:B,VOOS!A1430)=0/1/1900,"",_xlfn.MINIFS('BASE SQL PLANTIO'!E:E,'BASE SQL PLANTIO'!B:B,VOOS!A1430))</f>
        <v/>
      </c>
      <c r="J1430" s="26"/>
      <c r="K1430" s="34" t="str">
        <f t="shared" si="67"/>
        <v/>
      </c>
      <c r="L1430" s="35" t="str">
        <f t="shared" si="68"/>
        <v/>
      </c>
      <c r="M1430" s="14"/>
      <c r="N1430" s="16"/>
    </row>
    <row r="1431" spans="1:14" ht="15.6" x14ac:dyDescent="0.3">
      <c r="A1431" s="13" t="str">
        <f t="shared" si="66"/>
        <v>-</v>
      </c>
      <c r="B1431" s="25"/>
      <c r="C1431" s="25"/>
      <c r="D1431" s="25"/>
      <c r="E1431" s="25"/>
      <c r="F1431" s="31"/>
      <c r="G1431" s="34">
        <f>SUMIFS('BASE EXEC. Q.L'!N:N,'BASE EXEC. Q.L'!B:B,VOOS!A1431)</f>
        <v>0</v>
      </c>
      <c r="H1431" s="15" t="str">
        <f>IFERROR(_xlfn.XLOOKUP(A1431,'BASE SQL PLANTIO'!B:B,'BASE SQL PLANTIO'!T:T,"verificar",0),"")</f>
        <v/>
      </c>
      <c r="I1431" s="77" t="str">
        <f>IF(_xlfn.MINIFS('BASE SQL PLANTIO'!E:E,'BASE SQL PLANTIO'!B:B,VOOS!A1431)=0/1/1900,"",_xlfn.MINIFS('BASE SQL PLANTIO'!E:E,'BASE SQL PLANTIO'!B:B,VOOS!A1431))</f>
        <v/>
      </c>
      <c r="J1431" s="26"/>
      <c r="K1431" s="34" t="str">
        <f t="shared" si="67"/>
        <v/>
      </c>
      <c r="L1431" s="35" t="str">
        <f t="shared" si="68"/>
        <v/>
      </c>
      <c r="M1431" s="14"/>
      <c r="N1431" s="15"/>
    </row>
    <row r="1432" spans="1:14" ht="15.6" x14ac:dyDescent="0.3">
      <c r="A1432" s="13" t="str">
        <f t="shared" si="66"/>
        <v>-</v>
      </c>
      <c r="B1432" s="27"/>
      <c r="C1432" s="26"/>
      <c r="D1432" s="26"/>
      <c r="E1432" s="26"/>
      <c r="F1432" s="26"/>
      <c r="G1432" s="34">
        <f>SUMIFS('BASE EXEC. Q.L'!N:N,'BASE EXEC. Q.L'!B:B,VOOS!A1432)</f>
        <v>0</v>
      </c>
      <c r="H1432" s="15" t="str">
        <f>IFERROR(_xlfn.XLOOKUP(A1432,'BASE SQL PLANTIO'!B:B,'BASE SQL PLANTIO'!T:T,"verificar",0),"")</f>
        <v/>
      </c>
      <c r="I1432" s="77" t="str">
        <f>IF(_xlfn.MINIFS('BASE SQL PLANTIO'!E:E,'BASE SQL PLANTIO'!B:B,VOOS!A1432)=0/1/1900,"",_xlfn.MINIFS('BASE SQL PLANTIO'!E:E,'BASE SQL PLANTIO'!B:B,VOOS!A1432))</f>
        <v/>
      </c>
      <c r="J1432" s="26"/>
      <c r="K1432" s="34" t="str">
        <f t="shared" si="67"/>
        <v/>
      </c>
      <c r="L1432" s="35" t="str">
        <f t="shared" si="68"/>
        <v/>
      </c>
      <c r="M1432" s="14"/>
      <c r="N1432" s="16"/>
    </row>
    <row r="1433" spans="1:14" ht="15.6" x14ac:dyDescent="0.3">
      <c r="A1433" s="13" t="str">
        <f t="shared" si="66"/>
        <v>-</v>
      </c>
      <c r="B1433" s="27"/>
      <c r="C1433" s="26"/>
      <c r="D1433" s="26"/>
      <c r="E1433" s="26"/>
      <c r="F1433" s="26"/>
      <c r="G1433" s="34">
        <f>SUMIFS('BASE EXEC. Q.L'!N:N,'BASE EXEC. Q.L'!B:B,VOOS!A1433)</f>
        <v>0</v>
      </c>
      <c r="H1433" s="15" t="str">
        <f>IFERROR(_xlfn.XLOOKUP(A1433,'BASE SQL PLANTIO'!B:B,'BASE SQL PLANTIO'!T:T,"verificar",0),"")</f>
        <v/>
      </c>
      <c r="I1433" s="77" t="str">
        <f>IF(_xlfn.MINIFS('BASE SQL PLANTIO'!E:E,'BASE SQL PLANTIO'!B:B,VOOS!A1433)=0/1/1900,"",_xlfn.MINIFS('BASE SQL PLANTIO'!E:E,'BASE SQL PLANTIO'!B:B,VOOS!A1433))</f>
        <v/>
      </c>
      <c r="J1433" s="26"/>
      <c r="K1433" s="34" t="str">
        <f t="shared" si="67"/>
        <v/>
      </c>
      <c r="L1433" s="35" t="str">
        <f t="shared" si="68"/>
        <v/>
      </c>
      <c r="M1433" s="14"/>
      <c r="N1433" s="16"/>
    </row>
    <row r="1434" spans="1:14" ht="15.6" x14ac:dyDescent="0.3">
      <c r="A1434" s="13" t="str">
        <f t="shared" si="66"/>
        <v>-</v>
      </c>
      <c r="B1434" s="25"/>
      <c r="C1434" s="25"/>
      <c r="D1434" s="25"/>
      <c r="E1434" s="25"/>
      <c r="F1434" s="31"/>
      <c r="G1434" s="34">
        <f>SUMIFS('BASE EXEC. Q.L'!N:N,'BASE EXEC. Q.L'!B:B,VOOS!A1434)</f>
        <v>0</v>
      </c>
      <c r="H1434" s="15" t="str">
        <f>IFERROR(_xlfn.XLOOKUP(A1434,'BASE SQL PLANTIO'!B:B,'BASE SQL PLANTIO'!T:T,"verificar",0),"")</f>
        <v/>
      </c>
      <c r="I1434" s="77" t="str">
        <f>IF(_xlfn.MINIFS('BASE SQL PLANTIO'!E:E,'BASE SQL PLANTIO'!B:B,VOOS!A1434)=0/1/1900,"",_xlfn.MINIFS('BASE SQL PLANTIO'!E:E,'BASE SQL PLANTIO'!B:B,VOOS!A1434))</f>
        <v/>
      </c>
      <c r="J1434" s="26"/>
      <c r="K1434" s="34" t="str">
        <f t="shared" si="67"/>
        <v/>
      </c>
      <c r="L1434" s="35" t="str">
        <f t="shared" si="68"/>
        <v/>
      </c>
      <c r="M1434" s="14"/>
      <c r="N1434" s="16"/>
    </row>
    <row r="1435" spans="1:14" ht="15.6" x14ac:dyDescent="0.3">
      <c r="A1435" s="13" t="str">
        <f t="shared" si="66"/>
        <v>-</v>
      </c>
      <c r="B1435" s="25"/>
      <c r="C1435" s="25"/>
      <c r="D1435" s="25"/>
      <c r="E1435" s="25"/>
      <c r="F1435" s="31"/>
      <c r="G1435" s="34">
        <f>SUMIFS('BASE EXEC. Q.L'!N:N,'BASE EXEC. Q.L'!B:B,VOOS!A1435)</f>
        <v>0</v>
      </c>
      <c r="H1435" s="15" t="str">
        <f>IFERROR(_xlfn.XLOOKUP(A1435,'BASE SQL PLANTIO'!B:B,'BASE SQL PLANTIO'!T:T,"verificar",0),"")</f>
        <v/>
      </c>
      <c r="I1435" s="77" t="str">
        <f>IF(_xlfn.MINIFS('BASE SQL PLANTIO'!E:E,'BASE SQL PLANTIO'!B:B,VOOS!A1435)=0/1/1900,"",_xlfn.MINIFS('BASE SQL PLANTIO'!E:E,'BASE SQL PLANTIO'!B:B,VOOS!A1435))</f>
        <v/>
      </c>
      <c r="J1435" s="26"/>
      <c r="K1435" s="34" t="str">
        <f t="shared" si="67"/>
        <v/>
      </c>
      <c r="L1435" s="35" t="str">
        <f t="shared" si="68"/>
        <v/>
      </c>
      <c r="M1435" s="14"/>
      <c r="N1435" s="16"/>
    </row>
    <row r="1436" spans="1:14" ht="15.6" x14ac:dyDescent="0.3">
      <c r="A1436" s="13" t="str">
        <f t="shared" si="66"/>
        <v>-</v>
      </c>
      <c r="B1436" s="25"/>
      <c r="C1436" s="25"/>
      <c r="D1436" s="25"/>
      <c r="E1436" s="25"/>
      <c r="F1436" s="31"/>
      <c r="G1436" s="34">
        <f>SUMIFS('BASE EXEC. Q.L'!N:N,'BASE EXEC. Q.L'!B:B,VOOS!A1436)</f>
        <v>0</v>
      </c>
      <c r="H1436" s="15" t="str">
        <f>IFERROR(_xlfn.XLOOKUP(A1436,'BASE SQL PLANTIO'!B:B,'BASE SQL PLANTIO'!T:T,"verificar",0),"")</f>
        <v/>
      </c>
      <c r="I1436" s="77" t="str">
        <f>IF(_xlfn.MINIFS('BASE SQL PLANTIO'!E:E,'BASE SQL PLANTIO'!B:B,VOOS!A1436)=0/1/1900,"",_xlfn.MINIFS('BASE SQL PLANTIO'!E:E,'BASE SQL PLANTIO'!B:B,VOOS!A1436))</f>
        <v/>
      </c>
      <c r="J1436" s="26"/>
      <c r="K1436" s="34" t="str">
        <f t="shared" si="67"/>
        <v/>
      </c>
      <c r="L1436" s="35" t="str">
        <f t="shared" si="68"/>
        <v/>
      </c>
      <c r="M1436" s="14"/>
      <c r="N1436" s="15"/>
    </row>
    <row r="1437" spans="1:14" ht="15.6" x14ac:dyDescent="0.3">
      <c r="A1437" s="13" t="str">
        <f t="shared" si="66"/>
        <v>-</v>
      </c>
      <c r="B1437" s="27"/>
      <c r="C1437" s="26"/>
      <c r="D1437" s="26"/>
      <c r="E1437" s="26"/>
      <c r="F1437" s="26"/>
      <c r="G1437" s="34">
        <f>SUMIFS('BASE EXEC. Q.L'!N:N,'BASE EXEC. Q.L'!B:B,VOOS!A1437)</f>
        <v>0</v>
      </c>
      <c r="H1437" s="15" t="str">
        <f>IFERROR(_xlfn.XLOOKUP(A1437,'BASE SQL PLANTIO'!B:B,'BASE SQL PLANTIO'!T:T,"verificar",0),"")</f>
        <v/>
      </c>
      <c r="I1437" s="77" t="str">
        <f>IF(_xlfn.MINIFS('BASE SQL PLANTIO'!E:E,'BASE SQL PLANTIO'!B:B,VOOS!A1437)=0/1/1900,"",_xlfn.MINIFS('BASE SQL PLANTIO'!E:E,'BASE SQL PLANTIO'!B:B,VOOS!A1437))</f>
        <v/>
      </c>
      <c r="J1437" s="26"/>
      <c r="K1437" s="34" t="str">
        <f t="shared" si="67"/>
        <v/>
      </c>
      <c r="L1437" s="35" t="str">
        <f t="shared" si="68"/>
        <v/>
      </c>
      <c r="M1437" s="14"/>
      <c r="N1437" s="16"/>
    </row>
    <row r="1438" spans="1:14" ht="15.6" x14ac:dyDescent="0.3">
      <c r="A1438" s="13" t="str">
        <f t="shared" si="66"/>
        <v>-</v>
      </c>
      <c r="B1438" s="27"/>
      <c r="C1438" s="26"/>
      <c r="D1438" s="26"/>
      <c r="E1438" s="26"/>
      <c r="F1438" s="26"/>
      <c r="G1438" s="34">
        <f>SUMIFS('BASE EXEC. Q.L'!N:N,'BASE EXEC. Q.L'!B:B,VOOS!A1438)</f>
        <v>0</v>
      </c>
      <c r="H1438" s="15" t="str">
        <f>IFERROR(_xlfn.XLOOKUP(A1438,'BASE SQL PLANTIO'!B:B,'BASE SQL PLANTIO'!T:T,"verificar",0),"")</f>
        <v/>
      </c>
      <c r="I1438" s="77" t="str">
        <f>IF(_xlfn.MINIFS('BASE SQL PLANTIO'!E:E,'BASE SQL PLANTIO'!B:B,VOOS!A1438)=0/1/1900,"",_xlfn.MINIFS('BASE SQL PLANTIO'!E:E,'BASE SQL PLANTIO'!B:B,VOOS!A1438))</f>
        <v/>
      </c>
      <c r="J1438" s="26"/>
      <c r="K1438" s="34" t="str">
        <f t="shared" si="67"/>
        <v/>
      </c>
      <c r="L1438" s="35" t="str">
        <f t="shared" si="68"/>
        <v/>
      </c>
      <c r="M1438" s="14"/>
      <c r="N1438" s="16"/>
    </row>
    <row r="1439" spans="1:14" ht="15.6" x14ac:dyDescent="0.3">
      <c r="A1439" s="13" t="str">
        <f t="shared" si="66"/>
        <v>-</v>
      </c>
      <c r="B1439" s="25"/>
      <c r="C1439" s="25"/>
      <c r="D1439" s="25"/>
      <c r="E1439" s="25"/>
      <c r="F1439" s="31"/>
      <c r="G1439" s="34">
        <f>SUMIFS('BASE EXEC. Q.L'!N:N,'BASE EXEC. Q.L'!B:B,VOOS!A1439)</f>
        <v>0</v>
      </c>
      <c r="H1439" s="15" t="str">
        <f>IFERROR(_xlfn.XLOOKUP(A1439,'BASE SQL PLANTIO'!B:B,'BASE SQL PLANTIO'!T:T,"verificar",0),"")</f>
        <v/>
      </c>
      <c r="I1439" s="77" t="str">
        <f>IF(_xlfn.MINIFS('BASE SQL PLANTIO'!E:E,'BASE SQL PLANTIO'!B:B,VOOS!A1439)=0/1/1900,"",_xlfn.MINIFS('BASE SQL PLANTIO'!E:E,'BASE SQL PLANTIO'!B:B,VOOS!A1439))</f>
        <v/>
      </c>
      <c r="J1439" s="26"/>
      <c r="K1439" s="34" t="str">
        <f t="shared" si="67"/>
        <v/>
      </c>
      <c r="L1439" s="35" t="str">
        <f t="shared" si="68"/>
        <v/>
      </c>
      <c r="M1439" s="14"/>
      <c r="N1439" s="16"/>
    </row>
    <row r="1440" spans="1:14" ht="15.6" x14ac:dyDescent="0.3">
      <c r="A1440" s="13" t="str">
        <f t="shared" si="66"/>
        <v>-</v>
      </c>
      <c r="B1440" s="25"/>
      <c r="C1440" s="25"/>
      <c r="D1440" s="25"/>
      <c r="E1440" s="25"/>
      <c r="F1440" s="31"/>
      <c r="G1440" s="34">
        <f>SUMIFS('BASE EXEC. Q.L'!N:N,'BASE EXEC. Q.L'!B:B,VOOS!A1440)</f>
        <v>0</v>
      </c>
      <c r="H1440" s="15" t="str">
        <f>IFERROR(_xlfn.XLOOKUP(A1440,'BASE SQL PLANTIO'!B:B,'BASE SQL PLANTIO'!T:T,"verificar",0),"")</f>
        <v/>
      </c>
      <c r="I1440" s="77" t="str">
        <f>IF(_xlfn.MINIFS('BASE SQL PLANTIO'!E:E,'BASE SQL PLANTIO'!B:B,VOOS!A1440)=0/1/1900,"",_xlfn.MINIFS('BASE SQL PLANTIO'!E:E,'BASE SQL PLANTIO'!B:B,VOOS!A1440))</f>
        <v/>
      </c>
      <c r="J1440" s="26"/>
      <c r="K1440" s="34" t="str">
        <f t="shared" si="67"/>
        <v/>
      </c>
      <c r="L1440" s="35" t="str">
        <f t="shared" si="68"/>
        <v/>
      </c>
      <c r="M1440" s="14"/>
      <c r="N1440" s="16"/>
    </row>
    <row r="1441" spans="1:14" ht="15.6" x14ac:dyDescent="0.3">
      <c r="A1441" s="13" t="str">
        <f t="shared" si="66"/>
        <v>-</v>
      </c>
      <c r="B1441" s="25"/>
      <c r="C1441" s="25"/>
      <c r="D1441" s="25"/>
      <c r="E1441" s="25"/>
      <c r="F1441" s="31"/>
      <c r="G1441" s="34">
        <f>SUMIFS('BASE EXEC. Q.L'!N:N,'BASE EXEC. Q.L'!B:B,VOOS!A1441)</f>
        <v>0</v>
      </c>
      <c r="H1441" s="15" t="str">
        <f>IFERROR(_xlfn.XLOOKUP(A1441,'BASE SQL PLANTIO'!B:B,'BASE SQL PLANTIO'!T:T,"verificar",0),"")</f>
        <v/>
      </c>
      <c r="I1441" s="77" t="str">
        <f>IF(_xlfn.MINIFS('BASE SQL PLANTIO'!E:E,'BASE SQL PLANTIO'!B:B,VOOS!A1441)=0/1/1900,"",_xlfn.MINIFS('BASE SQL PLANTIO'!E:E,'BASE SQL PLANTIO'!B:B,VOOS!A1441))</f>
        <v/>
      </c>
      <c r="J1441" s="26"/>
      <c r="K1441" s="34" t="str">
        <f t="shared" si="67"/>
        <v/>
      </c>
      <c r="L1441" s="35" t="str">
        <f t="shared" si="68"/>
        <v/>
      </c>
      <c r="M1441" s="14"/>
      <c r="N1441" s="15"/>
    </row>
    <row r="1442" spans="1:14" ht="15.6" x14ac:dyDescent="0.3">
      <c r="A1442" s="13" t="str">
        <f t="shared" si="66"/>
        <v>-</v>
      </c>
      <c r="B1442" s="27"/>
      <c r="C1442" s="26"/>
      <c r="D1442" s="26"/>
      <c r="E1442" s="26"/>
      <c r="F1442" s="26"/>
      <c r="G1442" s="34">
        <f>SUMIFS('BASE EXEC. Q.L'!N:N,'BASE EXEC. Q.L'!B:B,VOOS!A1442)</f>
        <v>0</v>
      </c>
      <c r="H1442" s="15" t="str">
        <f>IFERROR(_xlfn.XLOOKUP(A1442,'BASE SQL PLANTIO'!B:B,'BASE SQL PLANTIO'!T:T,"verificar",0),"")</f>
        <v/>
      </c>
      <c r="I1442" s="77" t="str">
        <f>IF(_xlfn.MINIFS('BASE SQL PLANTIO'!E:E,'BASE SQL PLANTIO'!B:B,VOOS!A1442)=0/1/1900,"",_xlfn.MINIFS('BASE SQL PLANTIO'!E:E,'BASE SQL PLANTIO'!B:B,VOOS!A1442))</f>
        <v/>
      </c>
      <c r="J1442" s="26"/>
      <c r="K1442" s="34" t="str">
        <f t="shared" si="67"/>
        <v/>
      </c>
      <c r="L1442" s="35" t="str">
        <f t="shared" si="68"/>
        <v/>
      </c>
      <c r="M1442" s="14"/>
      <c r="N1442" s="16"/>
    </row>
    <row r="1443" spans="1:14" ht="15.6" x14ac:dyDescent="0.3">
      <c r="A1443" s="13" t="str">
        <f t="shared" si="66"/>
        <v>-</v>
      </c>
      <c r="B1443" s="27"/>
      <c r="C1443" s="26"/>
      <c r="D1443" s="26"/>
      <c r="E1443" s="26"/>
      <c r="F1443" s="26"/>
      <c r="G1443" s="34">
        <f>SUMIFS('BASE EXEC. Q.L'!N:N,'BASE EXEC. Q.L'!B:B,VOOS!A1443)</f>
        <v>0</v>
      </c>
      <c r="H1443" s="15" t="str">
        <f>IFERROR(_xlfn.XLOOKUP(A1443,'BASE SQL PLANTIO'!B:B,'BASE SQL PLANTIO'!T:T,"verificar",0),"")</f>
        <v/>
      </c>
      <c r="I1443" s="77" t="str">
        <f>IF(_xlfn.MINIFS('BASE SQL PLANTIO'!E:E,'BASE SQL PLANTIO'!B:B,VOOS!A1443)=0/1/1900,"",_xlfn.MINIFS('BASE SQL PLANTIO'!E:E,'BASE SQL PLANTIO'!B:B,VOOS!A1443))</f>
        <v/>
      </c>
      <c r="J1443" s="26"/>
      <c r="K1443" s="34" t="str">
        <f t="shared" si="67"/>
        <v/>
      </c>
      <c r="L1443" s="35" t="str">
        <f t="shared" si="68"/>
        <v/>
      </c>
      <c r="M1443" s="14"/>
      <c r="N1443" s="16"/>
    </row>
    <row r="1444" spans="1:14" ht="15.6" x14ac:dyDescent="0.3">
      <c r="A1444" s="13" t="str">
        <f t="shared" si="66"/>
        <v>-</v>
      </c>
      <c r="B1444" s="25"/>
      <c r="C1444" s="25"/>
      <c r="D1444" s="25"/>
      <c r="E1444" s="25"/>
      <c r="F1444" s="31"/>
      <c r="G1444" s="34">
        <f>SUMIFS('BASE EXEC. Q.L'!N:N,'BASE EXEC. Q.L'!B:B,VOOS!A1444)</f>
        <v>0</v>
      </c>
      <c r="H1444" s="15" t="str">
        <f>IFERROR(_xlfn.XLOOKUP(A1444,'BASE SQL PLANTIO'!B:B,'BASE SQL PLANTIO'!T:T,"verificar",0),"")</f>
        <v/>
      </c>
      <c r="I1444" s="77" t="str">
        <f>IF(_xlfn.MINIFS('BASE SQL PLANTIO'!E:E,'BASE SQL PLANTIO'!B:B,VOOS!A1444)=0/1/1900,"",_xlfn.MINIFS('BASE SQL PLANTIO'!E:E,'BASE SQL PLANTIO'!B:B,VOOS!A1444))</f>
        <v/>
      </c>
      <c r="J1444" s="26"/>
      <c r="K1444" s="34" t="str">
        <f t="shared" si="67"/>
        <v/>
      </c>
      <c r="L1444" s="35" t="str">
        <f t="shared" si="68"/>
        <v/>
      </c>
      <c r="M1444" s="14"/>
      <c r="N1444" s="16"/>
    </row>
    <row r="1445" spans="1:14" ht="15.6" x14ac:dyDescent="0.3">
      <c r="A1445" s="13" t="str">
        <f t="shared" si="66"/>
        <v>-</v>
      </c>
      <c r="B1445" s="25"/>
      <c r="C1445" s="25"/>
      <c r="D1445" s="25"/>
      <c r="E1445" s="25"/>
      <c r="F1445" s="31"/>
      <c r="G1445" s="34">
        <f>SUMIFS('BASE EXEC. Q.L'!N:N,'BASE EXEC. Q.L'!B:B,VOOS!A1445)</f>
        <v>0</v>
      </c>
      <c r="H1445" s="15" t="str">
        <f>IFERROR(_xlfn.XLOOKUP(A1445,'BASE SQL PLANTIO'!B:B,'BASE SQL PLANTIO'!T:T,"verificar",0),"")</f>
        <v/>
      </c>
      <c r="I1445" s="77" t="str">
        <f>IF(_xlfn.MINIFS('BASE SQL PLANTIO'!E:E,'BASE SQL PLANTIO'!B:B,VOOS!A1445)=0/1/1900,"",_xlfn.MINIFS('BASE SQL PLANTIO'!E:E,'BASE SQL PLANTIO'!B:B,VOOS!A1445))</f>
        <v/>
      </c>
      <c r="J1445" s="26"/>
      <c r="K1445" s="34" t="str">
        <f t="shared" si="67"/>
        <v/>
      </c>
      <c r="L1445" s="35" t="str">
        <f t="shared" si="68"/>
        <v/>
      </c>
      <c r="M1445" s="14"/>
      <c r="N1445" s="16"/>
    </row>
    <row r="1446" spans="1:14" ht="15.6" x14ac:dyDescent="0.3">
      <c r="A1446" s="13" t="str">
        <f t="shared" si="66"/>
        <v>-</v>
      </c>
      <c r="B1446" s="25"/>
      <c r="C1446" s="25"/>
      <c r="D1446" s="25"/>
      <c r="E1446" s="25"/>
      <c r="F1446" s="31"/>
      <c r="G1446" s="34">
        <f>SUMIFS('BASE EXEC. Q.L'!N:N,'BASE EXEC. Q.L'!B:B,VOOS!A1446)</f>
        <v>0</v>
      </c>
      <c r="H1446" s="15" t="str">
        <f>IFERROR(_xlfn.XLOOKUP(A1446,'BASE SQL PLANTIO'!B:B,'BASE SQL PLANTIO'!T:T,"verificar",0),"")</f>
        <v/>
      </c>
      <c r="I1446" s="77" t="str">
        <f>IF(_xlfn.MINIFS('BASE SQL PLANTIO'!E:E,'BASE SQL PLANTIO'!B:B,VOOS!A1446)=0/1/1900,"",_xlfn.MINIFS('BASE SQL PLANTIO'!E:E,'BASE SQL PLANTIO'!B:B,VOOS!A1446))</f>
        <v/>
      </c>
      <c r="J1446" s="26"/>
      <c r="K1446" s="34" t="str">
        <f t="shared" si="67"/>
        <v/>
      </c>
      <c r="L1446" s="35" t="str">
        <f t="shared" si="68"/>
        <v/>
      </c>
      <c r="M1446" s="14"/>
      <c r="N1446" s="15"/>
    </row>
    <row r="1447" spans="1:14" ht="15.6" x14ac:dyDescent="0.3">
      <c r="A1447" s="13" t="str">
        <f t="shared" si="66"/>
        <v>-</v>
      </c>
      <c r="B1447" s="27"/>
      <c r="C1447" s="26"/>
      <c r="D1447" s="26"/>
      <c r="E1447" s="26"/>
      <c r="F1447" s="26"/>
      <c r="G1447" s="34">
        <f>SUMIFS('BASE EXEC. Q.L'!N:N,'BASE EXEC. Q.L'!B:B,VOOS!A1447)</f>
        <v>0</v>
      </c>
      <c r="H1447" s="15" t="str">
        <f>IFERROR(_xlfn.XLOOKUP(A1447,'BASE SQL PLANTIO'!B:B,'BASE SQL PLANTIO'!T:T,"verificar",0),"")</f>
        <v/>
      </c>
      <c r="I1447" s="77" t="str">
        <f>IF(_xlfn.MINIFS('BASE SQL PLANTIO'!E:E,'BASE SQL PLANTIO'!B:B,VOOS!A1447)=0/1/1900,"",_xlfn.MINIFS('BASE SQL PLANTIO'!E:E,'BASE SQL PLANTIO'!B:B,VOOS!A1447))</f>
        <v/>
      </c>
      <c r="J1447" s="26"/>
      <c r="K1447" s="34" t="str">
        <f t="shared" si="67"/>
        <v/>
      </c>
      <c r="L1447" s="35" t="str">
        <f t="shared" si="68"/>
        <v/>
      </c>
      <c r="M1447" s="14"/>
      <c r="N1447" s="16"/>
    </row>
    <row r="1448" spans="1:14" ht="15.6" x14ac:dyDescent="0.3">
      <c r="A1448" s="13" t="str">
        <f t="shared" si="66"/>
        <v>-</v>
      </c>
      <c r="B1448" s="27"/>
      <c r="C1448" s="26"/>
      <c r="D1448" s="26"/>
      <c r="E1448" s="26"/>
      <c r="F1448" s="26"/>
      <c r="G1448" s="34">
        <f>SUMIFS('BASE EXEC. Q.L'!N:N,'BASE EXEC. Q.L'!B:B,VOOS!A1448)</f>
        <v>0</v>
      </c>
      <c r="H1448" s="15" t="str">
        <f>IFERROR(_xlfn.XLOOKUP(A1448,'BASE SQL PLANTIO'!B:B,'BASE SQL PLANTIO'!T:T,"verificar",0),"")</f>
        <v/>
      </c>
      <c r="I1448" s="77" t="str">
        <f>IF(_xlfn.MINIFS('BASE SQL PLANTIO'!E:E,'BASE SQL PLANTIO'!B:B,VOOS!A1448)=0/1/1900,"",_xlfn.MINIFS('BASE SQL PLANTIO'!E:E,'BASE SQL PLANTIO'!B:B,VOOS!A1448))</f>
        <v/>
      </c>
      <c r="J1448" s="26"/>
      <c r="K1448" s="34" t="str">
        <f t="shared" si="67"/>
        <v/>
      </c>
      <c r="L1448" s="35" t="str">
        <f t="shared" si="68"/>
        <v/>
      </c>
      <c r="M1448" s="14"/>
      <c r="N1448" s="16"/>
    </row>
    <row r="1449" spans="1:14" ht="15.6" x14ac:dyDescent="0.3">
      <c r="A1449" s="13" t="str">
        <f t="shared" si="66"/>
        <v>-</v>
      </c>
      <c r="B1449" s="25"/>
      <c r="C1449" s="25"/>
      <c r="D1449" s="25"/>
      <c r="E1449" s="25"/>
      <c r="F1449" s="31"/>
      <c r="G1449" s="34">
        <f>SUMIFS('BASE EXEC. Q.L'!N:N,'BASE EXEC. Q.L'!B:B,VOOS!A1449)</f>
        <v>0</v>
      </c>
      <c r="H1449" s="15" t="str">
        <f>IFERROR(_xlfn.XLOOKUP(A1449,'BASE SQL PLANTIO'!B:B,'BASE SQL PLANTIO'!T:T,"verificar",0),"")</f>
        <v/>
      </c>
      <c r="I1449" s="77" t="str">
        <f>IF(_xlfn.MINIFS('BASE SQL PLANTIO'!E:E,'BASE SQL PLANTIO'!B:B,VOOS!A1449)=0/1/1900,"",_xlfn.MINIFS('BASE SQL PLANTIO'!E:E,'BASE SQL PLANTIO'!B:B,VOOS!A1449))</f>
        <v/>
      </c>
      <c r="J1449" s="26"/>
      <c r="K1449" s="34" t="str">
        <f t="shared" si="67"/>
        <v/>
      </c>
      <c r="L1449" s="35" t="str">
        <f t="shared" si="68"/>
        <v/>
      </c>
      <c r="M1449" s="14"/>
      <c r="N1449" s="16"/>
    </row>
    <row r="1450" spans="1:14" ht="15.6" x14ac:dyDescent="0.3">
      <c r="A1450" s="13" t="str">
        <f t="shared" si="66"/>
        <v>-</v>
      </c>
      <c r="B1450" s="25"/>
      <c r="C1450" s="25"/>
      <c r="D1450" s="25"/>
      <c r="E1450" s="25"/>
      <c r="F1450" s="31"/>
      <c r="G1450" s="34">
        <f>SUMIFS('BASE EXEC. Q.L'!N:N,'BASE EXEC. Q.L'!B:B,VOOS!A1450)</f>
        <v>0</v>
      </c>
      <c r="H1450" s="15" t="str">
        <f>IFERROR(_xlfn.XLOOKUP(A1450,'BASE SQL PLANTIO'!B:B,'BASE SQL PLANTIO'!T:T,"verificar",0),"")</f>
        <v/>
      </c>
      <c r="I1450" s="77" t="str">
        <f>IF(_xlfn.MINIFS('BASE SQL PLANTIO'!E:E,'BASE SQL PLANTIO'!B:B,VOOS!A1450)=0/1/1900,"",_xlfn.MINIFS('BASE SQL PLANTIO'!E:E,'BASE SQL PLANTIO'!B:B,VOOS!A1450))</f>
        <v/>
      </c>
      <c r="J1450" s="26"/>
      <c r="K1450" s="34" t="str">
        <f t="shared" si="67"/>
        <v/>
      </c>
      <c r="L1450" s="35" t="str">
        <f t="shared" si="68"/>
        <v/>
      </c>
      <c r="M1450" s="14"/>
      <c r="N1450" s="16"/>
    </row>
    <row r="1451" spans="1:14" ht="15.6" x14ac:dyDescent="0.3">
      <c r="A1451" s="13" t="str">
        <f t="shared" si="66"/>
        <v>-</v>
      </c>
      <c r="B1451" s="25"/>
      <c r="C1451" s="25"/>
      <c r="D1451" s="25"/>
      <c r="E1451" s="25"/>
      <c r="F1451" s="31"/>
      <c r="G1451" s="34">
        <f>SUMIFS('BASE EXEC. Q.L'!N:N,'BASE EXEC. Q.L'!B:B,VOOS!A1451)</f>
        <v>0</v>
      </c>
      <c r="H1451" s="15" t="str">
        <f>IFERROR(_xlfn.XLOOKUP(A1451,'BASE SQL PLANTIO'!B:B,'BASE SQL PLANTIO'!T:T,"verificar",0),"")</f>
        <v/>
      </c>
      <c r="I1451" s="77" t="str">
        <f>IF(_xlfn.MINIFS('BASE SQL PLANTIO'!E:E,'BASE SQL PLANTIO'!B:B,VOOS!A1451)=0/1/1900,"",_xlfn.MINIFS('BASE SQL PLANTIO'!E:E,'BASE SQL PLANTIO'!B:B,VOOS!A1451))</f>
        <v/>
      </c>
      <c r="J1451" s="26"/>
      <c r="K1451" s="34" t="str">
        <f t="shared" si="67"/>
        <v/>
      </c>
      <c r="L1451" s="35" t="str">
        <f t="shared" si="68"/>
        <v/>
      </c>
      <c r="M1451" s="14"/>
      <c r="N1451" s="15"/>
    </row>
    <row r="1452" spans="1:14" ht="15.6" x14ac:dyDescent="0.3">
      <c r="A1452" s="13" t="str">
        <f t="shared" si="66"/>
        <v>-</v>
      </c>
      <c r="B1452" s="27"/>
      <c r="C1452" s="26"/>
      <c r="D1452" s="26"/>
      <c r="E1452" s="26"/>
      <c r="F1452" s="26"/>
      <c r="G1452" s="34">
        <f>SUMIFS('BASE EXEC. Q.L'!N:N,'BASE EXEC. Q.L'!B:B,VOOS!A1452)</f>
        <v>0</v>
      </c>
      <c r="H1452" s="15" t="str">
        <f>IFERROR(_xlfn.XLOOKUP(A1452,'BASE SQL PLANTIO'!B:B,'BASE SQL PLANTIO'!T:T,"verificar",0),"")</f>
        <v/>
      </c>
      <c r="I1452" s="77" t="str">
        <f>IF(_xlfn.MINIFS('BASE SQL PLANTIO'!E:E,'BASE SQL PLANTIO'!B:B,VOOS!A1452)=0/1/1900,"",_xlfn.MINIFS('BASE SQL PLANTIO'!E:E,'BASE SQL PLANTIO'!B:B,VOOS!A1452))</f>
        <v/>
      </c>
      <c r="J1452" s="26"/>
      <c r="K1452" s="34" t="str">
        <f t="shared" si="67"/>
        <v/>
      </c>
      <c r="L1452" s="35" t="str">
        <f t="shared" si="68"/>
        <v/>
      </c>
      <c r="M1452" s="14"/>
      <c r="N1452" s="16"/>
    </row>
    <row r="1453" spans="1:14" ht="15.6" x14ac:dyDescent="0.3">
      <c r="A1453" s="13" t="str">
        <f t="shared" si="66"/>
        <v>-</v>
      </c>
      <c r="B1453" s="27"/>
      <c r="C1453" s="26"/>
      <c r="D1453" s="26"/>
      <c r="E1453" s="26"/>
      <c r="F1453" s="26"/>
      <c r="G1453" s="34">
        <f>SUMIFS('BASE EXEC. Q.L'!N:N,'BASE EXEC. Q.L'!B:B,VOOS!A1453)</f>
        <v>0</v>
      </c>
      <c r="H1453" s="15" t="str">
        <f>IFERROR(_xlfn.XLOOKUP(A1453,'BASE SQL PLANTIO'!B:B,'BASE SQL PLANTIO'!T:T,"verificar",0),"")</f>
        <v/>
      </c>
      <c r="I1453" s="77" t="str">
        <f>IF(_xlfn.MINIFS('BASE SQL PLANTIO'!E:E,'BASE SQL PLANTIO'!B:B,VOOS!A1453)=0/1/1900,"",_xlfn.MINIFS('BASE SQL PLANTIO'!E:E,'BASE SQL PLANTIO'!B:B,VOOS!A1453))</f>
        <v/>
      </c>
      <c r="J1453" s="26"/>
      <c r="K1453" s="34" t="str">
        <f t="shared" si="67"/>
        <v/>
      </c>
      <c r="L1453" s="35" t="str">
        <f t="shared" si="68"/>
        <v/>
      </c>
      <c r="M1453" s="14"/>
      <c r="N1453" s="16"/>
    </row>
    <row r="1454" spans="1:14" ht="15.6" x14ac:dyDescent="0.3">
      <c r="A1454" s="13" t="str">
        <f t="shared" si="66"/>
        <v>-</v>
      </c>
      <c r="B1454" s="25"/>
      <c r="C1454" s="25"/>
      <c r="D1454" s="25"/>
      <c r="E1454" s="25"/>
      <c r="F1454" s="31"/>
      <c r="G1454" s="34">
        <f>SUMIFS('BASE EXEC. Q.L'!N:N,'BASE EXEC. Q.L'!B:B,VOOS!A1454)</f>
        <v>0</v>
      </c>
      <c r="H1454" s="15" t="str">
        <f>IFERROR(_xlfn.XLOOKUP(A1454,'BASE SQL PLANTIO'!B:B,'BASE SQL PLANTIO'!T:T,"verificar",0),"")</f>
        <v/>
      </c>
      <c r="I1454" s="77" t="str">
        <f>IF(_xlfn.MINIFS('BASE SQL PLANTIO'!E:E,'BASE SQL PLANTIO'!B:B,VOOS!A1454)=0/1/1900,"",_xlfn.MINIFS('BASE SQL PLANTIO'!E:E,'BASE SQL PLANTIO'!B:B,VOOS!A1454))</f>
        <v/>
      </c>
      <c r="J1454" s="26"/>
      <c r="K1454" s="34" t="str">
        <f t="shared" si="67"/>
        <v/>
      </c>
      <c r="L1454" s="35" t="str">
        <f t="shared" si="68"/>
        <v/>
      </c>
      <c r="M1454" s="14"/>
      <c r="N1454" s="16"/>
    </row>
    <row r="1455" spans="1:14" ht="15.6" x14ac:dyDescent="0.3">
      <c r="A1455" s="13" t="str">
        <f t="shared" si="66"/>
        <v>-</v>
      </c>
      <c r="B1455" s="25"/>
      <c r="C1455" s="25"/>
      <c r="D1455" s="25"/>
      <c r="E1455" s="25"/>
      <c r="F1455" s="31"/>
      <c r="G1455" s="34">
        <f>SUMIFS('BASE EXEC. Q.L'!N:N,'BASE EXEC. Q.L'!B:B,VOOS!A1455)</f>
        <v>0</v>
      </c>
      <c r="H1455" s="15" t="str">
        <f>IFERROR(_xlfn.XLOOKUP(A1455,'BASE SQL PLANTIO'!B:B,'BASE SQL PLANTIO'!T:T,"verificar",0),"")</f>
        <v/>
      </c>
      <c r="I1455" s="77" t="str">
        <f>IF(_xlfn.MINIFS('BASE SQL PLANTIO'!E:E,'BASE SQL PLANTIO'!B:B,VOOS!A1455)=0/1/1900,"",_xlfn.MINIFS('BASE SQL PLANTIO'!E:E,'BASE SQL PLANTIO'!B:B,VOOS!A1455))</f>
        <v/>
      </c>
      <c r="J1455" s="26"/>
      <c r="K1455" s="34" t="str">
        <f t="shared" si="67"/>
        <v/>
      </c>
      <c r="L1455" s="35" t="str">
        <f t="shared" si="68"/>
        <v/>
      </c>
      <c r="M1455" s="14"/>
      <c r="N1455" s="16"/>
    </row>
    <row r="1456" spans="1:14" ht="15.6" x14ac:dyDescent="0.3">
      <c r="A1456" s="13" t="str">
        <f t="shared" si="66"/>
        <v>-</v>
      </c>
      <c r="B1456" s="25"/>
      <c r="C1456" s="25"/>
      <c r="D1456" s="25"/>
      <c r="E1456" s="25"/>
      <c r="F1456" s="31"/>
      <c r="G1456" s="34">
        <f>SUMIFS('BASE EXEC. Q.L'!N:N,'BASE EXEC. Q.L'!B:B,VOOS!A1456)</f>
        <v>0</v>
      </c>
      <c r="H1456" s="15" t="str">
        <f>IFERROR(_xlfn.XLOOKUP(A1456,'BASE SQL PLANTIO'!B:B,'BASE SQL PLANTIO'!T:T,"verificar",0),"")</f>
        <v/>
      </c>
      <c r="I1456" s="77" t="str">
        <f>IF(_xlfn.MINIFS('BASE SQL PLANTIO'!E:E,'BASE SQL PLANTIO'!B:B,VOOS!A1456)=0/1/1900,"",_xlfn.MINIFS('BASE SQL PLANTIO'!E:E,'BASE SQL PLANTIO'!B:B,VOOS!A1456))</f>
        <v/>
      </c>
      <c r="J1456" s="26"/>
      <c r="K1456" s="34" t="str">
        <f t="shared" si="67"/>
        <v/>
      </c>
      <c r="L1456" s="35" t="str">
        <f t="shared" si="68"/>
        <v/>
      </c>
      <c r="M1456" s="14"/>
      <c r="N1456" s="15"/>
    </row>
    <row r="1457" spans="1:14" ht="15.6" x14ac:dyDescent="0.3">
      <c r="A1457" s="13" t="str">
        <f t="shared" si="66"/>
        <v>-</v>
      </c>
      <c r="B1457" s="27"/>
      <c r="C1457" s="26"/>
      <c r="D1457" s="26"/>
      <c r="E1457" s="26"/>
      <c r="F1457" s="26"/>
      <c r="G1457" s="34">
        <f>SUMIFS('BASE EXEC. Q.L'!N:N,'BASE EXEC. Q.L'!B:B,VOOS!A1457)</f>
        <v>0</v>
      </c>
      <c r="H1457" s="15" t="str">
        <f>IFERROR(_xlfn.XLOOKUP(A1457,'BASE SQL PLANTIO'!B:B,'BASE SQL PLANTIO'!T:T,"verificar",0),"")</f>
        <v/>
      </c>
      <c r="I1457" s="77" t="str">
        <f>IF(_xlfn.MINIFS('BASE SQL PLANTIO'!E:E,'BASE SQL PLANTIO'!B:B,VOOS!A1457)=0/1/1900,"",_xlfn.MINIFS('BASE SQL PLANTIO'!E:E,'BASE SQL PLANTIO'!B:B,VOOS!A1457))</f>
        <v/>
      </c>
      <c r="J1457" s="26"/>
      <c r="K1457" s="34" t="str">
        <f t="shared" si="67"/>
        <v/>
      </c>
      <c r="L1457" s="35" t="str">
        <f t="shared" si="68"/>
        <v/>
      </c>
      <c r="M1457" s="14"/>
      <c r="N1457" s="16"/>
    </row>
    <row r="1458" spans="1:14" ht="15.6" x14ac:dyDescent="0.3">
      <c r="A1458" s="13" t="str">
        <f t="shared" si="66"/>
        <v>-</v>
      </c>
      <c r="B1458" s="27"/>
      <c r="C1458" s="26"/>
      <c r="D1458" s="26"/>
      <c r="E1458" s="26"/>
      <c r="F1458" s="26"/>
      <c r="G1458" s="34">
        <f>SUMIFS('BASE EXEC. Q.L'!N:N,'BASE EXEC. Q.L'!B:B,VOOS!A1458)</f>
        <v>0</v>
      </c>
      <c r="H1458" s="15" t="str">
        <f>IFERROR(_xlfn.XLOOKUP(A1458,'BASE SQL PLANTIO'!B:B,'BASE SQL PLANTIO'!T:T,"verificar",0),"")</f>
        <v/>
      </c>
      <c r="I1458" s="77" t="str">
        <f>IF(_xlfn.MINIFS('BASE SQL PLANTIO'!E:E,'BASE SQL PLANTIO'!B:B,VOOS!A1458)=0/1/1900,"",_xlfn.MINIFS('BASE SQL PLANTIO'!E:E,'BASE SQL PLANTIO'!B:B,VOOS!A1458))</f>
        <v/>
      </c>
      <c r="J1458" s="26"/>
      <c r="K1458" s="34" t="str">
        <f t="shared" si="67"/>
        <v/>
      </c>
      <c r="L1458" s="35" t="str">
        <f t="shared" si="68"/>
        <v/>
      </c>
      <c r="M1458" s="14"/>
      <c r="N1458" s="16"/>
    </row>
    <row r="1459" spans="1:14" ht="15.6" x14ac:dyDescent="0.3">
      <c r="A1459" s="13" t="str">
        <f t="shared" si="66"/>
        <v>-</v>
      </c>
      <c r="B1459" s="25"/>
      <c r="C1459" s="25"/>
      <c r="D1459" s="25"/>
      <c r="E1459" s="25"/>
      <c r="F1459" s="31"/>
      <c r="G1459" s="34">
        <f>SUMIFS('BASE EXEC. Q.L'!N:N,'BASE EXEC. Q.L'!B:B,VOOS!A1459)</f>
        <v>0</v>
      </c>
      <c r="H1459" s="15" t="str">
        <f>IFERROR(_xlfn.XLOOKUP(A1459,'BASE SQL PLANTIO'!B:B,'BASE SQL PLANTIO'!T:T,"verificar",0),"")</f>
        <v/>
      </c>
      <c r="I1459" s="77" t="str">
        <f>IF(_xlfn.MINIFS('BASE SQL PLANTIO'!E:E,'BASE SQL PLANTIO'!B:B,VOOS!A1459)=0/1/1900,"",_xlfn.MINIFS('BASE SQL PLANTIO'!E:E,'BASE SQL PLANTIO'!B:B,VOOS!A1459))</f>
        <v/>
      </c>
      <c r="J1459" s="26"/>
      <c r="K1459" s="34" t="str">
        <f t="shared" si="67"/>
        <v/>
      </c>
      <c r="L1459" s="35" t="str">
        <f t="shared" si="68"/>
        <v/>
      </c>
      <c r="M1459" s="14"/>
      <c r="N1459" s="16"/>
    </row>
    <row r="1460" spans="1:14" ht="15.6" x14ac:dyDescent="0.3">
      <c r="A1460" s="13" t="str">
        <f t="shared" si="66"/>
        <v>-</v>
      </c>
      <c r="B1460" s="25"/>
      <c r="C1460" s="25"/>
      <c r="D1460" s="25"/>
      <c r="E1460" s="25"/>
      <c r="F1460" s="31"/>
      <c r="G1460" s="34">
        <f>SUMIFS('BASE EXEC. Q.L'!N:N,'BASE EXEC. Q.L'!B:B,VOOS!A1460)</f>
        <v>0</v>
      </c>
      <c r="H1460" s="15" t="str">
        <f>IFERROR(_xlfn.XLOOKUP(A1460,'BASE SQL PLANTIO'!B:B,'BASE SQL PLANTIO'!T:T,"verificar",0),"")</f>
        <v/>
      </c>
      <c r="I1460" s="77" t="str">
        <f>IF(_xlfn.MINIFS('BASE SQL PLANTIO'!E:E,'BASE SQL PLANTIO'!B:B,VOOS!A1460)=0/1/1900,"",_xlfn.MINIFS('BASE SQL PLANTIO'!E:E,'BASE SQL PLANTIO'!B:B,VOOS!A1460))</f>
        <v/>
      </c>
      <c r="J1460" s="26"/>
      <c r="K1460" s="34" t="str">
        <f t="shared" si="67"/>
        <v/>
      </c>
      <c r="L1460" s="35" t="str">
        <f t="shared" si="68"/>
        <v/>
      </c>
      <c r="M1460" s="14"/>
      <c r="N1460" s="16"/>
    </row>
    <row r="1461" spans="1:14" ht="15.6" x14ac:dyDescent="0.3">
      <c r="A1461" s="13" t="str">
        <f t="shared" si="66"/>
        <v>-</v>
      </c>
      <c r="B1461" s="25"/>
      <c r="C1461" s="25"/>
      <c r="D1461" s="25"/>
      <c r="E1461" s="25"/>
      <c r="F1461" s="31"/>
      <c r="G1461" s="34">
        <f>SUMIFS('BASE EXEC. Q.L'!N:N,'BASE EXEC. Q.L'!B:B,VOOS!A1461)</f>
        <v>0</v>
      </c>
      <c r="H1461" s="15" t="str">
        <f>IFERROR(_xlfn.XLOOKUP(A1461,'BASE SQL PLANTIO'!B:B,'BASE SQL PLANTIO'!T:T,"verificar",0),"")</f>
        <v/>
      </c>
      <c r="I1461" s="77" t="str">
        <f>IF(_xlfn.MINIFS('BASE SQL PLANTIO'!E:E,'BASE SQL PLANTIO'!B:B,VOOS!A1461)=0/1/1900,"",_xlfn.MINIFS('BASE SQL PLANTIO'!E:E,'BASE SQL PLANTIO'!B:B,VOOS!A1461))</f>
        <v/>
      </c>
      <c r="J1461" s="26"/>
      <c r="K1461" s="34" t="str">
        <f t="shared" si="67"/>
        <v/>
      </c>
      <c r="L1461" s="35" t="str">
        <f t="shared" si="68"/>
        <v/>
      </c>
      <c r="M1461" s="14"/>
      <c r="N1461" s="15"/>
    </row>
    <row r="1462" spans="1:14" ht="15.6" x14ac:dyDescent="0.3">
      <c r="A1462" s="13" t="str">
        <f t="shared" si="66"/>
        <v>-</v>
      </c>
      <c r="B1462" s="27"/>
      <c r="C1462" s="26"/>
      <c r="D1462" s="26"/>
      <c r="E1462" s="26"/>
      <c r="F1462" s="26"/>
      <c r="G1462" s="34">
        <f>SUMIFS('BASE EXEC. Q.L'!N:N,'BASE EXEC. Q.L'!B:B,VOOS!A1462)</f>
        <v>0</v>
      </c>
      <c r="H1462" s="15" t="str">
        <f>IFERROR(_xlfn.XLOOKUP(A1462,'BASE SQL PLANTIO'!B:B,'BASE SQL PLANTIO'!T:T,"verificar",0),"")</f>
        <v/>
      </c>
      <c r="I1462" s="77" t="str">
        <f>IF(_xlfn.MINIFS('BASE SQL PLANTIO'!E:E,'BASE SQL PLANTIO'!B:B,VOOS!A1462)=0/1/1900,"",_xlfn.MINIFS('BASE SQL PLANTIO'!E:E,'BASE SQL PLANTIO'!B:B,VOOS!A1462))</f>
        <v/>
      </c>
      <c r="J1462" s="26"/>
      <c r="K1462" s="34" t="str">
        <f t="shared" si="67"/>
        <v/>
      </c>
      <c r="L1462" s="35" t="str">
        <f t="shared" si="68"/>
        <v/>
      </c>
      <c r="M1462" s="14"/>
      <c r="N1462" s="16"/>
    </row>
    <row r="1463" spans="1:14" ht="15.6" x14ac:dyDescent="0.3">
      <c r="A1463" s="13" t="str">
        <f t="shared" si="66"/>
        <v>-</v>
      </c>
      <c r="B1463" s="27"/>
      <c r="C1463" s="26"/>
      <c r="D1463" s="26"/>
      <c r="E1463" s="26"/>
      <c r="F1463" s="26"/>
      <c r="G1463" s="34">
        <f>SUMIFS('BASE EXEC. Q.L'!N:N,'BASE EXEC. Q.L'!B:B,VOOS!A1463)</f>
        <v>0</v>
      </c>
      <c r="H1463" s="15" t="str">
        <f>IFERROR(_xlfn.XLOOKUP(A1463,'BASE SQL PLANTIO'!B:B,'BASE SQL PLANTIO'!T:T,"verificar",0),"")</f>
        <v/>
      </c>
      <c r="I1463" s="77" t="str">
        <f>IF(_xlfn.MINIFS('BASE SQL PLANTIO'!E:E,'BASE SQL PLANTIO'!B:B,VOOS!A1463)=0/1/1900,"",_xlfn.MINIFS('BASE SQL PLANTIO'!E:E,'BASE SQL PLANTIO'!B:B,VOOS!A1463))</f>
        <v/>
      </c>
      <c r="J1463" s="26"/>
      <c r="K1463" s="34" t="str">
        <f t="shared" si="67"/>
        <v/>
      </c>
      <c r="L1463" s="35" t="str">
        <f t="shared" si="68"/>
        <v/>
      </c>
      <c r="M1463" s="14"/>
      <c r="N1463" s="16"/>
    </row>
    <row r="1464" spans="1:14" ht="15.6" x14ac:dyDescent="0.3">
      <c r="A1464" s="13" t="str">
        <f t="shared" si="66"/>
        <v>-</v>
      </c>
      <c r="B1464" s="25"/>
      <c r="C1464" s="25"/>
      <c r="D1464" s="25"/>
      <c r="E1464" s="25"/>
      <c r="F1464" s="31"/>
      <c r="G1464" s="34">
        <f>SUMIFS('BASE EXEC. Q.L'!N:N,'BASE EXEC. Q.L'!B:B,VOOS!A1464)</f>
        <v>0</v>
      </c>
      <c r="H1464" s="15" t="str">
        <f>IFERROR(_xlfn.XLOOKUP(A1464,'BASE SQL PLANTIO'!B:B,'BASE SQL PLANTIO'!T:T,"verificar",0),"")</f>
        <v/>
      </c>
      <c r="I1464" s="77" t="str">
        <f>IF(_xlfn.MINIFS('BASE SQL PLANTIO'!E:E,'BASE SQL PLANTIO'!B:B,VOOS!A1464)=0/1/1900,"",_xlfn.MINIFS('BASE SQL PLANTIO'!E:E,'BASE SQL PLANTIO'!B:B,VOOS!A1464))</f>
        <v/>
      </c>
      <c r="J1464" s="26"/>
      <c r="K1464" s="34" t="str">
        <f t="shared" si="67"/>
        <v/>
      </c>
      <c r="L1464" s="35" t="str">
        <f t="shared" si="68"/>
        <v/>
      </c>
      <c r="M1464" s="14"/>
      <c r="N1464" s="16"/>
    </row>
    <row r="1465" spans="1:14" ht="15.6" x14ac:dyDescent="0.3">
      <c r="A1465" s="13" t="str">
        <f t="shared" si="66"/>
        <v>-</v>
      </c>
      <c r="B1465" s="25"/>
      <c r="C1465" s="25"/>
      <c r="D1465" s="25"/>
      <c r="E1465" s="25"/>
      <c r="F1465" s="31"/>
      <c r="G1465" s="34">
        <f>SUMIFS('BASE EXEC. Q.L'!N:N,'BASE EXEC. Q.L'!B:B,VOOS!A1465)</f>
        <v>0</v>
      </c>
      <c r="H1465" s="15" t="str">
        <f>IFERROR(_xlfn.XLOOKUP(A1465,'BASE SQL PLANTIO'!B:B,'BASE SQL PLANTIO'!T:T,"verificar",0),"")</f>
        <v/>
      </c>
      <c r="I1465" s="77" t="str">
        <f>IF(_xlfn.MINIFS('BASE SQL PLANTIO'!E:E,'BASE SQL PLANTIO'!B:B,VOOS!A1465)=0/1/1900,"",_xlfn.MINIFS('BASE SQL PLANTIO'!E:E,'BASE SQL PLANTIO'!B:B,VOOS!A1465))</f>
        <v/>
      </c>
      <c r="J1465" s="26"/>
      <c r="K1465" s="34" t="str">
        <f t="shared" si="67"/>
        <v/>
      </c>
      <c r="L1465" s="35" t="str">
        <f t="shared" si="68"/>
        <v/>
      </c>
      <c r="M1465" s="14"/>
      <c r="N1465" s="16"/>
    </row>
    <row r="1466" spans="1:14" ht="15.6" x14ac:dyDescent="0.3">
      <c r="A1466" s="13" t="str">
        <f t="shared" si="66"/>
        <v>-</v>
      </c>
      <c r="B1466" s="25"/>
      <c r="C1466" s="25"/>
      <c r="D1466" s="25"/>
      <c r="E1466" s="25"/>
      <c r="F1466" s="31"/>
      <c r="G1466" s="34">
        <f>SUMIFS('BASE EXEC. Q.L'!N:N,'BASE EXEC. Q.L'!B:B,VOOS!A1466)</f>
        <v>0</v>
      </c>
      <c r="H1466" s="15" t="str">
        <f>IFERROR(_xlfn.XLOOKUP(A1466,'BASE SQL PLANTIO'!B:B,'BASE SQL PLANTIO'!T:T,"verificar",0),"")</f>
        <v/>
      </c>
      <c r="I1466" s="77" t="str">
        <f>IF(_xlfn.MINIFS('BASE SQL PLANTIO'!E:E,'BASE SQL PLANTIO'!B:B,VOOS!A1466)=0/1/1900,"",_xlfn.MINIFS('BASE SQL PLANTIO'!E:E,'BASE SQL PLANTIO'!B:B,VOOS!A1466))</f>
        <v/>
      </c>
      <c r="J1466" s="26"/>
      <c r="K1466" s="34" t="str">
        <f t="shared" si="67"/>
        <v/>
      </c>
      <c r="L1466" s="35" t="str">
        <f t="shared" si="68"/>
        <v/>
      </c>
      <c r="M1466" s="14"/>
      <c r="N1466" s="15"/>
    </row>
    <row r="1467" spans="1:14" ht="15.6" x14ac:dyDescent="0.3">
      <c r="A1467" s="13" t="str">
        <f t="shared" si="66"/>
        <v>-</v>
      </c>
      <c r="B1467" s="27"/>
      <c r="C1467" s="26"/>
      <c r="D1467" s="26"/>
      <c r="E1467" s="26"/>
      <c r="F1467" s="26"/>
      <c r="G1467" s="34">
        <f>SUMIFS('BASE EXEC. Q.L'!N:N,'BASE EXEC. Q.L'!B:B,VOOS!A1467)</f>
        <v>0</v>
      </c>
      <c r="H1467" s="15" t="str">
        <f>IFERROR(_xlfn.XLOOKUP(A1467,'BASE SQL PLANTIO'!B:B,'BASE SQL PLANTIO'!T:T,"verificar",0),"")</f>
        <v/>
      </c>
      <c r="I1467" s="77" t="str">
        <f>IF(_xlfn.MINIFS('BASE SQL PLANTIO'!E:E,'BASE SQL PLANTIO'!B:B,VOOS!A1467)=0/1/1900,"",_xlfn.MINIFS('BASE SQL PLANTIO'!E:E,'BASE SQL PLANTIO'!B:B,VOOS!A1467))</f>
        <v/>
      </c>
      <c r="J1467" s="26"/>
      <c r="K1467" s="34" t="str">
        <f t="shared" si="67"/>
        <v/>
      </c>
      <c r="L1467" s="35" t="str">
        <f t="shared" si="68"/>
        <v/>
      </c>
      <c r="M1467" s="14"/>
      <c r="N1467" s="16"/>
    </row>
    <row r="1468" spans="1:14" ht="15.6" x14ac:dyDescent="0.3">
      <c r="A1468" s="13" t="str">
        <f t="shared" si="66"/>
        <v>-</v>
      </c>
      <c r="B1468" s="27"/>
      <c r="C1468" s="26"/>
      <c r="D1468" s="26"/>
      <c r="E1468" s="26"/>
      <c r="F1468" s="26"/>
      <c r="G1468" s="34">
        <f>SUMIFS('BASE EXEC. Q.L'!N:N,'BASE EXEC. Q.L'!B:B,VOOS!A1468)</f>
        <v>0</v>
      </c>
      <c r="H1468" s="15" t="str">
        <f>IFERROR(_xlfn.XLOOKUP(A1468,'BASE SQL PLANTIO'!B:B,'BASE SQL PLANTIO'!T:T,"verificar",0),"")</f>
        <v/>
      </c>
      <c r="I1468" s="77" t="str">
        <f>IF(_xlfn.MINIFS('BASE SQL PLANTIO'!E:E,'BASE SQL PLANTIO'!B:B,VOOS!A1468)=0/1/1900,"",_xlfn.MINIFS('BASE SQL PLANTIO'!E:E,'BASE SQL PLANTIO'!B:B,VOOS!A1468))</f>
        <v/>
      </c>
      <c r="J1468" s="26"/>
      <c r="K1468" s="34" t="str">
        <f t="shared" si="67"/>
        <v/>
      </c>
      <c r="L1468" s="35" t="str">
        <f t="shared" si="68"/>
        <v/>
      </c>
      <c r="M1468" s="14"/>
      <c r="N1468" s="16"/>
    </row>
    <row r="1469" spans="1:14" ht="15.6" x14ac:dyDescent="0.3">
      <c r="A1469" s="13" t="str">
        <f t="shared" si="66"/>
        <v>-</v>
      </c>
      <c r="B1469" s="25"/>
      <c r="C1469" s="25"/>
      <c r="D1469" s="25"/>
      <c r="E1469" s="25"/>
      <c r="F1469" s="31"/>
      <c r="G1469" s="34">
        <f>SUMIFS('BASE EXEC. Q.L'!N:N,'BASE EXEC. Q.L'!B:B,VOOS!A1469)</f>
        <v>0</v>
      </c>
      <c r="H1469" s="15" t="str">
        <f>IFERROR(_xlfn.XLOOKUP(A1469,'BASE SQL PLANTIO'!B:B,'BASE SQL PLANTIO'!T:T,"verificar",0),"")</f>
        <v/>
      </c>
      <c r="I1469" s="77" t="str">
        <f>IF(_xlfn.MINIFS('BASE SQL PLANTIO'!E:E,'BASE SQL PLANTIO'!B:B,VOOS!A1469)=0/1/1900,"",_xlfn.MINIFS('BASE SQL PLANTIO'!E:E,'BASE SQL PLANTIO'!B:B,VOOS!A1469))</f>
        <v/>
      </c>
      <c r="J1469" s="26"/>
      <c r="K1469" s="34" t="str">
        <f t="shared" si="67"/>
        <v/>
      </c>
      <c r="L1469" s="35" t="str">
        <f t="shared" si="68"/>
        <v/>
      </c>
      <c r="M1469" s="14"/>
      <c r="N1469" s="16"/>
    </row>
    <row r="1470" spans="1:14" ht="15.6" x14ac:dyDescent="0.3">
      <c r="A1470" s="13" t="str">
        <f t="shared" si="66"/>
        <v>-</v>
      </c>
      <c r="B1470" s="25"/>
      <c r="C1470" s="25"/>
      <c r="D1470" s="25"/>
      <c r="E1470" s="25"/>
      <c r="F1470" s="31"/>
      <c r="G1470" s="34">
        <f>SUMIFS('BASE EXEC. Q.L'!N:N,'BASE EXEC. Q.L'!B:B,VOOS!A1470)</f>
        <v>0</v>
      </c>
      <c r="H1470" s="15" t="str">
        <f>IFERROR(_xlfn.XLOOKUP(A1470,'BASE SQL PLANTIO'!B:B,'BASE SQL PLANTIO'!T:T,"verificar",0),"")</f>
        <v/>
      </c>
      <c r="I1470" s="77" t="str">
        <f>IF(_xlfn.MINIFS('BASE SQL PLANTIO'!E:E,'BASE SQL PLANTIO'!B:B,VOOS!A1470)=0/1/1900,"",_xlfn.MINIFS('BASE SQL PLANTIO'!E:E,'BASE SQL PLANTIO'!B:B,VOOS!A1470))</f>
        <v/>
      </c>
      <c r="J1470" s="26"/>
      <c r="K1470" s="34" t="str">
        <f t="shared" si="67"/>
        <v/>
      </c>
      <c r="L1470" s="35" t="str">
        <f t="shared" si="68"/>
        <v/>
      </c>
      <c r="M1470" s="14"/>
      <c r="N1470" s="16"/>
    </row>
    <row r="1471" spans="1:14" ht="15.6" x14ac:dyDescent="0.3">
      <c r="A1471" s="13" t="str">
        <f t="shared" si="66"/>
        <v>-</v>
      </c>
      <c r="B1471" s="25"/>
      <c r="C1471" s="25"/>
      <c r="D1471" s="25"/>
      <c r="E1471" s="25"/>
      <c r="F1471" s="31"/>
      <c r="G1471" s="34">
        <f>SUMIFS('BASE EXEC. Q.L'!N:N,'BASE EXEC. Q.L'!B:B,VOOS!A1471)</f>
        <v>0</v>
      </c>
      <c r="H1471" s="15" t="str">
        <f>IFERROR(_xlfn.XLOOKUP(A1471,'BASE SQL PLANTIO'!B:B,'BASE SQL PLANTIO'!T:T,"verificar",0),"")</f>
        <v/>
      </c>
      <c r="I1471" s="77" t="str">
        <f>IF(_xlfn.MINIFS('BASE SQL PLANTIO'!E:E,'BASE SQL PLANTIO'!B:B,VOOS!A1471)=0/1/1900,"",_xlfn.MINIFS('BASE SQL PLANTIO'!E:E,'BASE SQL PLANTIO'!B:B,VOOS!A1471))</f>
        <v/>
      </c>
      <c r="J1471" s="26"/>
      <c r="K1471" s="34" t="str">
        <f t="shared" si="67"/>
        <v/>
      </c>
      <c r="L1471" s="35" t="str">
        <f t="shared" si="68"/>
        <v/>
      </c>
      <c r="M1471" s="14"/>
      <c r="N1471" s="15"/>
    </row>
    <row r="1472" spans="1:14" ht="15.6" x14ac:dyDescent="0.3">
      <c r="A1472" s="13" t="str">
        <f t="shared" si="66"/>
        <v>-</v>
      </c>
      <c r="B1472" s="27"/>
      <c r="C1472" s="26"/>
      <c r="D1472" s="26"/>
      <c r="E1472" s="26"/>
      <c r="F1472" s="26"/>
      <c r="G1472" s="34">
        <f>SUMIFS('BASE EXEC. Q.L'!N:N,'BASE EXEC. Q.L'!B:B,VOOS!A1472)</f>
        <v>0</v>
      </c>
      <c r="H1472" s="15" t="str">
        <f>IFERROR(_xlfn.XLOOKUP(A1472,'BASE SQL PLANTIO'!B:B,'BASE SQL PLANTIO'!T:T,"verificar",0),"")</f>
        <v/>
      </c>
      <c r="I1472" s="77" t="str">
        <f>IF(_xlfn.MINIFS('BASE SQL PLANTIO'!E:E,'BASE SQL PLANTIO'!B:B,VOOS!A1472)=0/1/1900,"",_xlfn.MINIFS('BASE SQL PLANTIO'!E:E,'BASE SQL PLANTIO'!B:B,VOOS!A1472))</f>
        <v/>
      </c>
      <c r="J1472" s="26"/>
      <c r="K1472" s="34" t="str">
        <f t="shared" si="67"/>
        <v/>
      </c>
      <c r="L1472" s="35" t="str">
        <f t="shared" si="68"/>
        <v/>
      </c>
      <c r="M1472" s="14"/>
      <c r="N1472" s="16"/>
    </row>
    <row r="1473" spans="1:14" ht="15.6" x14ac:dyDescent="0.3">
      <c r="A1473" s="13" t="str">
        <f t="shared" si="66"/>
        <v>-</v>
      </c>
      <c r="B1473" s="27"/>
      <c r="C1473" s="26"/>
      <c r="D1473" s="26"/>
      <c r="E1473" s="26"/>
      <c r="F1473" s="26"/>
      <c r="G1473" s="34">
        <f>SUMIFS('BASE EXEC. Q.L'!N:N,'BASE EXEC. Q.L'!B:B,VOOS!A1473)</f>
        <v>0</v>
      </c>
      <c r="H1473" s="15" t="str">
        <f>IFERROR(_xlfn.XLOOKUP(A1473,'BASE SQL PLANTIO'!B:B,'BASE SQL PLANTIO'!T:T,"verificar",0),"")</f>
        <v/>
      </c>
      <c r="I1473" s="77" t="str">
        <f>IF(_xlfn.MINIFS('BASE SQL PLANTIO'!E:E,'BASE SQL PLANTIO'!B:B,VOOS!A1473)=0/1/1900,"",_xlfn.MINIFS('BASE SQL PLANTIO'!E:E,'BASE SQL PLANTIO'!B:B,VOOS!A1473))</f>
        <v/>
      </c>
      <c r="J1473" s="26"/>
      <c r="K1473" s="34" t="str">
        <f t="shared" si="67"/>
        <v/>
      </c>
      <c r="L1473" s="35" t="str">
        <f t="shared" si="68"/>
        <v/>
      </c>
      <c r="M1473" s="14"/>
      <c r="N1473" s="16"/>
    </row>
    <row r="1474" spans="1:14" ht="15.6" x14ac:dyDescent="0.3">
      <c r="A1474" s="13" t="str">
        <f t="shared" si="66"/>
        <v>-</v>
      </c>
      <c r="B1474" s="25"/>
      <c r="C1474" s="25"/>
      <c r="D1474" s="25"/>
      <c r="E1474" s="25"/>
      <c r="F1474" s="31"/>
      <c r="G1474" s="34">
        <f>SUMIFS('BASE EXEC. Q.L'!N:N,'BASE EXEC. Q.L'!B:B,VOOS!A1474)</f>
        <v>0</v>
      </c>
      <c r="H1474" s="15" t="str">
        <f>IFERROR(_xlfn.XLOOKUP(A1474,'BASE SQL PLANTIO'!B:B,'BASE SQL PLANTIO'!T:T,"verificar",0),"")</f>
        <v/>
      </c>
      <c r="I1474" s="77" t="str">
        <f>IF(_xlfn.MINIFS('BASE SQL PLANTIO'!E:E,'BASE SQL PLANTIO'!B:B,VOOS!A1474)=0/1/1900,"",_xlfn.MINIFS('BASE SQL PLANTIO'!E:E,'BASE SQL PLANTIO'!B:B,VOOS!A1474))</f>
        <v/>
      </c>
      <c r="J1474" s="26"/>
      <c r="K1474" s="34" t="str">
        <f t="shared" si="67"/>
        <v/>
      </c>
      <c r="L1474" s="35" t="str">
        <f t="shared" si="68"/>
        <v/>
      </c>
      <c r="M1474" s="14"/>
      <c r="N1474" s="16"/>
    </row>
    <row r="1475" spans="1:14" ht="15.6" x14ac:dyDescent="0.3">
      <c r="A1475" s="13" t="str">
        <f t="shared" si="66"/>
        <v>-</v>
      </c>
      <c r="B1475" s="25"/>
      <c r="C1475" s="25"/>
      <c r="D1475" s="25"/>
      <c r="E1475" s="25"/>
      <c r="F1475" s="31"/>
      <c r="G1475" s="34">
        <f>SUMIFS('BASE EXEC. Q.L'!N:N,'BASE EXEC. Q.L'!B:B,VOOS!A1475)</f>
        <v>0</v>
      </c>
      <c r="H1475" s="15" t="str">
        <f>IFERROR(_xlfn.XLOOKUP(A1475,'BASE SQL PLANTIO'!B:B,'BASE SQL PLANTIO'!T:T,"verificar",0),"")</f>
        <v/>
      </c>
      <c r="I1475" s="77" t="str">
        <f>IF(_xlfn.MINIFS('BASE SQL PLANTIO'!E:E,'BASE SQL PLANTIO'!B:B,VOOS!A1475)=0/1/1900,"",_xlfn.MINIFS('BASE SQL PLANTIO'!E:E,'BASE SQL PLANTIO'!B:B,VOOS!A1475))</f>
        <v/>
      </c>
      <c r="J1475" s="26"/>
      <c r="K1475" s="34" t="str">
        <f t="shared" si="67"/>
        <v/>
      </c>
      <c r="L1475" s="35" t="str">
        <f t="shared" si="68"/>
        <v/>
      </c>
      <c r="M1475" s="14"/>
      <c r="N1475" s="16"/>
    </row>
    <row r="1476" spans="1:14" ht="15.6" x14ac:dyDescent="0.3">
      <c r="A1476" s="13" t="str">
        <f t="shared" si="66"/>
        <v>-</v>
      </c>
      <c r="B1476" s="25"/>
      <c r="C1476" s="25"/>
      <c r="D1476" s="25"/>
      <c r="E1476" s="25"/>
      <c r="F1476" s="31"/>
      <c r="G1476" s="34">
        <f>SUMIFS('BASE EXEC. Q.L'!N:N,'BASE EXEC. Q.L'!B:B,VOOS!A1476)</f>
        <v>0</v>
      </c>
      <c r="H1476" s="15" t="str">
        <f>IFERROR(_xlfn.XLOOKUP(A1476,'BASE SQL PLANTIO'!B:B,'BASE SQL PLANTIO'!T:T,"verificar",0),"")</f>
        <v/>
      </c>
      <c r="I1476" s="77" t="str">
        <f>IF(_xlfn.MINIFS('BASE SQL PLANTIO'!E:E,'BASE SQL PLANTIO'!B:B,VOOS!A1476)=0/1/1900,"",_xlfn.MINIFS('BASE SQL PLANTIO'!E:E,'BASE SQL PLANTIO'!B:B,VOOS!A1476))</f>
        <v/>
      </c>
      <c r="J1476" s="26"/>
      <c r="K1476" s="34" t="str">
        <f t="shared" si="67"/>
        <v/>
      </c>
      <c r="L1476" s="35" t="str">
        <f t="shared" si="68"/>
        <v/>
      </c>
      <c r="M1476" s="14"/>
      <c r="N1476" s="15"/>
    </row>
    <row r="1477" spans="1:14" ht="15.6" x14ac:dyDescent="0.3">
      <c r="A1477" s="13" t="str">
        <f t="shared" ref="A1477:A1540" si="69">CONCATENATE(B1477,"-",E1477)</f>
        <v>-</v>
      </c>
      <c r="B1477" s="27"/>
      <c r="C1477" s="26"/>
      <c r="D1477" s="26"/>
      <c r="E1477" s="26"/>
      <c r="F1477" s="26"/>
      <c r="G1477" s="34">
        <f>SUMIFS('BASE EXEC. Q.L'!N:N,'BASE EXEC. Q.L'!B:B,VOOS!A1477)</f>
        <v>0</v>
      </c>
      <c r="H1477" s="15" t="str">
        <f>IFERROR(_xlfn.XLOOKUP(A1477,'BASE SQL PLANTIO'!B:B,'BASE SQL PLANTIO'!T:T,"verificar",0),"")</f>
        <v/>
      </c>
      <c r="I1477" s="77" t="str">
        <f>IF(_xlfn.MINIFS('BASE SQL PLANTIO'!E:E,'BASE SQL PLANTIO'!B:B,VOOS!A1477)=0/1/1900,"",_xlfn.MINIFS('BASE SQL PLANTIO'!E:E,'BASE SQL PLANTIO'!B:B,VOOS!A1477))</f>
        <v/>
      </c>
      <c r="J1477" s="26"/>
      <c r="K1477" s="34" t="str">
        <f t="shared" ref="K1477:K1540" si="70">IF(I1477="","",$K$3-I1477)</f>
        <v/>
      </c>
      <c r="L1477" s="35" t="str">
        <f t="shared" ref="L1477:L1540" si="71">K1477</f>
        <v/>
      </c>
      <c r="M1477" s="14"/>
      <c r="N1477" s="16"/>
    </row>
    <row r="1478" spans="1:14" ht="15.6" x14ac:dyDescent="0.3">
      <c r="A1478" s="13" t="str">
        <f t="shared" si="69"/>
        <v>-</v>
      </c>
      <c r="B1478" s="27"/>
      <c r="C1478" s="26"/>
      <c r="D1478" s="26"/>
      <c r="E1478" s="26"/>
      <c r="F1478" s="26"/>
      <c r="G1478" s="34">
        <f>SUMIFS('BASE EXEC. Q.L'!N:N,'BASE EXEC. Q.L'!B:B,VOOS!A1478)</f>
        <v>0</v>
      </c>
      <c r="H1478" s="15" t="str">
        <f>IFERROR(_xlfn.XLOOKUP(A1478,'BASE SQL PLANTIO'!B:B,'BASE SQL PLANTIO'!T:T,"verificar",0),"")</f>
        <v/>
      </c>
      <c r="I1478" s="77" t="str">
        <f>IF(_xlfn.MINIFS('BASE SQL PLANTIO'!E:E,'BASE SQL PLANTIO'!B:B,VOOS!A1478)=0/1/1900,"",_xlfn.MINIFS('BASE SQL PLANTIO'!E:E,'BASE SQL PLANTIO'!B:B,VOOS!A1478))</f>
        <v/>
      </c>
      <c r="J1478" s="26"/>
      <c r="K1478" s="34" t="str">
        <f t="shared" si="70"/>
        <v/>
      </c>
      <c r="L1478" s="35" t="str">
        <f t="shared" si="71"/>
        <v/>
      </c>
      <c r="M1478" s="14"/>
      <c r="N1478" s="16"/>
    </row>
    <row r="1479" spans="1:14" ht="15.6" x14ac:dyDescent="0.3">
      <c r="A1479" s="13" t="str">
        <f t="shared" si="69"/>
        <v>-</v>
      </c>
      <c r="B1479" s="25"/>
      <c r="C1479" s="25"/>
      <c r="D1479" s="25"/>
      <c r="E1479" s="25"/>
      <c r="F1479" s="31"/>
      <c r="G1479" s="34">
        <f>SUMIFS('BASE EXEC. Q.L'!N:N,'BASE EXEC. Q.L'!B:B,VOOS!A1479)</f>
        <v>0</v>
      </c>
      <c r="H1479" s="15" t="str">
        <f>IFERROR(_xlfn.XLOOKUP(A1479,'BASE SQL PLANTIO'!B:B,'BASE SQL PLANTIO'!T:T,"verificar",0),"")</f>
        <v/>
      </c>
      <c r="I1479" s="77" t="str">
        <f>IF(_xlfn.MINIFS('BASE SQL PLANTIO'!E:E,'BASE SQL PLANTIO'!B:B,VOOS!A1479)=0/1/1900,"",_xlfn.MINIFS('BASE SQL PLANTIO'!E:E,'BASE SQL PLANTIO'!B:B,VOOS!A1479))</f>
        <v/>
      </c>
      <c r="J1479" s="26"/>
      <c r="K1479" s="34" t="str">
        <f t="shared" si="70"/>
        <v/>
      </c>
      <c r="L1479" s="35" t="str">
        <f t="shared" si="71"/>
        <v/>
      </c>
      <c r="M1479" s="14"/>
      <c r="N1479" s="16"/>
    </row>
    <row r="1480" spans="1:14" ht="15.6" x14ac:dyDescent="0.3">
      <c r="A1480" s="13" t="str">
        <f t="shared" si="69"/>
        <v>-</v>
      </c>
      <c r="B1480" s="25"/>
      <c r="C1480" s="25"/>
      <c r="D1480" s="25"/>
      <c r="E1480" s="25"/>
      <c r="F1480" s="31"/>
      <c r="G1480" s="34">
        <f>SUMIFS('BASE EXEC. Q.L'!N:N,'BASE EXEC. Q.L'!B:B,VOOS!A1480)</f>
        <v>0</v>
      </c>
      <c r="H1480" s="15" t="str">
        <f>IFERROR(_xlfn.XLOOKUP(A1480,'BASE SQL PLANTIO'!B:B,'BASE SQL PLANTIO'!T:T,"verificar",0),"")</f>
        <v/>
      </c>
      <c r="I1480" s="77" t="str">
        <f>IF(_xlfn.MINIFS('BASE SQL PLANTIO'!E:E,'BASE SQL PLANTIO'!B:B,VOOS!A1480)=0/1/1900,"",_xlfn.MINIFS('BASE SQL PLANTIO'!E:E,'BASE SQL PLANTIO'!B:B,VOOS!A1480))</f>
        <v/>
      </c>
      <c r="J1480" s="26"/>
      <c r="K1480" s="34" t="str">
        <f t="shared" si="70"/>
        <v/>
      </c>
      <c r="L1480" s="35" t="str">
        <f t="shared" si="71"/>
        <v/>
      </c>
      <c r="M1480" s="14"/>
      <c r="N1480" s="16"/>
    </row>
    <row r="1481" spans="1:14" ht="15.6" x14ac:dyDescent="0.3">
      <c r="A1481" s="13" t="str">
        <f t="shared" si="69"/>
        <v>-</v>
      </c>
      <c r="B1481" s="25"/>
      <c r="C1481" s="25"/>
      <c r="D1481" s="25"/>
      <c r="E1481" s="25"/>
      <c r="F1481" s="31"/>
      <c r="G1481" s="34">
        <f>SUMIFS('BASE EXEC. Q.L'!N:N,'BASE EXEC. Q.L'!B:B,VOOS!A1481)</f>
        <v>0</v>
      </c>
      <c r="H1481" s="15" t="str">
        <f>IFERROR(_xlfn.XLOOKUP(A1481,'BASE SQL PLANTIO'!B:B,'BASE SQL PLANTIO'!T:T,"verificar",0),"")</f>
        <v/>
      </c>
      <c r="I1481" s="77" t="str">
        <f>IF(_xlfn.MINIFS('BASE SQL PLANTIO'!E:E,'BASE SQL PLANTIO'!B:B,VOOS!A1481)=0/1/1900,"",_xlfn.MINIFS('BASE SQL PLANTIO'!E:E,'BASE SQL PLANTIO'!B:B,VOOS!A1481))</f>
        <v/>
      </c>
      <c r="J1481" s="26"/>
      <c r="K1481" s="34" t="str">
        <f t="shared" si="70"/>
        <v/>
      </c>
      <c r="L1481" s="35" t="str">
        <f t="shared" si="71"/>
        <v/>
      </c>
      <c r="M1481" s="14"/>
      <c r="N1481" s="15"/>
    </row>
    <row r="1482" spans="1:14" ht="15.6" x14ac:dyDescent="0.3">
      <c r="A1482" s="13" t="str">
        <f t="shared" si="69"/>
        <v>-</v>
      </c>
      <c r="B1482" s="27"/>
      <c r="C1482" s="26"/>
      <c r="D1482" s="26"/>
      <c r="E1482" s="26"/>
      <c r="F1482" s="26"/>
      <c r="G1482" s="34">
        <f>SUMIFS('BASE EXEC. Q.L'!N:N,'BASE EXEC. Q.L'!B:B,VOOS!A1482)</f>
        <v>0</v>
      </c>
      <c r="H1482" s="15" t="str">
        <f>IFERROR(_xlfn.XLOOKUP(A1482,'BASE SQL PLANTIO'!B:B,'BASE SQL PLANTIO'!T:T,"verificar",0),"")</f>
        <v/>
      </c>
      <c r="I1482" s="77" t="str">
        <f>IF(_xlfn.MINIFS('BASE SQL PLANTIO'!E:E,'BASE SQL PLANTIO'!B:B,VOOS!A1482)=0/1/1900,"",_xlfn.MINIFS('BASE SQL PLANTIO'!E:E,'BASE SQL PLANTIO'!B:B,VOOS!A1482))</f>
        <v/>
      </c>
      <c r="J1482" s="26"/>
      <c r="K1482" s="34" t="str">
        <f t="shared" si="70"/>
        <v/>
      </c>
      <c r="L1482" s="35" t="str">
        <f t="shared" si="71"/>
        <v/>
      </c>
      <c r="M1482" s="14"/>
      <c r="N1482" s="16"/>
    </row>
    <row r="1483" spans="1:14" ht="15.6" x14ac:dyDescent="0.3">
      <c r="A1483" s="13" t="str">
        <f t="shared" si="69"/>
        <v>-</v>
      </c>
      <c r="B1483" s="27"/>
      <c r="C1483" s="26"/>
      <c r="D1483" s="26"/>
      <c r="E1483" s="26"/>
      <c r="F1483" s="26"/>
      <c r="G1483" s="34">
        <f>SUMIFS('BASE EXEC. Q.L'!N:N,'BASE EXEC. Q.L'!B:B,VOOS!A1483)</f>
        <v>0</v>
      </c>
      <c r="H1483" s="15" t="str">
        <f>IFERROR(_xlfn.XLOOKUP(A1483,'BASE SQL PLANTIO'!B:B,'BASE SQL PLANTIO'!T:T,"verificar",0),"")</f>
        <v/>
      </c>
      <c r="I1483" s="77" t="str">
        <f>IF(_xlfn.MINIFS('BASE SQL PLANTIO'!E:E,'BASE SQL PLANTIO'!B:B,VOOS!A1483)=0/1/1900,"",_xlfn.MINIFS('BASE SQL PLANTIO'!E:E,'BASE SQL PLANTIO'!B:B,VOOS!A1483))</f>
        <v/>
      </c>
      <c r="J1483" s="26"/>
      <c r="K1483" s="34" t="str">
        <f t="shared" si="70"/>
        <v/>
      </c>
      <c r="L1483" s="35" t="str">
        <f t="shared" si="71"/>
        <v/>
      </c>
      <c r="M1483" s="14"/>
      <c r="N1483" s="16"/>
    </row>
    <row r="1484" spans="1:14" ht="15.6" x14ac:dyDescent="0.3">
      <c r="A1484" s="13" t="str">
        <f t="shared" si="69"/>
        <v>-</v>
      </c>
      <c r="B1484" s="25"/>
      <c r="C1484" s="25"/>
      <c r="D1484" s="25"/>
      <c r="E1484" s="25"/>
      <c r="F1484" s="31"/>
      <c r="G1484" s="34">
        <f>SUMIFS('BASE EXEC. Q.L'!N:N,'BASE EXEC. Q.L'!B:B,VOOS!A1484)</f>
        <v>0</v>
      </c>
      <c r="H1484" s="15" t="str">
        <f>IFERROR(_xlfn.XLOOKUP(A1484,'BASE SQL PLANTIO'!B:B,'BASE SQL PLANTIO'!T:T,"verificar",0),"")</f>
        <v/>
      </c>
      <c r="I1484" s="77" t="str">
        <f>IF(_xlfn.MINIFS('BASE SQL PLANTIO'!E:E,'BASE SQL PLANTIO'!B:B,VOOS!A1484)=0/1/1900,"",_xlfn.MINIFS('BASE SQL PLANTIO'!E:E,'BASE SQL PLANTIO'!B:B,VOOS!A1484))</f>
        <v/>
      </c>
      <c r="J1484" s="26"/>
      <c r="K1484" s="34" t="str">
        <f t="shared" si="70"/>
        <v/>
      </c>
      <c r="L1484" s="35" t="str">
        <f t="shared" si="71"/>
        <v/>
      </c>
      <c r="M1484" s="14"/>
      <c r="N1484" s="16"/>
    </row>
    <row r="1485" spans="1:14" ht="15.6" x14ac:dyDescent="0.3">
      <c r="A1485" s="13" t="str">
        <f t="shared" si="69"/>
        <v>-</v>
      </c>
      <c r="B1485" s="25"/>
      <c r="C1485" s="25"/>
      <c r="D1485" s="25"/>
      <c r="E1485" s="25"/>
      <c r="F1485" s="31"/>
      <c r="G1485" s="34">
        <f>SUMIFS('BASE EXEC. Q.L'!N:N,'BASE EXEC. Q.L'!B:B,VOOS!A1485)</f>
        <v>0</v>
      </c>
      <c r="H1485" s="15" t="str">
        <f>IFERROR(_xlfn.XLOOKUP(A1485,'BASE SQL PLANTIO'!B:B,'BASE SQL PLANTIO'!T:T,"verificar",0),"")</f>
        <v/>
      </c>
      <c r="I1485" s="77" t="str">
        <f>IF(_xlfn.MINIFS('BASE SQL PLANTIO'!E:E,'BASE SQL PLANTIO'!B:B,VOOS!A1485)=0/1/1900,"",_xlfn.MINIFS('BASE SQL PLANTIO'!E:E,'BASE SQL PLANTIO'!B:B,VOOS!A1485))</f>
        <v/>
      </c>
      <c r="J1485" s="26"/>
      <c r="K1485" s="34" t="str">
        <f t="shared" si="70"/>
        <v/>
      </c>
      <c r="L1485" s="35" t="str">
        <f t="shared" si="71"/>
        <v/>
      </c>
      <c r="M1485" s="14"/>
      <c r="N1485" s="16"/>
    </row>
    <row r="1486" spans="1:14" ht="15.6" x14ac:dyDescent="0.3">
      <c r="A1486" s="13" t="str">
        <f t="shared" si="69"/>
        <v>-</v>
      </c>
      <c r="B1486" s="25"/>
      <c r="C1486" s="25"/>
      <c r="D1486" s="25"/>
      <c r="E1486" s="25"/>
      <c r="F1486" s="31"/>
      <c r="G1486" s="34">
        <f>SUMIFS('BASE EXEC. Q.L'!N:N,'BASE EXEC. Q.L'!B:B,VOOS!A1486)</f>
        <v>0</v>
      </c>
      <c r="H1486" s="15" t="str">
        <f>IFERROR(_xlfn.XLOOKUP(A1486,'BASE SQL PLANTIO'!B:B,'BASE SQL PLANTIO'!T:T,"verificar",0),"")</f>
        <v/>
      </c>
      <c r="I1486" s="77" t="str">
        <f>IF(_xlfn.MINIFS('BASE SQL PLANTIO'!E:E,'BASE SQL PLANTIO'!B:B,VOOS!A1486)=0/1/1900,"",_xlfn.MINIFS('BASE SQL PLANTIO'!E:E,'BASE SQL PLANTIO'!B:B,VOOS!A1486))</f>
        <v/>
      </c>
      <c r="J1486" s="26"/>
      <c r="K1486" s="34" t="str">
        <f t="shared" si="70"/>
        <v/>
      </c>
      <c r="L1486" s="35" t="str">
        <f t="shared" si="71"/>
        <v/>
      </c>
      <c r="M1486" s="14"/>
      <c r="N1486" s="15"/>
    </row>
    <row r="1487" spans="1:14" ht="15.6" x14ac:dyDescent="0.3">
      <c r="A1487" s="13" t="str">
        <f t="shared" si="69"/>
        <v>-</v>
      </c>
      <c r="B1487" s="27"/>
      <c r="C1487" s="26"/>
      <c r="D1487" s="26"/>
      <c r="E1487" s="26"/>
      <c r="F1487" s="26"/>
      <c r="G1487" s="34">
        <f>SUMIFS('BASE EXEC. Q.L'!N:N,'BASE EXEC. Q.L'!B:B,VOOS!A1487)</f>
        <v>0</v>
      </c>
      <c r="H1487" s="15" t="str">
        <f>IFERROR(_xlfn.XLOOKUP(A1487,'BASE SQL PLANTIO'!B:B,'BASE SQL PLANTIO'!T:T,"verificar",0),"")</f>
        <v/>
      </c>
      <c r="I1487" s="77" t="str">
        <f>IF(_xlfn.MINIFS('BASE SQL PLANTIO'!E:E,'BASE SQL PLANTIO'!B:B,VOOS!A1487)=0/1/1900,"",_xlfn.MINIFS('BASE SQL PLANTIO'!E:E,'BASE SQL PLANTIO'!B:B,VOOS!A1487))</f>
        <v/>
      </c>
      <c r="J1487" s="26"/>
      <c r="K1487" s="34" t="str">
        <f t="shared" si="70"/>
        <v/>
      </c>
      <c r="L1487" s="35" t="str">
        <f t="shared" si="71"/>
        <v/>
      </c>
      <c r="M1487" s="14"/>
      <c r="N1487" s="16"/>
    </row>
    <row r="1488" spans="1:14" ht="15.6" x14ac:dyDescent="0.3">
      <c r="A1488" s="13" t="str">
        <f t="shared" si="69"/>
        <v>-</v>
      </c>
      <c r="B1488" s="27"/>
      <c r="C1488" s="26"/>
      <c r="D1488" s="26"/>
      <c r="E1488" s="26"/>
      <c r="F1488" s="26"/>
      <c r="G1488" s="34">
        <f>SUMIFS('BASE EXEC. Q.L'!N:N,'BASE EXEC. Q.L'!B:B,VOOS!A1488)</f>
        <v>0</v>
      </c>
      <c r="H1488" s="15" t="str">
        <f>IFERROR(_xlfn.XLOOKUP(A1488,'BASE SQL PLANTIO'!B:B,'BASE SQL PLANTIO'!T:T,"verificar",0),"")</f>
        <v/>
      </c>
      <c r="I1488" s="77" t="str">
        <f>IF(_xlfn.MINIFS('BASE SQL PLANTIO'!E:E,'BASE SQL PLANTIO'!B:B,VOOS!A1488)=0/1/1900,"",_xlfn.MINIFS('BASE SQL PLANTIO'!E:E,'BASE SQL PLANTIO'!B:B,VOOS!A1488))</f>
        <v/>
      </c>
      <c r="J1488" s="26"/>
      <c r="K1488" s="34" t="str">
        <f t="shared" si="70"/>
        <v/>
      </c>
      <c r="L1488" s="35" t="str">
        <f t="shared" si="71"/>
        <v/>
      </c>
      <c r="M1488" s="14"/>
      <c r="N1488" s="16"/>
    </row>
    <row r="1489" spans="1:14" ht="15.6" x14ac:dyDescent="0.3">
      <c r="A1489" s="13" t="str">
        <f t="shared" si="69"/>
        <v>-</v>
      </c>
      <c r="B1489" s="27"/>
      <c r="C1489" s="26"/>
      <c r="D1489" s="26"/>
      <c r="E1489" s="26"/>
      <c r="F1489" s="26"/>
      <c r="G1489" s="34">
        <f>SUMIFS('BASE EXEC. Q.L'!N:N,'BASE EXEC. Q.L'!B:B,VOOS!A1489)</f>
        <v>0</v>
      </c>
      <c r="H1489" s="15" t="str">
        <f>IFERROR(_xlfn.XLOOKUP(A1489,'BASE SQL PLANTIO'!B:B,'BASE SQL PLANTIO'!T:T,"verificar",0),"")</f>
        <v/>
      </c>
      <c r="I1489" s="77" t="str">
        <f>IF(_xlfn.MINIFS('BASE SQL PLANTIO'!E:E,'BASE SQL PLANTIO'!B:B,VOOS!A1489)=0/1/1900,"",_xlfn.MINIFS('BASE SQL PLANTIO'!E:E,'BASE SQL PLANTIO'!B:B,VOOS!A1489))</f>
        <v/>
      </c>
      <c r="J1489" s="26"/>
      <c r="K1489" s="34" t="str">
        <f t="shared" si="70"/>
        <v/>
      </c>
      <c r="L1489" s="35" t="str">
        <f t="shared" si="71"/>
        <v/>
      </c>
      <c r="M1489" s="14"/>
      <c r="N1489" s="16"/>
    </row>
    <row r="1490" spans="1:14" ht="15.6" x14ac:dyDescent="0.3">
      <c r="A1490" s="13" t="str">
        <f t="shared" si="69"/>
        <v>-</v>
      </c>
      <c r="B1490" s="25"/>
      <c r="C1490" s="25"/>
      <c r="D1490" s="25"/>
      <c r="E1490" s="25"/>
      <c r="F1490" s="31"/>
      <c r="G1490" s="34">
        <f>SUMIFS('BASE EXEC. Q.L'!N:N,'BASE EXEC. Q.L'!B:B,VOOS!A1490)</f>
        <v>0</v>
      </c>
      <c r="H1490" s="15" t="str">
        <f>IFERROR(_xlfn.XLOOKUP(A1490,'BASE SQL PLANTIO'!B:B,'BASE SQL PLANTIO'!T:T,"verificar",0),"")</f>
        <v/>
      </c>
      <c r="I1490" s="77" t="str">
        <f>IF(_xlfn.MINIFS('BASE SQL PLANTIO'!E:E,'BASE SQL PLANTIO'!B:B,VOOS!A1490)=0/1/1900,"",_xlfn.MINIFS('BASE SQL PLANTIO'!E:E,'BASE SQL PLANTIO'!B:B,VOOS!A1490))</f>
        <v/>
      </c>
      <c r="J1490" s="26"/>
      <c r="K1490" s="34" t="str">
        <f t="shared" si="70"/>
        <v/>
      </c>
      <c r="L1490" s="35" t="str">
        <f t="shared" si="71"/>
        <v/>
      </c>
      <c r="M1490" s="14"/>
      <c r="N1490" s="15"/>
    </row>
    <row r="1491" spans="1:14" ht="15.6" x14ac:dyDescent="0.3">
      <c r="A1491" s="13" t="str">
        <f t="shared" si="69"/>
        <v>-</v>
      </c>
      <c r="B1491" s="25"/>
      <c r="C1491" s="25"/>
      <c r="D1491" s="25"/>
      <c r="E1491" s="25"/>
      <c r="F1491" s="31"/>
      <c r="G1491" s="34">
        <f>SUMIFS('BASE EXEC. Q.L'!N:N,'BASE EXEC. Q.L'!B:B,VOOS!A1491)</f>
        <v>0</v>
      </c>
      <c r="H1491" s="15" t="str">
        <f>IFERROR(_xlfn.XLOOKUP(A1491,'BASE SQL PLANTIO'!B:B,'BASE SQL PLANTIO'!T:T,"verificar",0),"")</f>
        <v/>
      </c>
      <c r="I1491" s="77" t="str">
        <f>IF(_xlfn.MINIFS('BASE SQL PLANTIO'!E:E,'BASE SQL PLANTIO'!B:B,VOOS!A1491)=0/1/1900,"",_xlfn.MINIFS('BASE SQL PLANTIO'!E:E,'BASE SQL PLANTIO'!B:B,VOOS!A1491))</f>
        <v/>
      </c>
      <c r="J1491" s="26"/>
      <c r="K1491" s="34" t="str">
        <f t="shared" si="70"/>
        <v/>
      </c>
      <c r="L1491" s="35" t="str">
        <f t="shared" si="71"/>
        <v/>
      </c>
      <c r="M1491" s="14"/>
      <c r="N1491" s="15"/>
    </row>
    <row r="1492" spans="1:14" ht="15.6" x14ac:dyDescent="0.3">
      <c r="A1492" s="13" t="str">
        <f t="shared" si="69"/>
        <v>-</v>
      </c>
      <c r="B1492" s="27"/>
      <c r="C1492" s="26"/>
      <c r="D1492" s="26"/>
      <c r="E1492" s="26"/>
      <c r="F1492" s="26"/>
      <c r="G1492" s="34">
        <f>SUMIFS('BASE EXEC. Q.L'!N:N,'BASE EXEC. Q.L'!B:B,VOOS!A1492)</f>
        <v>0</v>
      </c>
      <c r="H1492" s="15" t="str">
        <f>IFERROR(_xlfn.XLOOKUP(A1492,'BASE SQL PLANTIO'!B:B,'BASE SQL PLANTIO'!T:T,"verificar",0),"")</f>
        <v/>
      </c>
      <c r="I1492" s="77" t="str">
        <f>IF(_xlfn.MINIFS('BASE SQL PLANTIO'!E:E,'BASE SQL PLANTIO'!B:B,VOOS!A1492)=0/1/1900,"",_xlfn.MINIFS('BASE SQL PLANTIO'!E:E,'BASE SQL PLANTIO'!B:B,VOOS!A1492))</f>
        <v/>
      </c>
      <c r="J1492" s="26"/>
      <c r="K1492" s="34" t="str">
        <f t="shared" si="70"/>
        <v/>
      </c>
      <c r="L1492" s="35" t="str">
        <f t="shared" si="71"/>
        <v/>
      </c>
      <c r="M1492" s="14"/>
      <c r="N1492" s="15"/>
    </row>
    <row r="1493" spans="1:14" ht="15.6" x14ac:dyDescent="0.3">
      <c r="A1493" s="13" t="str">
        <f t="shared" si="69"/>
        <v>-</v>
      </c>
      <c r="B1493" s="27"/>
      <c r="C1493" s="26"/>
      <c r="D1493" s="26"/>
      <c r="E1493" s="26"/>
      <c r="F1493" s="26"/>
      <c r="G1493" s="34">
        <f>SUMIFS('BASE EXEC. Q.L'!N:N,'BASE EXEC. Q.L'!B:B,VOOS!A1493)</f>
        <v>0</v>
      </c>
      <c r="H1493" s="15" t="str">
        <f>IFERROR(_xlfn.XLOOKUP(A1493,'BASE SQL PLANTIO'!B:B,'BASE SQL PLANTIO'!T:T,"verificar",0),"")</f>
        <v/>
      </c>
      <c r="I1493" s="77" t="str">
        <f>IF(_xlfn.MINIFS('BASE SQL PLANTIO'!E:E,'BASE SQL PLANTIO'!B:B,VOOS!A1493)=0/1/1900,"",_xlfn.MINIFS('BASE SQL PLANTIO'!E:E,'BASE SQL PLANTIO'!B:B,VOOS!A1493))</f>
        <v/>
      </c>
      <c r="J1493" s="26"/>
      <c r="K1493" s="34" t="str">
        <f t="shared" si="70"/>
        <v/>
      </c>
      <c r="L1493" s="35" t="str">
        <f t="shared" si="71"/>
        <v/>
      </c>
      <c r="M1493" s="14"/>
      <c r="N1493" s="16"/>
    </row>
    <row r="1494" spans="1:14" ht="15.6" x14ac:dyDescent="0.3">
      <c r="A1494" s="13" t="str">
        <f t="shared" si="69"/>
        <v>-</v>
      </c>
      <c r="B1494" s="27"/>
      <c r="C1494" s="26"/>
      <c r="D1494" s="26"/>
      <c r="E1494" s="26"/>
      <c r="F1494" s="26"/>
      <c r="G1494" s="34">
        <f>SUMIFS('BASE EXEC. Q.L'!N:N,'BASE EXEC. Q.L'!B:B,VOOS!A1494)</f>
        <v>0</v>
      </c>
      <c r="H1494" s="15" t="str">
        <f>IFERROR(_xlfn.XLOOKUP(A1494,'BASE SQL PLANTIO'!B:B,'BASE SQL PLANTIO'!T:T,"verificar",0),"")</f>
        <v/>
      </c>
      <c r="I1494" s="77" t="str">
        <f>IF(_xlfn.MINIFS('BASE SQL PLANTIO'!E:E,'BASE SQL PLANTIO'!B:B,VOOS!A1494)=0/1/1900,"",_xlfn.MINIFS('BASE SQL PLANTIO'!E:E,'BASE SQL PLANTIO'!B:B,VOOS!A1494))</f>
        <v/>
      </c>
      <c r="J1494" s="26"/>
      <c r="K1494" s="34" t="str">
        <f t="shared" si="70"/>
        <v/>
      </c>
      <c r="L1494" s="35" t="str">
        <f t="shared" si="71"/>
        <v/>
      </c>
      <c r="M1494" s="14"/>
      <c r="N1494" s="16"/>
    </row>
    <row r="1495" spans="1:14" ht="15.6" x14ac:dyDescent="0.3">
      <c r="A1495" s="13" t="str">
        <f t="shared" si="69"/>
        <v>-</v>
      </c>
      <c r="B1495" s="27"/>
      <c r="C1495" s="26"/>
      <c r="D1495" s="26"/>
      <c r="E1495" s="26"/>
      <c r="F1495" s="26"/>
      <c r="G1495" s="34">
        <f>SUMIFS('BASE EXEC. Q.L'!N:N,'BASE EXEC. Q.L'!B:B,VOOS!A1495)</f>
        <v>0</v>
      </c>
      <c r="H1495" s="15" t="str">
        <f>IFERROR(_xlfn.XLOOKUP(A1495,'BASE SQL PLANTIO'!B:B,'BASE SQL PLANTIO'!T:T,"verificar",0),"")</f>
        <v/>
      </c>
      <c r="I1495" s="77" t="str">
        <f>IF(_xlfn.MINIFS('BASE SQL PLANTIO'!E:E,'BASE SQL PLANTIO'!B:B,VOOS!A1495)=0/1/1900,"",_xlfn.MINIFS('BASE SQL PLANTIO'!E:E,'BASE SQL PLANTIO'!B:B,VOOS!A1495))</f>
        <v/>
      </c>
      <c r="J1495" s="26"/>
      <c r="K1495" s="34" t="str">
        <f t="shared" si="70"/>
        <v/>
      </c>
      <c r="L1495" s="35" t="str">
        <f t="shared" si="71"/>
        <v/>
      </c>
      <c r="M1495" s="14"/>
      <c r="N1495" s="16"/>
    </row>
    <row r="1496" spans="1:14" ht="15.6" x14ac:dyDescent="0.3">
      <c r="A1496" s="13" t="str">
        <f t="shared" si="69"/>
        <v>-</v>
      </c>
      <c r="B1496" s="27"/>
      <c r="C1496" s="26"/>
      <c r="D1496" s="26"/>
      <c r="E1496" s="26"/>
      <c r="F1496" s="26"/>
      <c r="G1496" s="34">
        <f>SUMIFS('BASE EXEC. Q.L'!N:N,'BASE EXEC. Q.L'!B:B,VOOS!A1496)</f>
        <v>0</v>
      </c>
      <c r="H1496" s="15" t="str">
        <f>IFERROR(_xlfn.XLOOKUP(A1496,'BASE SQL PLANTIO'!B:B,'BASE SQL PLANTIO'!T:T,"verificar",0),"")</f>
        <v/>
      </c>
      <c r="I1496" s="77" t="str">
        <f>IF(_xlfn.MINIFS('BASE SQL PLANTIO'!E:E,'BASE SQL PLANTIO'!B:B,VOOS!A1496)=0/1/1900,"",_xlfn.MINIFS('BASE SQL PLANTIO'!E:E,'BASE SQL PLANTIO'!B:B,VOOS!A1496))</f>
        <v/>
      </c>
      <c r="J1496" s="26"/>
      <c r="K1496" s="34" t="str">
        <f t="shared" si="70"/>
        <v/>
      </c>
      <c r="L1496" s="35" t="str">
        <f t="shared" si="71"/>
        <v/>
      </c>
      <c r="M1496" s="14"/>
      <c r="N1496" s="15"/>
    </row>
    <row r="1497" spans="1:14" ht="15.6" x14ac:dyDescent="0.3">
      <c r="A1497" s="13" t="str">
        <f t="shared" si="69"/>
        <v>-</v>
      </c>
      <c r="B1497" s="25"/>
      <c r="C1497" s="25"/>
      <c r="D1497" s="25"/>
      <c r="E1497" s="25"/>
      <c r="F1497" s="31"/>
      <c r="G1497" s="34">
        <f>SUMIFS('BASE EXEC. Q.L'!N:N,'BASE EXEC. Q.L'!B:B,VOOS!A1497)</f>
        <v>0</v>
      </c>
      <c r="H1497" s="15" t="str">
        <f>IFERROR(_xlfn.XLOOKUP(A1497,'BASE SQL PLANTIO'!B:B,'BASE SQL PLANTIO'!T:T,"verificar",0),"")</f>
        <v/>
      </c>
      <c r="I1497" s="77" t="str">
        <f>IF(_xlfn.MINIFS('BASE SQL PLANTIO'!E:E,'BASE SQL PLANTIO'!B:B,VOOS!A1497)=0/1/1900,"",_xlfn.MINIFS('BASE SQL PLANTIO'!E:E,'BASE SQL PLANTIO'!B:B,VOOS!A1497))</f>
        <v/>
      </c>
      <c r="J1497" s="26"/>
      <c r="K1497" s="34" t="str">
        <f t="shared" si="70"/>
        <v/>
      </c>
      <c r="L1497" s="35" t="str">
        <f t="shared" si="71"/>
        <v/>
      </c>
      <c r="M1497" s="14"/>
      <c r="N1497" s="16"/>
    </row>
    <row r="1498" spans="1:14" ht="15.6" x14ac:dyDescent="0.3">
      <c r="A1498" s="13" t="str">
        <f t="shared" si="69"/>
        <v>-</v>
      </c>
      <c r="B1498" s="25"/>
      <c r="C1498" s="25"/>
      <c r="D1498" s="25"/>
      <c r="E1498" s="25"/>
      <c r="F1498" s="31"/>
      <c r="G1498" s="34">
        <f>SUMIFS('BASE EXEC. Q.L'!N:N,'BASE EXEC. Q.L'!B:B,VOOS!A1498)</f>
        <v>0</v>
      </c>
      <c r="H1498" s="15" t="str">
        <f>IFERROR(_xlfn.XLOOKUP(A1498,'BASE SQL PLANTIO'!B:B,'BASE SQL PLANTIO'!T:T,"verificar",0),"")</f>
        <v/>
      </c>
      <c r="I1498" s="77" t="str">
        <f>IF(_xlfn.MINIFS('BASE SQL PLANTIO'!E:E,'BASE SQL PLANTIO'!B:B,VOOS!A1498)=0/1/1900,"",_xlfn.MINIFS('BASE SQL PLANTIO'!E:E,'BASE SQL PLANTIO'!B:B,VOOS!A1498))</f>
        <v/>
      </c>
      <c r="J1498" s="26"/>
      <c r="K1498" s="34" t="str">
        <f t="shared" si="70"/>
        <v/>
      </c>
      <c r="L1498" s="35" t="str">
        <f t="shared" si="71"/>
        <v/>
      </c>
      <c r="M1498" s="14"/>
      <c r="N1498" s="16"/>
    </row>
    <row r="1499" spans="1:14" ht="15.6" x14ac:dyDescent="0.3">
      <c r="A1499" s="13" t="str">
        <f t="shared" si="69"/>
        <v>-</v>
      </c>
      <c r="B1499" s="25"/>
      <c r="C1499" s="25"/>
      <c r="D1499" s="25"/>
      <c r="E1499" s="25"/>
      <c r="F1499" s="31"/>
      <c r="G1499" s="34">
        <f>SUMIFS('BASE EXEC. Q.L'!N:N,'BASE EXEC. Q.L'!B:B,VOOS!A1499)</f>
        <v>0</v>
      </c>
      <c r="H1499" s="15" t="str">
        <f>IFERROR(_xlfn.XLOOKUP(A1499,'BASE SQL PLANTIO'!B:B,'BASE SQL PLANTIO'!T:T,"verificar",0),"")</f>
        <v/>
      </c>
      <c r="I1499" s="77" t="str">
        <f>IF(_xlfn.MINIFS('BASE SQL PLANTIO'!E:E,'BASE SQL PLANTIO'!B:B,VOOS!A1499)=0/1/1900,"",_xlfn.MINIFS('BASE SQL PLANTIO'!E:E,'BASE SQL PLANTIO'!B:B,VOOS!A1499))</f>
        <v/>
      </c>
      <c r="J1499" s="26"/>
      <c r="K1499" s="34" t="str">
        <f t="shared" si="70"/>
        <v/>
      </c>
      <c r="L1499" s="35" t="str">
        <f t="shared" si="71"/>
        <v/>
      </c>
      <c r="M1499" s="14"/>
      <c r="N1499" s="16"/>
    </row>
    <row r="1500" spans="1:14" ht="15.6" x14ac:dyDescent="0.3">
      <c r="A1500" s="13" t="str">
        <f t="shared" si="69"/>
        <v>-</v>
      </c>
      <c r="B1500" s="27"/>
      <c r="C1500" s="26"/>
      <c r="D1500" s="26"/>
      <c r="E1500" s="26"/>
      <c r="F1500" s="26"/>
      <c r="G1500" s="34">
        <f>SUMIFS('BASE EXEC. Q.L'!N:N,'BASE EXEC. Q.L'!B:B,VOOS!A1500)</f>
        <v>0</v>
      </c>
      <c r="H1500" s="15" t="str">
        <f>IFERROR(_xlfn.XLOOKUP(A1500,'BASE SQL PLANTIO'!B:B,'BASE SQL PLANTIO'!T:T,"verificar",0),"")</f>
        <v/>
      </c>
      <c r="I1500" s="77" t="str">
        <f>IF(_xlfn.MINIFS('BASE SQL PLANTIO'!E:E,'BASE SQL PLANTIO'!B:B,VOOS!A1500)=0/1/1900,"",_xlfn.MINIFS('BASE SQL PLANTIO'!E:E,'BASE SQL PLANTIO'!B:B,VOOS!A1500))</f>
        <v/>
      </c>
      <c r="J1500" s="26"/>
      <c r="K1500" s="34" t="str">
        <f t="shared" si="70"/>
        <v/>
      </c>
      <c r="L1500" s="35" t="str">
        <f t="shared" si="71"/>
        <v/>
      </c>
      <c r="M1500" s="14"/>
      <c r="N1500" s="16"/>
    </row>
    <row r="1501" spans="1:14" ht="15.6" x14ac:dyDescent="0.3">
      <c r="A1501" s="13" t="str">
        <f t="shared" si="69"/>
        <v>-</v>
      </c>
      <c r="B1501" s="27"/>
      <c r="C1501" s="26"/>
      <c r="D1501" s="26"/>
      <c r="E1501" s="26"/>
      <c r="F1501" s="26"/>
      <c r="G1501" s="34">
        <f>SUMIFS('BASE EXEC. Q.L'!N:N,'BASE EXEC. Q.L'!B:B,VOOS!A1501)</f>
        <v>0</v>
      </c>
      <c r="H1501" s="15" t="str">
        <f>IFERROR(_xlfn.XLOOKUP(A1501,'BASE SQL PLANTIO'!B:B,'BASE SQL PLANTIO'!T:T,"verificar",0),"")</f>
        <v/>
      </c>
      <c r="I1501" s="77" t="str">
        <f>IF(_xlfn.MINIFS('BASE SQL PLANTIO'!E:E,'BASE SQL PLANTIO'!B:B,VOOS!A1501)=0/1/1900,"",_xlfn.MINIFS('BASE SQL PLANTIO'!E:E,'BASE SQL PLANTIO'!B:B,VOOS!A1501))</f>
        <v/>
      </c>
      <c r="J1501" s="26"/>
      <c r="K1501" s="34" t="str">
        <f t="shared" si="70"/>
        <v/>
      </c>
      <c r="L1501" s="35" t="str">
        <f t="shared" si="71"/>
        <v/>
      </c>
      <c r="M1501" s="14"/>
      <c r="N1501" s="15"/>
    </row>
    <row r="1502" spans="1:14" ht="15.6" x14ac:dyDescent="0.3">
      <c r="A1502" s="13" t="str">
        <f t="shared" si="69"/>
        <v>-</v>
      </c>
      <c r="B1502" s="25"/>
      <c r="C1502" s="25"/>
      <c r="D1502" s="25"/>
      <c r="E1502" s="25"/>
      <c r="F1502" s="31"/>
      <c r="G1502" s="34">
        <f>SUMIFS('BASE EXEC. Q.L'!N:N,'BASE EXEC. Q.L'!B:B,VOOS!A1502)</f>
        <v>0</v>
      </c>
      <c r="H1502" s="15" t="str">
        <f>IFERROR(_xlfn.XLOOKUP(A1502,'BASE SQL PLANTIO'!B:B,'BASE SQL PLANTIO'!T:T,"verificar",0),"")</f>
        <v/>
      </c>
      <c r="I1502" s="77" t="str">
        <f>IF(_xlfn.MINIFS('BASE SQL PLANTIO'!E:E,'BASE SQL PLANTIO'!B:B,VOOS!A1502)=0/1/1900,"",_xlfn.MINIFS('BASE SQL PLANTIO'!E:E,'BASE SQL PLANTIO'!B:B,VOOS!A1502))</f>
        <v/>
      </c>
      <c r="J1502" s="26"/>
      <c r="K1502" s="34" t="str">
        <f t="shared" si="70"/>
        <v/>
      </c>
      <c r="L1502" s="35" t="str">
        <f t="shared" si="71"/>
        <v/>
      </c>
      <c r="M1502" s="14"/>
      <c r="N1502" s="16"/>
    </row>
    <row r="1503" spans="1:14" ht="15.6" x14ac:dyDescent="0.3">
      <c r="A1503" s="13" t="str">
        <f t="shared" si="69"/>
        <v>-</v>
      </c>
      <c r="B1503" s="25"/>
      <c r="C1503" s="25"/>
      <c r="D1503" s="25"/>
      <c r="E1503" s="25"/>
      <c r="F1503" s="31"/>
      <c r="G1503" s="34">
        <f>SUMIFS('BASE EXEC. Q.L'!N:N,'BASE EXEC. Q.L'!B:B,VOOS!A1503)</f>
        <v>0</v>
      </c>
      <c r="H1503" s="15" t="str">
        <f>IFERROR(_xlfn.XLOOKUP(A1503,'BASE SQL PLANTIO'!B:B,'BASE SQL PLANTIO'!T:T,"verificar",0),"")</f>
        <v/>
      </c>
      <c r="I1503" s="77" t="str">
        <f>IF(_xlfn.MINIFS('BASE SQL PLANTIO'!E:E,'BASE SQL PLANTIO'!B:B,VOOS!A1503)=0/1/1900,"",_xlfn.MINIFS('BASE SQL PLANTIO'!E:E,'BASE SQL PLANTIO'!B:B,VOOS!A1503))</f>
        <v/>
      </c>
      <c r="J1503" s="26"/>
      <c r="K1503" s="34" t="str">
        <f t="shared" si="70"/>
        <v/>
      </c>
      <c r="L1503" s="35" t="str">
        <f t="shared" si="71"/>
        <v/>
      </c>
      <c r="M1503" s="14"/>
      <c r="N1503" s="16"/>
    </row>
    <row r="1504" spans="1:14" ht="15.6" x14ac:dyDescent="0.3">
      <c r="A1504" s="13" t="str">
        <f t="shared" si="69"/>
        <v>-</v>
      </c>
      <c r="B1504" s="25"/>
      <c r="C1504" s="25"/>
      <c r="D1504" s="25"/>
      <c r="E1504" s="25"/>
      <c r="F1504" s="31"/>
      <c r="G1504" s="34">
        <f>SUMIFS('BASE EXEC. Q.L'!N:N,'BASE EXEC. Q.L'!B:B,VOOS!A1504)</f>
        <v>0</v>
      </c>
      <c r="H1504" s="15" t="str">
        <f>IFERROR(_xlfn.XLOOKUP(A1504,'BASE SQL PLANTIO'!B:B,'BASE SQL PLANTIO'!T:T,"verificar",0),"")</f>
        <v/>
      </c>
      <c r="I1504" s="77" t="str">
        <f>IF(_xlfn.MINIFS('BASE SQL PLANTIO'!E:E,'BASE SQL PLANTIO'!B:B,VOOS!A1504)=0/1/1900,"",_xlfn.MINIFS('BASE SQL PLANTIO'!E:E,'BASE SQL PLANTIO'!B:B,VOOS!A1504))</f>
        <v/>
      </c>
      <c r="J1504" s="26"/>
      <c r="K1504" s="34" t="str">
        <f t="shared" si="70"/>
        <v/>
      </c>
      <c r="L1504" s="35" t="str">
        <f t="shared" si="71"/>
        <v/>
      </c>
      <c r="M1504" s="14"/>
      <c r="N1504" s="16"/>
    </row>
    <row r="1505" spans="1:14" ht="15.6" x14ac:dyDescent="0.3">
      <c r="A1505" s="13" t="str">
        <f t="shared" si="69"/>
        <v>-</v>
      </c>
      <c r="B1505" s="27"/>
      <c r="C1505" s="26"/>
      <c r="D1505" s="26"/>
      <c r="E1505" s="26"/>
      <c r="F1505" s="26"/>
      <c r="G1505" s="34">
        <f>SUMIFS('BASE EXEC. Q.L'!N:N,'BASE EXEC. Q.L'!B:B,VOOS!A1505)</f>
        <v>0</v>
      </c>
      <c r="H1505" s="15" t="str">
        <f>IFERROR(_xlfn.XLOOKUP(A1505,'BASE SQL PLANTIO'!B:B,'BASE SQL PLANTIO'!T:T,"verificar",0),"")</f>
        <v/>
      </c>
      <c r="I1505" s="77" t="str">
        <f>IF(_xlfn.MINIFS('BASE SQL PLANTIO'!E:E,'BASE SQL PLANTIO'!B:B,VOOS!A1505)=0/1/1900,"",_xlfn.MINIFS('BASE SQL PLANTIO'!E:E,'BASE SQL PLANTIO'!B:B,VOOS!A1505))</f>
        <v/>
      </c>
      <c r="J1505" s="26"/>
      <c r="K1505" s="34" t="str">
        <f t="shared" si="70"/>
        <v/>
      </c>
      <c r="L1505" s="35" t="str">
        <f t="shared" si="71"/>
        <v/>
      </c>
      <c r="M1505" s="14"/>
      <c r="N1505" s="16"/>
    </row>
    <row r="1506" spans="1:14" ht="15.6" x14ac:dyDescent="0.3">
      <c r="A1506" s="13" t="str">
        <f t="shared" si="69"/>
        <v>-</v>
      </c>
      <c r="B1506" s="27"/>
      <c r="C1506" s="26"/>
      <c r="D1506" s="26"/>
      <c r="E1506" s="26"/>
      <c r="F1506" s="26"/>
      <c r="G1506" s="34">
        <f>SUMIFS('BASE EXEC. Q.L'!N:N,'BASE EXEC. Q.L'!B:B,VOOS!A1506)</f>
        <v>0</v>
      </c>
      <c r="H1506" s="15" t="str">
        <f>IFERROR(_xlfn.XLOOKUP(A1506,'BASE SQL PLANTIO'!B:B,'BASE SQL PLANTIO'!T:T,"verificar",0),"")</f>
        <v/>
      </c>
      <c r="I1506" s="77" t="str">
        <f>IF(_xlfn.MINIFS('BASE SQL PLANTIO'!E:E,'BASE SQL PLANTIO'!B:B,VOOS!A1506)=0/1/1900,"",_xlfn.MINIFS('BASE SQL PLANTIO'!E:E,'BASE SQL PLANTIO'!B:B,VOOS!A1506))</f>
        <v/>
      </c>
      <c r="J1506" s="26"/>
      <c r="K1506" s="34" t="str">
        <f t="shared" si="70"/>
        <v/>
      </c>
      <c r="L1506" s="35" t="str">
        <f t="shared" si="71"/>
        <v/>
      </c>
      <c r="M1506" s="14"/>
      <c r="N1506" s="15"/>
    </row>
    <row r="1507" spans="1:14" ht="15.6" x14ac:dyDescent="0.3">
      <c r="A1507" s="13" t="str">
        <f t="shared" si="69"/>
        <v>-</v>
      </c>
      <c r="B1507" s="25"/>
      <c r="C1507" s="25"/>
      <c r="D1507" s="25"/>
      <c r="E1507" s="25"/>
      <c r="F1507" s="31"/>
      <c r="G1507" s="34">
        <f>SUMIFS('BASE EXEC. Q.L'!N:N,'BASE EXEC. Q.L'!B:B,VOOS!A1507)</f>
        <v>0</v>
      </c>
      <c r="H1507" s="15" t="str">
        <f>IFERROR(_xlfn.XLOOKUP(A1507,'BASE SQL PLANTIO'!B:B,'BASE SQL PLANTIO'!T:T,"verificar",0),"")</f>
        <v/>
      </c>
      <c r="I1507" s="77" t="str">
        <f>IF(_xlfn.MINIFS('BASE SQL PLANTIO'!E:E,'BASE SQL PLANTIO'!B:B,VOOS!A1507)=0/1/1900,"",_xlfn.MINIFS('BASE SQL PLANTIO'!E:E,'BASE SQL PLANTIO'!B:B,VOOS!A1507))</f>
        <v/>
      </c>
      <c r="J1507" s="26"/>
      <c r="K1507" s="34" t="str">
        <f t="shared" si="70"/>
        <v/>
      </c>
      <c r="L1507" s="35" t="str">
        <f t="shared" si="71"/>
        <v/>
      </c>
      <c r="M1507" s="14"/>
      <c r="N1507" s="16"/>
    </row>
    <row r="1508" spans="1:14" ht="15.6" x14ac:dyDescent="0.3">
      <c r="A1508" s="13" t="str">
        <f t="shared" si="69"/>
        <v>-</v>
      </c>
      <c r="B1508" s="27"/>
      <c r="C1508" s="26"/>
      <c r="D1508" s="26"/>
      <c r="E1508" s="26"/>
      <c r="F1508" s="26"/>
      <c r="G1508" s="34">
        <f>SUMIFS('BASE EXEC. Q.L'!N:N,'BASE EXEC. Q.L'!B:B,VOOS!A1508)</f>
        <v>0</v>
      </c>
      <c r="H1508" s="15" t="str">
        <f>IFERROR(_xlfn.XLOOKUP(A1508,'BASE SQL PLANTIO'!B:B,'BASE SQL PLANTIO'!T:T,"verificar",0),"")</f>
        <v/>
      </c>
      <c r="I1508" s="77" t="str">
        <f>IF(_xlfn.MINIFS('BASE SQL PLANTIO'!E:E,'BASE SQL PLANTIO'!B:B,VOOS!A1508)=0/1/1900,"",_xlfn.MINIFS('BASE SQL PLANTIO'!E:E,'BASE SQL PLANTIO'!B:B,VOOS!A1508))</f>
        <v/>
      </c>
      <c r="J1508" s="26"/>
      <c r="K1508" s="34" t="str">
        <f t="shared" si="70"/>
        <v/>
      </c>
      <c r="L1508" s="35" t="str">
        <f t="shared" si="71"/>
        <v/>
      </c>
      <c r="M1508" s="14"/>
      <c r="N1508" s="16"/>
    </row>
    <row r="1509" spans="1:14" ht="15.6" x14ac:dyDescent="0.3">
      <c r="A1509" s="13" t="str">
        <f t="shared" si="69"/>
        <v>-</v>
      </c>
      <c r="B1509" s="25"/>
      <c r="C1509" s="25"/>
      <c r="D1509" s="25"/>
      <c r="E1509" s="25"/>
      <c r="F1509" s="31"/>
      <c r="G1509" s="34">
        <f>SUMIFS('BASE EXEC. Q.L'!N:N,'BASE EXEC. Q.L'!B:B,VOOS!A1509)</f>
        <v>0</v>
      </c>
      <c r="H1509" s="15" t="str">
        <f>IFERROR(_xlfn.XLOOKUP(A1509,'BASE SQL PLANTIO'!B:B,'BASE SQL PLANTIO'!T:T,"verificar",0),"")</f>
        <v/>
      </c>
      <c r="I1509" s="77" t="str">
        <f>IF(_xlfn.MINIFS('BASE SQL PLANTIO'!E:E,'BASE SQL PLANTIO'!B:B,VOOS!A1509)=0/1/1900,"",_xlfn.MINIFS('BASE SQL PLANTIO'!E:E,'BASE SQL PLANTIO'!B:B,VOOS!A1509))</f>
        <v/>
      </c>
      <c r="J1509" s="26"/>
      <c r="K1509" s="34" t="str">
        <f t="shared" si="70"/>
        <v/>
      </c>
      <c r="L1509" s="35" t="str">
        <f t="shared" si="71"/>
        <v/>
      </c>
      <c r="M1509" s="14"/>
      <c r="N1509" s="16"/>
    </row>
    <row r="1510" spans="1:14" ht="15.6" x14ac:dyDescent="0.3">
      <c r="A1510" s="13" t="str">
        <f t="shared" si="69"/>
        <v>-</v>
      </c>
      <c r="B1510" s="25"/>
      <c r="C1510" s="25"/>
      <c r="D1510" s="25"/>
      <c r="E1510" s="25"/>
      <c r="F1510" s="31"/>
      <c r="G1510" s="34">
        <f>SUMIFS('BASE EXEC. Q.L'!N:N,'BASE EXEC. Q.L'!B:B,VOOS!A1510)</f>
        <v>0</v>
      </c>
      <c r="H1510" s="15" t="str">
        <f>IFERROR(_xlfn.XLOOKUP(A1510,'BASE SQL PLANTIO'!B:B,'BASE SQL PLANTIO'!T:T,"verificar",0),"")</f>
        <v/>
      </c>
      <c r="I1510" s="77" t="str">
        <f>IF(_xlfn.MINIFS('BASE SQL PLANTIO'!E:E,'BASE SQL PLANTIO'!B:B,VOOS!A1510)=0/1/1900,"",_xlfn.MINIFS('BASE SQL PLANTIO'!E:E,'BASE SQL PLANTIO'!B:B,VOOS!A1510))</f>
        <v/>
      </c>
      <c r="J1510" s="26"/>
      <c r="K1510" s="34" t="str">
        <f t="shared" si="70"/>
        <v/>
      </c>
      <c r="L1510" s="35" t="str">
        <f t="shared" si="71"/>
        <v/>
      </c>
      <c r="M1510" s="14"/>
      <c r="N1510" s="16"/>
    </row>
    <row r="1511" spans="1:14" ht="15.6" x14ac:dyDescent="0.3">
      <c r="A1511" s="13" t="str">
        <f t="shared" si="69"/>
        <v>-</v>
      </c>
      <c r="B1511" s="25"/>
      <c r="C1511" s="25"/>
      <c r="D1511" s="25"/>
      <c r="E1511" s="25"/>
      <c r="F1511" s="31"/>
      <c r="G1511" s="34">
        <f>SUMIFS('BASE EXEC. Q.L'!N:N,'BASE EXEC. Q.L'!B:B,VOOS!A1511)</f>
        <v>0</v>
      </c>
      <c r="H1511" s="15" t="str">
        <f>IFERROR(_xlfn.XLOOKUP(A1511,'BASE SQL PLANTIO'!B:B,'BASE SQL PLANTIO'!T:T,"verificar",0),"")</f>
        <v/>
      </c>
      <c r="I1511" s="77" t="str">
        <f>IF(_xlfn.MINIFS('BASE SQL PLANTIO'!E:E,'BASE SQL PLANTIO'!B:B,VOOS!A1511)=0/1/1900,"",_xlfn.MINIFS('BASE SQL PLANTIO'!E:E,'BASE SQL PLANTIO'!B:B,VOOS!A1511))</f>
        <v/>
      </c>
      <c r="J1511" s="26"/>
      <c r="K1511" s="34" t="str">
        <f t="shared" si="70"/>
        <v/>
      </c>
      <c r="L1511" s="35" t="str">
        <f t="shared" si="71"/>
        <v/>
      </c>
      <c r="M1511" s="14"/>
      <c r="N1511" s="15"/>
    </row>
    <row r="1512" spans="1:14" ht="15.6" x14ac:dyDescent="0.3">
      <c r="A1512" s="13" t="str">
        <f t="shared" si="69"/>
        <v>-</v>
      </c>
      <c r="B1512" s="27"/>
      <c r="C1512" s="26"/>
      <c r="D1512" s="26"/>
      <c r="E1512" s="26"/>
      <c r="F1512" s="26"/>
      <c r="G1512" s="34">
        <f>SUMIFS('BASE EXEC. Q.L'!N:N,'BASE EXEC. Q.L'!B:B,VOOS!A1512)</f>
        <v>0</v>
      </c>
      <c r="H1512" s="15" t="str">
        <f>IFERROR(_xlfn.XLOOKUP(A1512,'BASE SQL PLANTIO'!B:B,'BASE SQL PLANTIO'!T:T,"verificar",0),"")</f>
        <v/>
      </c>
      <c r="I1512" s="77" t="str">
        <f>IF(_xlfn.MINIFS('BASE SQL PLANTIO'!E:E,'BASE SQL PLANTIO'!B:B,VOOS!A1512)=0/1/1900,"",_xlfn.MINIFS('BASE SQL PLANTIO'!E:E,'BASE SQL PLANTIO'!B:B,VOOS!A1512))</f>
        <v/>
      </c>
      <c r="J1512" s="26"/>
      <c r="K1512" s="34" t="str">
        <f t="shared" si="70"/>
        <v/>
      </c>
      <c r="L1512" s="35" t="str">
        <f t="shared" si="71"/>
        <v/>
      </c>
      <c r="M1512" s="14"/>
      <c r="N1512" s="16"/>
    </row>
    <row r="1513" spans="1:14" ht="15.6" x14ac:dyDescent="0.3">
      <c r="A1513" s="13" t="str">
        <f t="shared" si="69"/>
        <v>-</v>
      </c>
      <c r="B1513" s="27"/>
      <c r="C1513" s="26"/>
      <c r="D1513" s="26"/>
      <c r="E1513" s="26"/>
      <c r="F1513" s="26"/>
      <c r="G1513" s="34">
        <f>SUMIFS('BASE EXEC. Q.L'!N:N,'BASE EXEC. Q.L'!B:B,VOOS!A1513)</f>
        <v>0</v>
      </c>
      <c r="H1513" s="15" t="str">
        <f>IFERROR(_xlfn.XLOOKUP(A1513,'BASE SQL PLANTIO'!B:B,'BASE SQL PLANTIO'!T:T,"verificar",0),"")</f>
        <v/>
      </c>
      <c r="I1513" s="77" t="str">
        <f>IF(_xlfn.MINIFS('BASE SQL PLANTIO'!E:E,'BASE SQL PLANTIO'!B:B,VOOS!A1513)=0/1/1900,"",_xlfn.MINIFS('BASE SQL PLANTIO'!E:E,'BASE SQL PLANTIO'!B:B,VOOS!A1513))</f>
        <v/>
      </c>
      <c r="J1513" s="26"/>
      <c r="K1513" s="34" t="str">
        <f t="shared" si="70"/>
        <v/>
      </c>
      <c r="L1513" s="35" t="str">
        <f t="shared" si="71"/>
        <v/>
      </c>
      <c r="M1513" s="14"/>
      <c r="N1513" s="16"/>
    </row>
    <row r="1514" spans="1:14" ht="15.6" x14ac:dyDescent="0.3">
      <c r="A1514" s="13" t="str">
        <f t="shared" si="69"/>
        <v>-</v>
      </c>
      <c r="B1514" s="25"/>
      <c r="C1514" s="25"/>
      <c r="D1514" s="25"/>
      <c r="E1514" s="25"/>
      <c r="F1514" s="31"/>
      <c r="G1514" s="34">
        <f>SUMIFS('BASE EXEC. Q.L'!N:N,'BASE EXEC. Q.L'!B:B,VOOS!A1514)</f>
        <v>0</v>
      </c>
      <c r="H1514" s="15" t="str">
        <f>IFERROR(_xlfn.XLOOKUP(A1514,'BASE SQL PLANTIO'!B:B,'BASE SQL PLANTIO'!T:T,"verificar",0),"")</f>
        <v/>
      </c>
      <c r="I1514" s="77" t="str">
        <f>IF(_xlfn.MINIFS('BASE SQL PLANTIO'!E:E,'BASE SQL PLANTIO'!B:B,VOOS!A1514)=0/1/1900,"",_xlfn.MINIFS('BASE SQL PLANTIO'!E:E,'BASE SQL PLANTIO'!B:B,VOOS!A1514))</f>
        <v/>
      </c>
      <c r="J1514" s="26"/>
      <c r="K1514" s="34" t="str">
        <f t="shared" si="70"/>
        <v/>
      </c>
      <c r="L1514" s="35" t="str">
        <f t="shared" si="71"/>
        <v/>
      </c>
      <c r="M1514" s="14"/>
      <c r="N1514" s="16"/>
    </row>
    <row r="1515" spans="1:14" ht="15.6" x14ac:dyDescent="0.3">
      <c r="A1515" s="13" t="str">
        <f t="shared" si="69"/>
        <v>-</v>
      </c>
      <c r="B1515" s="25"/>
      <c r="C1515" s="25"/>
      <c r="D1515" s="25"/>
      <c r="E1515" s="25"/>
      <c r="F1515" s="31"/>
      <c r="G1515" s="34">
        <f>SUMIFS('BASE EXEC. Q.L'!N:N,'BASE EXEC. Q.L'!B:B,VOOS!A1515)</f>
        <v>0</v>
      </c>
      <c r="H1515" s="15" t="str">
        <f>IFERROR(_xlfn.XLOOKUP(A1515,'BASE SQL PLANTIO'!B:B,'BASE SQL PLANTIO'!T:T,"verificar",0),"")</f>
        <v/>
      </c>
      <c r="I1515" s="77" t="str">
        <f>IF(_xlfn.MINIFS('BASE SQL PLANTIO'!E:E,'BASE SQL PLANTIO'!B:B,VOOS!A1515)=0/1/1900,"",_xlfn.MINIFS('BASE SQL PLANTIO'!E:E,'BASE SQL PLANTIO'!B:B,VOOS!A1515))</f>
        <v/>
      </c>
      <c r="J1515" s="26"/>
      <c r="K1515" s="34" t="str">
        <f t="shared" si="70"/>
        <v/>
      </c>
      <c r="L1515" s="35" t="str">
        <f t="shared" si="71"/>
        <v/>
      </c>
      <c r="M1515" s="14"/>
      <c r="N1515" s="16"/>
    </row>
    <row r="1516" spans="1:14" ht="15.6" x14ac:dyDescent="0.3">
      <c r="A1516" s="13" t="str">
        <f t="shared" si="69"/>
        <v>-</v>
      </c>
      <c r="B1516" s="25"/>
      <c r="C1516" s="25"/>
      <c r="D1516" s="25"/>
      <c r="E1516" s="25"/>
      <c r="F1516" s="31"/>
      <c r="G1516" s="34">
        <f>SUMIFS('BASE EXEC. Q.L'!N:N,'BASE EXEC. Q.L'!B:B,VOOS!A1516)</f>
        <v>0</v>
      </c>
      <c r="H1516" s="15" t="str">
        <f>IFERROR(_xlfn.XLOOKUP(A1516,'BASE SQL PLANTIO'!B:B,'BASE SQL PLANTIO'!T:T,"verificar",0),"")</f>
        <v/>
      </c>
      <c r="I1516" s="77" t="str">
        <f>IF(_xlfn.MINIFS('BASE SQL PLANTIO'!E:E,'BASE SQL PLANTIO'!B:B,VOOS!A1516)=0/1/1900,"",_xlfn.MINIFS('BASE SQL PLANTIO'!E:E,'BASE SQL PLANTIO'!B:B,VOOS!A1516))</f>
        <v/>
      </c>
      <c r="J1516" s="26"/>
      <c r="K1516" s="34" t="str">
        <f t="shared" si="70"/>
        <v/>
      </c>
      <c r="L1516" s="35" t="str">
        <f t="shared" si="71"/>
        <v/>
      </c>
      <c r="M1516" s="14"/>
      <c r="N1516" s="15"/>
    </row>
    <row r="1517" spans="1:14" ht="15.6" x14ac:dyDescent="0.3">
      <c r="A1517" s="13" t="str">
        <f t="shared" si="69"/>
        <v>-</v>
      </c>
      <c r="B1517" s="27"/>
      <c r="C1517" s="26"/>
      <c r="D1517" s="26"/>
      <c r="E1517" s="26"/>
      <c r="F1517" s="26"/>
      <c r="G1517" s="34">
        <f>SUMIFS('BASE EXEC. Q.L'!N:N,'BASE EXEC. Q.L'!B:B,VOOS!A1517)</f>
        <v>0</v>
      </c>
      <c r="H1517" s="15" t="str">
        <f>IFERROR(_xlfn.XLOOKUP(A1517,'BASE SQL PLANTIO'!B:B,'BASE SQL PLANTIO'!T:T,"verificar",0),"")</f>
        <v/>
      </c>
      <c r="I1517" s="77" t="str">
        <f>IF(_xlfn.MINIFS('BASE SQL PLANTIO'!E:E,'BASE SQL PLANTIO'!B:B,VOOS!A1517)=0/1/1900,"",_xlfn.MINIFS('BASE SQL PLANTIO'!E:E,'BASE SQL PLANTIO'!B:B,VOOS!A1517))</f>
        <v/>
      </c>
      <c r="J1517" s="26"/>
      <c r="K1517" s="34" t="str">
        <f t="shared" si="70"/>
        <v/>
      </c>
      <c r="L1517" s="35" t="str">
        <f t="shared" si="71"/>
        <v/>
      </c>
      <c r="M1517" s="14"/>
      <c r="N1517" s="16"/>
    </row>
    <row r="1518" spans="1:14" ht="15.6" x14ac:dyDescent="0.3">
      <c r="A1518" s="13" t="str">
        <f t="shared" si="69"/>
        <v>-</v>
      </c>
      <c r="B1518" s="27"/>
      <c r="C1518" s="26"/>
      <c r="D1518" s="26"/>
      <c r="E1518" s="26"/>
      <c r="F1518" s="26"/>
      <c r="G1518" s="34">
        <f>SUMIFS('BASE EXEC. Q.L'!N:N,'BASE EXEC. Q.L'!B:B,VOOS!A1518)</f>
        <v>0</v>
      </c>
      <c r="H1518" s="15" t="str">
        <f>IFERROR(_xlfn.XLOOKUP(A1518,'BASE SQL PLANTIO'!B:B,'BASE SQL PLANTIO'!T:T,"verificar",0),"")</f>
        <v/>
      </c>
      <c r="I1518" s="77" t="str">
        <f>IF(_xlfn.MINIFS('BASE SQL PLANTIO'!E:E,'BASE SQL PLANTIO'!B:B,VOOS!A1518)=0/1/1900,"",_xlfn.MINIFS('BASE SQL PLANTIO'!E:E,'BASE SQL PLANTIO'!B:B,VOOS!A1518))</f>
        <v/>
      </c>
      <c r="J1518" s="26"/>
      <c r="K1518" s="34" t="str">
        <f t="shared" si="70"/>
        <v/>
      </c>
      <c r="L1518" s="35" t="str">
        <f t="shared" si="71"/>
        <v/>
      </c>
      <c r="M1518" s="14"/>
      <c r="N1518" s="16"/>
    </row>
    <row r="1519" spans="1:14" ht="15.6" x14ac:dyDescent="0.3">
      <c r="A1519" s="13" t="str">
        <f t="shared" si="69"/>
        <v>-</v>
      </c>
      <c r="B1519" s="25"/>
      <c r="C1519" s="25"/>
      <c r="D1519" s="25"/>
      <c r="E1519" s="25"/>
      <c r="F1519" s="31"/>
      <c r="G1519" s="34">
        <f>SUMIFS('BASE EXEC. Q.L'!N:N,'BASE EXEC. Q.L'!B:B,VOOS!A1519)</f>
        <v>0</v>
      </c>
      <c r="H1519" s="15" t="str">
        <f>IFERROR(_xlfn.XLOOKUP(A1519,'BASE SQL PLANTIO'!B:B,'BASE SQL PLANTIO'!T:T,"verificar",0),"")</f>
        <v/>
      </c>
      <c r="I1519" s="77" t="str">
        <f>IF(_xlfn.MINIFS('BASE SQL PLANTIO'!E:E,'BASE SQL PLANTIO'!B:B,VOOS!A1519)=0/1/1900,"",_xlfn.MINIFS('BASE SQL PLANTIO'!E:E,'BASE SQL PLANTIO'!B:B,VOOS!A1519))</f>
        <v/>
      </c>
      <c r="J1519" s="26"/>
      <c r="K1519" s="34" t="str">
        <f t="shared" si="70"/>
        <v/>
      </c>
      <c r="L1519" s="35" t="str">
        <f t="shared" si="71"/>
        <v/>
      </c>
      <c r="M1519" s="14"/>
      <c r="N1519" s="16"/>
    </row>
    <row r="1520" spans="1:14" ht="15.6" x14ac:dyDescent="0.3">
      <c r="A1520" s="13" t="str">
        <f t="shared" si="69"/>
        <v>-</v>
      </c>
      <c r="B1520" s="25"/>
      <c r="C1520" s="25"/>
      <c r="D1520" s="25"/>
      <c r="E1520" s="25"/>
      <c r="F1520" s="31"/>
      <c r="G1520" s="34">
        <f>SUMIFS('BASE EXEC. Q.L'!N:N,'BASE EXEC. Q.L'!B:B,VOOS!A1520)</f>
        <v>0</v>
      </c>
      <c r="H1520" s="15" t="str">
        <f>IFERROR(_xlfn.XLOOKUP(A1520,'BASE SQL PLANTIO'!B:B,'BASE SQL PLANTIO'!T:T,"verificar",0),"")</f>
        <v/>
      </c>
      <c r="I1520" s="77" t="str">
        <f>IF(_xlfn.MINIFS('BASE SQL PLANTIO'!E:E,'BASE SQL PLANTIO'!B:B,VOOS!A1520)=0/1/1900,"",_xlfn.MINIFS('BASE SQL PLANTIO'!E:E,'BASE SQL PLANTIO'!B:B,VOOS!A1520))</f>
        <v/>
      </c>
      <c r="J1520" s="26"/>
      <c r="K1520" s="34" t="str">
        <f t="shared" si="70"/>
        <v/>
      </c>
      <c r="L1520" s="35" t="str">
        <f t="shared" si="71"/>
        <v/>
      </c>
      <c r="M1520" s="14"/>
      <c r="N1520" s="16"/>
    </row>
    <row r="1521" spans="1:14" ht="15.6" x14ac:dyDescent="0.3">
      <c r="A1521" s="13" t="str">
        <f t="shared" si="69"/>
        <v>-</v>
      </c>
      <c r="B1521" s="25"/>
      <c r="C1521" s="25"/>
      <c r="D1521" s="25"/>
      <c r="E1521" s="25"/>
      <c r="F1521" s="31"/>
      <c r="G1521" s="34">
        <f>SUMIFS('BASE EXEC. Q.L'!N:N,'BASE EXEC. Q.L'!B:B,VOOS!A1521)</f>
        <v>0</v>
      </c>
      <c r="H1521" s="15" t="str">
        <f>IFERROR(_xlfn.XLOOKUP(A1521,'BASE SQL PLANTIO'!B:B,'BASE SQL PLANTIO'!T:T,"verificar",0),"")</f>
        <v/>
      </c>
      <c r="I1521" s="77" t="str">
        <f>IF(_xlfn.MINIFS('BASE SQL PLANTIO'!E:E,'BASE SQL PLANTIO'!B:B,VOOS!A1521)=0/1/1900,"",_xlfn.MINIFS('BASE SQL PLANTIO'!E:E,'BASE SQL PLANTIO'!B:B,VOOS!A1521))</f>
        <v/>
      </c>
      <c r="J1521" s="26"/>
      <c r="K1521" s="34" t="str">
        <f t="shared" si="70"/>
        <v/>
      </c>
      <c r="L1521" s="35" t="str">
        <f t="shared" si="71"/>
        <v/>
      </c>
      <c r="M1521" s="14"/>
      <c r="N1521" s="15"/>
    </row>
    <row r="1522" spans="1:14" ht="15.6" x14ac:dyDescent="0.3">
      <c r="A1522" s="13" t="str">
        <f t="shared" si="69"/>
        <v>-</v>
      </c>
      <c r="B1522" s="27"/>
      <c r="C1522" s="26"/>
      <c r="D1522" s="26"/>
      <c r="E1522" s="26"/>
      <c r="F1522" s="26"/>
      <c r="G1522" s="34">
        <f>SUMIFS('BASE EXEC. Q.L'!N:N,'BASE EXEC. Q.L'!B:B,VOOS!A1522)</f>
        <v>0</v>
      </c>
      <c r="H1522" s="15" t="str">
        <f>IFERROR(_xlfn.XLOOKUP(A1522,'BASE SQL PLANTIO'!B:B,'BASE SQL PLANTIO'!T:T,"verificar",0),"")</f>
        <v/>
      </c>
      <c r="I1522" s="77" t="str">
        <f>IF(_xlfn.MINIFS('BASE SQL PLANTIO'!E:E,'BASE SQL PLANTIO'!B:B,VOOS!A1522)=0/1/1900,"",_xlfn.MINIFS('BASE SQL PLANTIO'!E:E,'BASE SQL PLANTIO'!B:B,VOOS!A1522))</f>
        <v/>
      </c>
      <c r="J1522" s="26"/>
      <c r="K1522" s="34" t="str">
        <f t="shared" si="70"/>
        <v/>
      </c>
      <c r="L1522" s="35" t="str">
        <f t="shared" si="71"/>
        <v/>
      </c>
      <c r="M1522" s="14"/>
      <c r="N1522" s="16"/>
    </row>
    <row r="1523" spans="1:14" ht="15.6" x14ac:dyDescent="0.3">
      <c r="A1523" s="13" t="str">
        <f t="shared" si="69"/>
        <v>-</v>
      </c>
      <c r="B1523" s="27"/>
      <c r="C1523" s="26"/>
      <c r="D1523" s="26"/>
      <c r="E1523" s="26"/>
      <c r="F1523" s="26"/>
      <c r="G1523" s="34">
        <f>SUMIFS('BASE EXEC. Q.L'!N:N,'BASE EXEC. Q.L'!B:B,VOOS!A1523)</f>
        <v>0</v>
      </c>
      <c r="H1523" s="15" t="str">
        <f>IFERROR(_xlfn.XLOOKUP(A1523,'BASE SQL PLANTIO'!B:B,'BASE SQL PLANTIO'!T:T,"verificar",0),"")</f>
        <v/>
      </c>
      <c r="I1523" s="77" t="str">
        <f>IF(_xlfn.MINIFS('BASE SQL PLANTIO'!E:E,'BASE SQL PLANTIO'!B:B,VOOS!A1523)=0/1/1900,"",_xlfn.MINIFS('BASE SQL PLANTIO'!E:E,'BASE SQL PLANTIO'!B:B,VOOS!A1523))</f>
        <v/>
      </c>
      <c r="J1523" s="26"/>
      <c r="K1523" s="34" t="str">
        <f t="shared" si="70"/>
        <v/>
      </c>
      <c r="L1523" s="35" t="str">
        <f t="shared" si="71"/>
        <v/>
      </c>
      <c r="M1523" s="14"/>
      <c r="N1523" s="16"/>
    </row>
    <row r="1524" spans="1:14" ht="15.6" x14ac:dyDescent="0.3">
      <c r="A1524" s="13" t="str">
        <f t="shared" si="69"/>
        <v>-</v>
      </c>
      <c r="B1524" s="25"/>
      <c r="C1524" s="25"/>
      <c r="D1524" s="25"/>
      <c r="E1524" s="25"/>
      <c r="F1524" s="31"/>
      <c r="G1524" s="34">
        <f>SUMIFS('BASE EXEC. Q.L'!N:N,'BASE EXEC. Q.L'!B:B,VOOS!A1524)</f>
        <v>0</v>
      </c>
      <c r="H1524" s="15" t="str">
        <f>IFERROR(_xlfn.XLOOKUP(A1524,'BASE SQL PLANTIO'!B:B,'BASE SQL PLANTIO'!T:T,"verificar",0),"")</f>
        <v/>
      </c>
      <c r="I1524" s="77" t="str">
        <f>IF(_xlfn.MINIFS('BASE SQL PLANTIO'!E:E,'BASE SQL PLANTIO'!B:B,VOOS!A1524)=0/1/1900,"",_xlfn.MINIFS('BASE SQL PLANTIO'!E:E,'BASE SQL PLANTIO'!B:B,VOOS!A1524))</f>
        <v/>
      </c>
      <c r="J1524" s="26"/>
      <c r="K1524" s="34" t="str">
        <f t="shared" si="70"/>
        <v/>
      </c>
      <c r="L1524" s="35" t="str">
        <f t="shared" si="71"/>
        <v/>
      </c>
      <c r="M1524" s="14"/>
      <c r="N1524" s="16"/>
    </row>
    <row r="1525" spans="1:14" ht="15.6" x14ac:dyDescent="0.3">
      <c r="A1525" s="13" t="str">
        <f t="shared" si="69"/>
        <v>-</v>
      </c>
      <c r="B1525" s="25"/>
      <c r="C1525" s="25"/>
      <c r="D1525" s="25"/>
      <c r="E1525" s="25"/>
      <c r="F1525" s="31"/>
      <c r="G1525" s="34">
        <f>SUMIFS('BASE EXEC. Q.L'!N:N,'BASE EXEC. Q.L'!B:B,VOOS!A1525)</f>
        <v>0</v>
      </c>
      <c r="H1525" s="15" t="str">
        <f>IFERROR(_xlfn.XLOOKUP(A1525,'BASE SQL PLANTIO'!B:B,'BASE SQL PLANTIO'!T:T,"verificar",0),"")</f>
        <v/>
      </c>
      <c r="I1525" s="77" t="str">
        <f>IF(_xlfn.MINIFS('BASE SQL PLANTIO'!E:E,'BASE SQL PLANTIO'!B:B,VOOS!A1525)=0/1/1900,"",_xlfn.MINIFS('BASE SQL PLANTIO'!E:E,'BASE SQL PLANTIO'!B:B,VOOS!A1525))</f>
        <v/>
      </c>
      <c r="J1525" s="26"/>
      <c r="K1525" s="34" t="str">
        <f t="shared" si="70"/>
        <v/>
      </c>
      <c r="L1525" s="35" t="str">
        <f t="shared" si="71"/>
        <v/>
      </c>
      <c r="M1525" s="14"/>
      <c r="N1525" s="16"/>
    </row>
    <row r="1526" spans="1:14" ht="15.6" x14ac:dyDescent="0.3">
      <c r="A1526" s="13" t="str">
        <f t="shared" si="69"/>
        <v>-</v>
      </c>
      <c r="B1526" s="25"/>
      <c r="C1526" s="25"/>
      <c r="D1526" s="25"/>
      <c r="E1526" s="25"/>
      <c r="F1526" s="31"/>
      <c r="G1526" s="34">
        <f>SUMIFS('BASE EXEC. Q.L'!N:N,'BASE EXEC. Q.L'!B:B,VOOS!A1526)</f>
        <v>0</v>
      </c>
      <c r="H1526" s="15" t="str">
        <f>IFERROR(_xlfn.XLOOKUP(A1526,'BASE SQL PLANTIO'!B:B,'BASE SQL PLANTIO'!T:T,"verificar",0),"")</f>
        <v/>
      </c>
      <c r="I1526" s="77" t="str">
        <f>IF(_xlfn.MINIFS('BASE SQL PLANTIO'!E:E,'BASE SQL PLANTIO'!B:B,VOOS!A1526)=0/1/1900,"",_xlfn.MINIFS('BASE SQL PLANTIO'!E:E,'BASE SQL PLANTIO'!B:B,VOOS!A1526))</f>
        <v/>
      </c>
      <c r="J1526" s="26"/>
      <c r="K1526" s="34" t="str">
        <f t="shared" si="70"/>
        <v/>
      </c>
      <c r="L1526" s="35" t="str">
        <f t="shared" si="71"/>
        <v/>
      </c>
      <c r="M1526" s="14"/>
      <c r="N1526" s="15"/>
    </row>
    <row r="1527" spans="1:14" ht="15.6" x14ac:dyDescent="0.3">
      <c r="A1527" s="13" t="str">
        <f t="shared" si="69"/>
        <v>-</v>
      </c>
      <c r="B1527" s="27"/>
      <c r="C1527" s="26"/>
      <c r="D1527" s="26"/>
      <c r="E1527" s="26"/>
      <c r="F1527" s="26"/>
      <c r="G1527" s="34">
        <f>SUMIFS('BASE EXEC. Q.L'!N:N,'BASE EXEC. Q.L'!B:B,VOOS!A1527)</f>
        <v>0</v>
      </c>
      <c r="H1527" s="15" t="str">
        <f>IFERROR(_xlfn.XLOOKUP(A1527,'BASE SQL PLANTIO'!B:B,'BASE SQL PLANTIO'!T:T,"verificar",0),"")</f>
        <v/>
      </c>
      <c r="I1527" s="77" t="str">
        <f>IF(_xlfn.MINIFS('BASE SQL PLANTIO'!E:E,'BASE SQL PLANTIO'!B:B,VOOS!A1527)=0/1/1900,"",_xlfn.MINIFS('BASE SQL PLANTIO'!E:E,'BASE SQL PLANTIO'!B:B,VOOS!A1527))</f>
        <v/>
      </c>
      <c r="J1527" s="26"/>
      <c r="K1527" s="34" t="str">
        <f t="shared" si="70"/>
        <v/>
      </c>
      <c r="L1527" s="35" t="str">
        <f t="shared" si="71"/>
        <v/>
      </c>
      <c r="M1527" s="14"/>
      <c r="N1527" s="16"/>
    </row>
    <row r="1528" spans="1:14" ht="15.6" x14ac:dyDescent="0.3">
      <c r="A1528" s="13" t="str">
        <f t="shared" si="69"/>
        <v>-</v>
      </c>
      <c r="B1528" s="27"/>
      <c r="C1528" s="26"/>
      <c r="D1528" s="26"/>
      <c r="E1528" s="26"/>
      <c r="F1528" s="26"/>
      <c r="G1528" s="34">
        <f>SUMIFS('BASE EXEC. Q.L'!N:N,'BASE EXEC. Q.L'!B:B,VOOS!A1528)</f>
        <v>0</v>
      </c>
      <c r="H1528" s="15" t="str">
        <f>IFERROR(_xlfn.XLOOKUP(A1528,'BASE SQL PLANTIO'!B:B,'BASE SQL PLANTIO'!T:T,"verificar",0),"")</f>
        <v/>
      </c>
      <c r="I1528" s="77" t="str">
        <f>IF(_xlfn.MINIFS('BASE SQL PLANTIO'!E:E,'BASE SQL PLANTIO'!B:B,VOOS!A1528)=0/1/1900,"",_xlfn.MINIFS('BASE SQL PLANTIO'!E:E,'BASE SQL PLANTIO'!B:B,VOOS!A1528))</f>
        <v/>
      </c>
      <c r="J1528" s="26"/>
      <c r="K1528" s="34" t="str">
        <f t="shared" si="70"/>
        <v/>
      </c>
      <c r="L1528" s="35" t="str">
        <f t="shared" si="71"/>
        <v/>
      </c>
      <c r="M1528" s="14"/>
      <c r="N1528" s="16"/>
    </row>
    <row r="1529" spans="1:14" ht="15.6" x14ac:dyDescent="0.3">
      <c r="A1529" s="13" t="str">
        <f t="shared" si="69"/>
        <v>-</v>
      </c>
      <c r="B1529" s="25"/>
      <c r="C1529" s="25"/>
      <c r="D1529" s="25"/>
      <c r="E1529" s="25"/>
      <c r="F1529" s="31"/>
      <c r="G1529" s="34">
        <f>SUMIFS('BASE EXEC. Q.L'!N:N,'BASE EXEC. Q.L'!B:B,VOOS!A1529)</f>
        <v>0</v>
      </c>
      <c r="H1529" s="15" t="str">
        <f>IFERROR(_xlfn.XLOOKUP(A1529,'BASE SQL PLANTIO'!B:B,'BASE SQL PLANTIO'!T:T,"verificar",0),"")</f>
        <v/>
      </c>
      <c r="I1529" s="77" t="str">
        <f>IF(_xlfn.MINIFS('BASE SQL PLANTIO'!E:E,'BASE SQL PLANTIO'!B:B,VOOS!A1529)=0/1/1900,"",_xlfn.MINIFS('BASE SQL PLANTIO'!E:E,'BASE SQL PLANTIO'!B:B,VOOS!A1529))</f>
        <v/>
      </c>
      <c r="J1529" s="26"/>
      <c r="K1529" s="34" t="str">
        <f t="shared" si="70"/>
        <v/>
      </c>
      <c r="L1529" s="35" t="str">
        <f t="shared" si="71"/>
        <v/>
      </c>
      <c r="M1529" s="14"/>
      <c r="N1529" s="16"/>
    </row>
    <row r="1530" spans="1:14" ht="15.6" x14ac:dyDescent="0.3">
      <c r="A1530" s="13" t="str">
        <f t="shared" si="69"/>
        <v>-</v>
      </c>
      <c r="B1530" s="25"/>
      <c r="C1530" s="25"/>
      <c r="D1530" s="25"/>
      <c r="E1530" s="25"/>
      <c r="F1530" s="31"/>
      <c r="G1530" s="34">
        <f>SUMIFS('BASE EXEC. Q.L'!N:N,'BASE EXEC. Q.L'!B:B,VOOS!A1530)</f>
        <v>0</v>
      </c>
      <c r="H1530" s="15" t="str">
        <f>IFERROR(_xlfn.XLOOKUP(A1530,'BASE SQL PLANTIO'!B:B,'BASE SQL PLANTIO'!T:T,"verificar",0),"")</f>
        <v/>
      </c>
      <c r="I1530" s="77" t="str">
        <f>IF(_xlfn.MINIFS('BASE SQL PLANTIO'!E:E,'BASE SQL PLANTIO'!B:B,VOOS!A1530)=0/1/1900,"",_xlfn.MINIFS('BASE SQL PLANTIO'!E:E,'BASE SQL PLANTIO'!B:B,VOOS!A1530))</f>
        <v/>
      </c>
      <c r="J1530" s="26"/>
      <c r="K1530" s="34" t="str">
        <f t="shared" si="70"/>
        <v/>
      </c>
      <c r="L1530" s="35" t="str">
        <f t="shared" si="71"/>
        <v/>
      </c>
      <c r="M1530" s="14"/>
      <c r="N1530" s="16"/>
    </row>
    <row r="1531" spans="1:14" ht="15.6" x14ac:dyDescent="0.3">
      <c r="A1531" s="13" t="str">
        <f t="shared" si="69"/>
        <v>-</v>
      </c>
      <c r="B1531" s="25"/>
      <c r="C1531" s="25"/>
      <c r="D1531" s="25"/>
      <c r="E1531" s="25"/>
      <c r="F1531" s="31"/>
      <c r="G1531" s="34">
        <f>SUMIFS('BASE EXEC. Q.L'!N:N,'BASE EXEC. Q.L'!B:B,VOOS!A1531)</f>
        <v>0</v>
      </c>
      <c r="H1531" s="15" t="str">
        <f>IFERROR(_xlfn.XLOOKUP(A1531,'BASE SQL PLANTIO'!B:B,'BASE SQL PLANTIO'!T:T,"verificar",0),"")</f>
        <v/>
      </c>
      <c r="I1531" s="77" t="str">
        <f>IF(_xlfn.MINIFS('BASE SQL PLANTIO'!E:E,'BASE SQL PLANTIO'!B:B,VOOS!A1531)=0/1/1900,"",_xlfn.MINIFS('BASE SQL PLANTIO'!E:E,'BASE SQL PLANTIO'!B:B,VOOS!A1531))</f>
        <v/>
      </c>
      <c r="J1531" s="26"/>
      <c r="K1531" s="34" t="str">
        <f t="shared" si="70"/>
        <v/>
      </c>
      <c r="L1531" s="35" t="str">
        <f t="shared" si="71"/>
        <v/>
      </c>
      <c r="M1531" s="14"/>
      <c r="N1531" s="15"/>
    </row>
    <row r="1532" spans="1:14" ht="15.6" x14ac:dyDescent="0.3">
      <c r="A1532" s="13" t="str">
        <f t="shared" si="69"/>
        <v>-</v>
      </c>
      <c r="B1532" s="27"/>
      <c r="C1532" s="26"/>
      <c r="D1532" s="26"/>
      <c r="E1532" s="26"/>
      <c r="F1532" s="26"/>
      <c r="G1532" s="34">
        <f>SUMIFS('BASE EXEC. Q.L'!N:N,'BASE EXEC. Q.L'!B:B,VOOS!A1532)</f>
        <v>0</v>
      </c>
      <c r="H1532" s="15" t="str">
        <f>IFERROR(_xlfn.XLOOKUP(A1532,'BASE SQL PLANTIO'!B:B,'BASE SQL PLANTIO'!T:T,"verificar",0),"")</f>
        <v/>
      </c>
      <c r="I1532" s="77" t="str">
        <f>IF(_xlfn.MINIFS('BASE SQL PLANTIO'!E:E,'BASE SQL PLANTIO'!B:B,VOOS!A1532)=0/1/1900,"",_xlfn.MINIFS('BASE SQL PLANTIO'!E:E,'BASE SQL PLANTIO'!B:B,VOOS!A1532))</f>
        <v/>
      </c>
      <c r="J1532" s="26"/>
      <c r="K1532" s="34" t="str">
        <f t="shared" si="70"/>
        <v/>
      </c>
      <c r="L1532" s="35" t="str">
        <f t="shared" si="71"/>
        <v/>
      </c>
      <c r="M1532" s="14"/>
      <c r="N1532" s="16"/>
    </row>
    <row r="1533" spans="1:14" ht="15.6" x14ac:dyDescent="0.3">
      <c r="A1533" s="13" t="str">
        <f t="shared" si="69"/>
        <v>-</v>
      </c>
      <c r="B1533" s="27"/>
      <c r="C1533" s="26"/>
      <c r="D1533" s="26"/>
      <c r="E1533" s="26"/>
      <c r="F1533" s="26"/>
      <c r="G1533" s="34">
        <f>SUMIFS('BASE EXEC. Q.L'!N:N,'BASE EXEC. Q.L'!B:B,VOOS!A1533)</f>
        <v>0</v>
      </c>
      <c r="H1533" s="15" t="str">
        <f>IFERROR(_xlfn.XLOOKUP(A1533,'BASE SQL PLANTIO'!B:B,'BASE SQL PLANTIO'!T:T,"verificar",0),"")</f>
        <v/>
      </c>
      <c r="I1533" s="77" t="str">
        <f>IF(_xlfn.MINIFS('BASE SQL PLANTIO'!E:E,'BASE SQL PLANTIO'!B:B,VOOS!A1533)=0/1/1900,"",_xlfn.MINIFS('BASE SQL PLANTIO'!E:E,'BASE SQL PLANTIO'!B:B,VOOS!A1533))</f>
        <v/>
      </c>
      <c r="J1533" s="26"/>
      <c r="K1533" s="34" t="str">
        <f t="shared" si="70"/>
        <v/>
      </c>
      <c r="L1533" s="35" t="str">
        <f t="shared" si="71"/>
        <v/>
      </c>
      <c r="M1533" s="14"/>
      <c r="N1533" s="16"/>
    </row>
    <row r="1534" spans="1:14" ht="15.6" x14ac:dyDescent="0.3">
      <c r="A1534" s="13" t="str">
        <f t="shared" si="69"/>
        <v>-</v>
      </c>
      <c r="B1534" s="25"/>
      <c r="C1534" s="25"/>
      <c r="D1534" s="25"/>
      <c r="E1534" s="25"/>
      <c r="F1534" s="31"/>
      <c r="G1534" s="34">
        <f>SUMIFS('BASE EXEC. Q.L'!N:N,'BASE EXEC. Q.L'!B:B,VOOS!A1534)</f>
        <v>0</v>
      </c>
      <c r="H1534" s="15" t="str">
        <f>IFERROR(_xlfn.XLOOKUP(A1534,'BASE SQL PLANTIO'!B:B,'BASE SQL PLANTIO'!T:T,"verificar",0),"")</f>
        <v/>
      </c>
      <c r="I1534" s="77" t="str">
        <f>IF(_xlfn.MINIFS('BASE SQL PLANTIO'!E:E,'BASE SQL PLANTIO'!B:B,VOOS!A1534)=0/1/1900,"",_xlfn.MINIFS('BASE SQL PLANTIO'!E:E,'BASE SQL PLANTIO'!B:B,VOOS!A1534))</f>
        <v/>
      </c>
      <c r="J1534" s="26"/>
      <c r="K1534" s="34" t="str">
        <f t="shared" si="70"/>
        <v/>
      </c>
      <c r="L1534" s="35" t="str">
        <f t="shared" si="71"/>
        <v/>
      </c>
      <c r="M1534" s="14"/>
      <c r="N1534" s="16"/>
    </row>
    <row r="1535" spans="1:14" ht="15.6" x14ac:dyDescent="0.3">
      <c r="A1535" s="13" t="str">
        <f t="shared" si="69"/>
        <v>-</v>
      </c>
      <c r="B1535" s="25"/>
      <c r="C1535" s="25"/>
      <c r="D1535" s="25"/>
      <c r="E1535" s="25"/>
      <c r="F1535" s="31"/>
      <c r="G1535" s="34">
        <f>SUMIFS('BASE EXEC. Q.L'!N:N,'BASE EXEC. Q.L'!B:B,VOOS!A1535)</f>
        <v>0</v>
      </c>
      <c r="H1535" s="15" t="str">
        <f>IFERROR(_xlfn.XLOOKUP(A1535,'BASE SQL PLANTIO'!B:B,'BASE SQL PLANTIO'!T:T,"verificar",0),"")</f>
        <v/>
      </c>
      <c r="I1535" s="77" t="str">
        <f>IF(_xlfn.MINIFS('BASE SQL PLANTIO'!E:E,'BASE SQL PLANTIO'!B:B,VOOS!A1535)=0/1/1900,"",_xlfn.MINIFS('BASE SQL PLANTIO'!E:E,'BASE SQL PLANTIO'!B:B,VOOS!A1535))</f>
        <v/>
      </c>
      <c r="J1535" s="26"/>
      <c r="K1535" s="34" t="str">
        <f t="shared" si="70"/>
        <v/>
      </c>
      <c r="L1535" s="35" t="str">
        <f t="shared" si="71"/>
        <v/>
      </c>
      <c r="M1535" s="14"/>
      <c r="N1535" s="16"/>
    </row>
    <row r="1536" spans="1:14" ht="15.6" x14ac:dyDescent="0.3">
      <c r="A1536" s="13" t="str">
        <f t="shared" si="69"/>
        <v>-</v>
      </c>
      <c r="B1536" s="25"/>
      <c r="C1536" s="25"/>
      <c r="D1536" s="25"/>
      <c r="E1536" s="25"/>
      <c r="F1536" s="31"/>
      <c r="G1536" s="34">
        <f>SUMIFS('BASE EXEC. Q.L'!N:N,'BASE EXEC. Q.L'!B:B,VOOS!A1536)</f>
        <v>0</v>
      </c>
      <c r="H1536" s="15" t="str">
        <f>IFERROR(_xlfn.XLOOKUP(A1536,'BASE SQL PLANTIO'!B:B,'BASE SQL PLANTIO'!T:T,"verificar",0),"")</f>
        <v/>
      </c>
      <c r="I1536" s="77" t="str">
        <f>IF(_xlfn.MINIFS('BASE SQL PLANTIO'!E:E,'BASE SQL PLANTIO'!B:B,VOOS!A1536)=0/1/1900,"",_xlfn.MINIFS('BASE SQL PLANTIO'!E:E,'BASE SQL PLANTIO'!B:B,VOOS!A1536))</f>
        <v/>
      </c>
      <c r="J1536" s="26"/>
      <c r="K1536" s="34" t="str">
        <f t="shared" si="70"/>
        <v/>
      </c>
      <c r="L1536" s="35" t="str">
        <f t="shared" si="71"/>
        <v/>
      </c>
      <c r="M1536" s="14"/>
      <c r="N1536" s="15"/>
    </row>
    <row r="1537" spans="1:14" ht="15.6" x14ac:dyDescent="0.3">
      <c r="A1537" s="13" t="str">
        <f t="shared" si="69"/>
        <v>-</v>
      </c>
      <c r="B1537" s="27"/>
      <c r="C1537" s="26"/>
      <c r="D1537" s="26"/>
      <c r="E1537" s="26"/>
      <c r="F1537" s="26"/>
      <c r="G1537" s="34">
        <f>SUMIFS('BASE EXEC. Q.L'!N:N,'BASE EXEC. Q.L'!B:B,VOOS!A1537)</f>
        <v>0</v>
      </c>
      <c r="H1537" s="15" t="str">
        <f>IFERROR(_xlfn.XLOOKUP(A1537,'BASE SQL PLANTIO'!B:B,'BASE SQL PLANTIO'!T:T,"verificar",0),"")</f>
        <v/>
      </c>
      <c r="I1537" s="77" t="str">
        <f>IF(_xlfn.MINIFS('BASE SQL PLANTIO'!E:E,'BASE SQL PLANTIO'!B:B,VOOS!A1537)=0/1/1900,"",_xlfn.MINIFS('BASE SQL PLANTIO'!E:E,'BASE SQL PLANTIO'!B:B,VOOS!A1537))</f>
        <v/>
      </c>
      <c r="J1537" s="26"/>
      <c r="K1537" s="34" t="str">
        <f t="shared" si="70"/>
        <v/>
      </c>
      <c r="L1537" s="35" t="str">
        <f t="shared" si="71"/>
        <v/>
      </c>
      <c r="M1537" s="14"/>
      <c r="N1537" s="16"/>
    </row>
    <row r="1538" spans="1:14" ht="15.6" x14ac:dyDescent="0.3">
      <c r="A1538" s="13" t="str">
        <f t="shared" si="69"/>
        <v>-</v>
      </c>
      <c r="B1538" s="27"/>
      <c r="C1538" s="26"/>
      <c r="D1538" s="26"/>
      <c r="E1538" s="26"/>
      <c r="F1538" s="26"/>
      <c r="G1538" s="34">
        <f>SUMIFS('BASE EXEC. Q.L'!N:N,'BASE EXEC. Q.L'!B:B,VOOS!A1538)</f>
        <v>0</v>
      </c>
      <c r="H1538" s="15" t="str">
        <f>IFERROR(_xlfn.XLOOKUP(A1538,'BASE SQL PLANTIO'!B:B,'BASE SQL PLANTIO'!T:T,"verificar",0),"")</f>
        <v/>
      </c>
      <c r="I1538" s="77" t="str">
        <f>IF(_xlfn.MINIFS('BASE SQL PLANTIO'!E:E,'BASE SQL PLANTIO'!B:B,VOOS!A1538)=0/1/1900,"",_xlfn.MINIFS('BASE SQL PLANTIO'!E:E,'BASE SQL PLANTIO'!B:B,VOOS!A1538))</f>
        <v/>
      </c>
      <c r="J1538" s="26"/>
      <c r="K1538" s="34" t="str">
        <f t="shared" si="70"/>
        <v/>
      </c>
      <c r="L1538" s="35" t="str">
        <f t="shared" si="71"/>
        <v/>
      </c>
      <c r="M1538" s="14"/>
      <c r="N1538" s="16"/>
    </row>
    <row r="1539" spans="1:14" ht="15.6" x14ac:dyDescent="0.3">
      <c r="A1539" s="13" t="str">
        <f t="shared" si="69"/>
        <v>-</v>
      </c>
      <c r="B1539" s="25"/>
      <c r="C1539" s="25"/>
      <c r="D1539" s="25"/>
      <c r="E1539" s="25"/>
      <c r="F1539" s="31"/>
      <c r="G1539" s="34">
        <f>SUMIFS('BASE EXEC. Q.L'!N:N,'BASE EXEC. Q.L'!B:B,VOOS!A1539)</f>
        <v>0</v>
      </c>
      <c r="H1539" s="15" t="str">
        <f>IFERROR(_xlfn.XLOOKUP(A1539,'BASE SQL PLANTIO'!B:B,'BASE SQL PLANTIO'!T:T,"verificar",0),"")</f>
        <v/>
      </c>
      <c r="I1539" s="77" t="str">
        <f>IF(_xlfn.MINIFS('BASE SQL PLANTIO'!E:E,'BASE SQL PLANTIO'!B:B,VOOS!A1539)=0/1/1900,"",_xlfn.MINIFS('BASE SQL PLANTIO'!E:E,'BASE SQL PLANTIO'!B:B,VOOS!A1539))</f>
        <v/>
      </c>
      <c r="J1539" s="26"/>
      <c r="K1539" s="34" t="str">
        <f t="shared" si="70"/>
        <v/>
      </c>
      <c r="L1539" s="35" t="str">
        <f t="shared" si="71"/>
        <v/>
      </c>
      <c r="M1539" s="14"/>
      <c r="N1539" s="16"/>
    </row>
    <row r="1540" spans="1:14" ht="15.6" x14ac:dyDescent="0.3">
      <c r="A1540" s="13" t="str">
        <f t="shared" si="69"/>
        <v>-</v>
      </c>
      <c r="B1540" s="25"/>
      <c r="C1540" s="25"/>
      <c r="D1540" s="25"/>
      <c r="E1540" s="25"/>
      <c r="F1540" s="31"/>
      <c r="G1540" s="34">
        <f>SUMIFS('BASE EXEC. Q.L'!N:N,'BASE EXEC. Q.L'!B:B,VOOS!A1540)</f>
        <v>0</v>
      </c>
      <c r="H1540" s="15" t="str">
        <f>IFERROR(_xlfn.XLOOKUP(A1540,'BASE SQL PLANTIO'!B:B,'BASE SQL PLANTIO'!T:T,"verificar",0),"")</f>
        <v/>
      </c>
      <c r="I1540" s="77" t="str">
        <f>IF(_xlfn.MINIFS('BASE SQL PLANTIO'!E:E,'BASE SQL PLANTIO'!B:B,VOOS!A1540)=0/1/1900,"",_xlfn.MINIFS('BASE SQL PLANTIO'!E:E,'BASE SQL PLANTIO'!B:B,VOOS!A1540))</f>
        <v/>
      </c>
      <c r="J1540" s="26"/>
      <c r="K1540" s="34" t="str">
        <f t="shared" si="70"/>
        <v/>
      </c>
      <c r="L1540" s="35" t="str">
        <f t="shared" si="71"/>
        <v/>
      </c>
      <c r="M1540" s="14"/>
      <c r="N1540" s="16"/>
    </row>
    <row r="1541" spans="1:14" ht="15.6" x14ac:dyDescent="0.3">
      <c r="A1541" s="13" t="str">
        <f t="shared" ref="A1541:A1604" si="72">CONCATENATE(B1541,"-",E1541)</f>
        <v>-</v>
      </c>
      <c r="B1541" s="25"/>
      <c r="C1541" s="25"/>
      <c r="D1541" s="25"/>
      <c r="E1541" s="25"/>
      <c r="F1541" s="31"/>
      <c r="G1541" s="34">
        <f>SUMIFS('BASE EXEC. Q.L'!N:N,'BASE EXEC. Q.L'!B:B,VOOS!A1541)</f>
        <v>0</v>
      </c>
      <c r="H1541" s="15" t="str">
        <f>IFERROR(_xlfn.XLOOKUP(A1541,'BASE SQL PLANTIO'!B:B,'BASE SQL PLANTIO'!T:T,"verificar",0),"")</f>
        <v/>
      </c>
      <c r="I1541" s="77" t="str">
        <f>IF(_xlfn.MINIFS('BASE SQL PLANTIO'!E:E,'BASE SQL PLANTIO'!B:B,VOOS!A1541)=0/1/1900,"",_xlfn.MINIFS('BASE SQL PLANTIO'!E:E,'BASE SQL PLANTIO'!B:B,VOOS!A1541))</f>
        <v/>
      </c>
      <c r="J1541" s="26"/>
      <c r="K1541" s="34" t="str">
        <f t="shared" ref="K1541:K1604" si="73">IF(I1541="","",$K$3-I1541)</f>
        <v/>
      </c>
      <c r="L1541" s="35" t="str">
        <f t="shared" ref="L1541:L1604" si="74">K1541</f>
        <v/>
      </c>
      <c r="M1541" s="14"/>
      <c r="N1541" s="15"/>
    </row>
    <row r="1542" spans="1:14" ht="15.6" x14ac:dyDescent="0.3">
      <c r="A1542" s="13" t="str">
        <f t="shared" si="72"/>
        <v>-</v>
      </c>
      <c r="B1542" s="27"/>
      <c r="C1542" s="26"/>
      <c r="D1542" s="26"/>
      <c r="E1542" s="26"/>
      <c r="F1542" s="26"/>
      <c r="G1542" s="34">
        <f>SUMIFS('BASE EXEC. Q.L'!N:N,'BASE EXEC. Q.L'!B:B,VOOS!A1542)</f>
        <v>0</v>
      </c>
      <c r="H1542" s="15" t="str">
        <f>IFERROR(_xlfn.XLOOKUP(A1542,'BASE SQL PLANTIO'!B:B,'BASE SQL PLANTIO'!T:T,"verificar",0),"")</f>
        <v/>
      </c>
      <c r="I1542" s="77" t="str">
        <f>IF(_xlfn.MINIFS('BASE SQL PLANTIO'!E:E,'BASE SQL PLANTIO'!B:B,VOOS!A1542)=0/1/1900,"",_xlfn.MINIFS('BASE SQL PLANTIO'!E:E,'BASE SQL PLANTIO'!B:B,VOOS!A1542))</f>
        <v/>
      </c>
      <c r="J1542" s="26"/>
      <c r="K1542" s="34" t="str">
        <f t="shared" si="73"/>
        <v/>
      </c>
      <c r="L1542" s="35" t="str">
        <f t="shared" si="74"/>
        <v/>
      </c>
      <c r="M1542" s="14"/>
      <c r="N1542" s="16"/>
    </row>
    <row r="1543" spans="1:14" ht="15.6" x14ac:dyDescent="0.3">
      <c r="A1543" s="13" t="str">
        <f t="shared" si="72"/>
        <v>-</v>
      </c>
      <c r="B1543" s="27"/>
      <c r="C1543" s="26"/>
      <c r="D1543" s="26"/>
      <c r="E1543" s="26"/>
      <c r="F1543" s="26"/>
      <c r="G1543" s="34">
        <f>SUMIFS('BASE EXEC. Q.L'!N:N,'BASE EXEC. Q.L'!B:B,VOOS!A1543)</f>
        <v>0</v>
      </c>
      <c r="H1543" s="15" t="str">
        <f>IFERROR(_xlfn.XLOOKUP(A1543,'BASE SQL PLANTIO'!B:B,'BASE SQL PLANTIO'!T:T,"verificar",0),"")</f>
        <v/>
      </c>
      <c r="I1543" s="77" t="str">
        <f>IF(_xlfn.MINIFS('BASE SQL PLANTIO'!E:E,'BASE SQL PLANTIO'!B:B,VOOS!A1543)=0/1/1900,"",_xlfn.MINIFS('BASE SQL PLANTIO'!E:E,'BASE SQL PLANTIO'!B:B,VOOS!A1543))</f>
        <v/>
      </c>
      <c r="J1543" s="26"/>
      <c r="K1543" s="34" t="str">
        <f t="shared" si="73"/>
        <v/>
      </c>
      <c r="L1543" s="35" t="str">
        <f t="shared" si="74"/>
        <v/>
      </c>
      <c r="M1543" s="14"/>
      <c r="N1543" s="16"/>
    </row>
    <row r="1544" spans="1:14" ht="15.6" x14ac:dyDescent="0.3">
      <c r="A1544" s="13" t="str">
        <f t="shared" si="72"/>
        <v>-</v>
      </c>
      <c r="B1544" s="25"/>
      <c r="C1544" s="25"/>
      <c r="D1544" s="25"/>
      <c r="E1544" s="25"/>
      <c r="F1544" s="31"/>
      <c r="G1544" s="34">
        <f>SUMIFS('BASE EXEC. Q.L'!N:N,'BASE EXEC. Q.L'!B:B,VOOS!A1544)</f>
        <v>0</v>
      </c>
      <c r="H1544" s="15" t="str">
        <f>IFERROR(_xlfn.XLOOKUP(A1544,'BASE SQL PLANTIO'!B:B,'BASE SQL PLANTIO'!T:T,"verificar",0),"")</f>
        <v/>
      </c>
      <c r="I1544" s="77" t="str">
        <f>IF(_xlfn.MINIFS('BASE SQL PLANTIO'!E:E,'BASE SQL PLANTIO'!B:B,VOOS!A1544)=0/1/1900,"",_xlfn.MINIFS('BASE SQL PLANTIO'!E:E,'BASE SQL PLANTIO'!B:B,VOOS!A1544))</f>
        <v/>
      </c>
      <c r="J1544" s="26"/>
      <c r="K1544" s="34" t="str">
        <f t="shared" si="73"/>
        <v/>
      </c>
      <c r="L1544" s="35" t="str">
        <f t="shared" si="74"/>
        <v/>
      </c>
      <c r="M1544" s="14"/>
      <c r="N1544" s="16"/>
    </row>
    <row r="1545" spans="1:14" ht="15.6" x14ac:dyDescent="0.3">
      <c r="A1545" s="13" t="str">
        <f t="shared" si="72"/>
        <v>-</v>
      </c>
      <c r="B1545" s="25"/>
      <c r="C1545" s="25"/>
      <c r="D1545" s="25"/>
      <c r="E1545" s="25"/>
      <c r="F1545" s="31"/>
      <c r="G1545" s="34">
        <f>SUMIFS('BASE EXEC. Q.L'!N:N,'BASE EXEC. Q.L'!B:B,VOOS!A1545)</f>
        <v>0</v>
      </c>
      <c r="H1545" s="15" t="str">
        <f>IFERROR(_xlfn.XLOOKUP(A1545,'BASE SQL PLANTIO'!B:B,'BASE SQL PLANTIO'!T:T,"verificar",0),"")</f>
        <v/>
      </c>
      <c r="I1545" s="77" t="str">
        <f>IF(_xlfn.MINIFS('BASE SQL PLANTIO'!E:E,'BASE SQL PLANTIO'!B:B,VOOS!A1545)=0/1/1900,"",_xlfn.MINIFS('BASE SQL PLANTIO'!E:E,'BASE SQL PLANTIO'!B:B,VOOS!A1545))</f>
        <v/>
      </c>
      <c r="J1545" s="26"/>
      <c r="K1545" s="34" t="str">
        <f t="shared" si="73"/>
        <v/>
      </c>
      <c r="L1545" s="35" t="str">
        <f t="shared" si="74"/>
        <v/>
      </c>
      <c r="M1545" s="14"/>
      <c r="N1545" s="16"/>
    </row>
    <row r="1546" spans="1:14" ht="15.6" x14ac:dyDescent="0.3">
      <c r="A1546" s="13" t="str">
        <f t="shared" si="72"/>
        <v>-</v>
      </c>
      <c r="B1546" s="25"/>
      <c r="C1546" s="25"/>
      <c r="D1546" s="25"/>
      <c r="E1546" s="25"/>
      <c r="F1546" s="31"/>
      <c r="G1546" s="34">
        <f>SUMIFS('BASE EXEC. Q.L'!N:N,'BASE EXEC. Q.L'!B:B,VOOS!A1546)</f>
        <v>0</v>
      </c>
      <c r="H1546" s="15" t="str">
        <f>IFERROR(_xlfn.XLOOKUP(A1546,'BASE SQL PLANTIO'!B:B,'BASE SQL PLANTIO'!T:T,"verificar",0),"")</f>
        <v/>
      </c>
      <c r="I1546" s="77" t="str">
        <f>IF(_xlfn.MINIFS('BASE SQL PLANTIO'!E:E,'BASE SQL PLANTIO'!B:B,VOOS!A1546)=0/1/1900,"",_xlfn.MINIFS('BASE SQL PLANTIO'!E:E,'BASE SQL PLANTIO'!B:B,VOOS!A1546))</f>
        <v/>
      </c>
      <c r="J1546" s="26"/>
      <c r="K1546" s="34" t="str">
        <f t="shared" si="73"/>
        <v/>
      </c>
      <c r="L1546" s="35" t="str">
        <f t="shared" si="74"/>
        <v/>
      </c>
      <c r="M1546" s="14"/>
      <c r="N1546" s="15"/>
    </row>
    <row r="1547" spans="1:14" ht="15.6" x14ac:dyDescent="0.3">
      <c r="A1547" s="13" t="str">
        <f t="shared" si="72"/>
        <v>-</v>
      </c>
      <c r="B1547" s="27"/>
      <c r="C1547" s="26"/>
      <c r="D1547" s="26"/>
      <c r="E1547" s="26"/>
      <c r="F1547" s="26"/>
      <c r="G1547" s="34">
        <f>SUMIFS('BASE EXEC. Q.L'!N:N,'BASE EXEC. Q.L'!B:B,VOOS!A1547)</f>
        <v>0</v>
      </c>
      <c r="H1547" s="15" t="str">
        <f>IFERROR(_xlfn.XLOOKUP(A1547,'BASE SQL PLANTIO'!B:B,'BASE SQL PLANTIO'!T:T,"verificar",0),"")</f>
        <v/>
      </c>
      <c r="I1547" s="77" t="str">
        <f>IF(_xlfn.MINIFS('BASE SQL PLANTIO'!E:E,'BASE SQL PLANTIO'!B:B,VOOS!A1547)=0/1/1900,"",_xlfn.MINIFS('BASE SQL PLANTIO'!E:E,'BASE SQL PLANTIO'!B:B,VOOS!A1547))</f>
        <v/>
      </c>
      <c r="J1547" s="26"/>
      <c r="K1547" s="34" t="str">
        <f t="shared" si="73"/>
        <v/>
      </c>
      <c r="L1547" s="35" t="str">
        <f t="shared" si="74"/>
        <v/>
      </c>
      <c r="M1547" s="14"/>
      <c r="N1547" s="16"/>
    </row>
    <row r="1548" spans="1:14" ht="15.6" x14ac:dyDescent="0.3">
      <c r="A1548" s="13" t="str">
        <f t="shared" si="72"/>
        <v>-</v>
      </c>
      <c r="B1548" s="27"/>
      <c r="C1548" s="26"/>
      <c r="D1548" s="26"/>
      <c r="E1548" s="26"/>
      <c r="F1548" s="26"/>
      <c r="G1548" s="34">
        <f>SUMIFS('BASE EXEC. Q.L'!N:N,'BASE EXEC. Q.L'!B:B,VOOS!A1548)</f>
        <v>0</v>
      </c>
      <c r="H1548" s="15" t="str">
        <f>IFERROR(_xlfn.XLOOKUP(A1548,'BASE SQL PLANTIO'!B:B,'BASE SQL PLANTIO'!T:T,"verificar",0),"")</f>
        <v/>
      </c>
      <c r="I1548" s="77" t="str">
        <f>IF(_xlfn.MINIFS('BASE SQL PLANTIO'!E:E,'BASE SQL PLANTIO'!B:B,VOOS!A1548)=0/1/1900,"",_xlfn.MINIFS('BASE SQL PLANTIO'!E:E,'BASE SQL PLANTIO'!B:B,VOOS!A1548))</f>
        <v/>
      </c>
      <c r="J1548" s="26"/>
      <c r="K1548" s="34" t="str">
        <f t="shared" si="73"/>
        <v/>
      </c>
      <c r="L1548" s="35" t="str">
        <f t="shared" si="74"/>
        <v/>
      </c>
      <c r="M1548" s="14"/>
      <c r="N1548" s="16"/>
    </row>
    <row r="1549" spans="1:14" ht="15.6" x14ac:dyDescent="0.3">
      <c r="A1549" s="13" t="str">
        <f t="shared" si="72"/>
        <v>-</v>
      </c>
      <c r="B1549" s="25"/>
      <c r="C1549" s="25"/>
      <c r="D1549" s="25"/>
      <c r="E1549" s="25"/>
      <c r="F1549" s="31"/>
      <c r="G1549" s="34">
        <f>SUMIFS('BASE EXEC. Q.L'!N:N,'BASE EXEC. Q.L'!B:B,VOOS!A1549)</f>
        <v>0</v>
      </c>
      <c r="H1549" s="15" t="str">
        <f>IFERROR(_xlfn.XLOOKUP(A1549,'BASE SQL PLANTIO'!B:B,'BASE SQL PLANTIO'!T:T,"verificar",0),"")</f>
        <v/>
      </c>
      <c r="I1549" s="77" t="str">
        <f>IF(_xlfn.MINIFS('BASE SQL PLANTIO'!E:E,'BASE SQL PLANTIO'!B:B,VOOS!A1549)=0/1/1900,"",_xlfn.MINIFS('BASE SQL PLANTIO'!E:E,'BASE SQL PLANTIO'!B:B,VOOS!A1549))</f>
        <v/>
      </c>
      <c r="J1549" s="26"/>
      <c r="K1549" s="34" t="str">
        <f t="shared" si="73"/>
        <v/>
      </c>
      <c r="L1549" s="35" t="str">
        <f t="shared" si="74"/>
        <v/>
      </c>
      <c r="M1549" s="14"/>
      <c r="N1549" s="16"/>
    </row>
    <row r="1550" spans="1:14" ht="15.6" x14ac:dyDescent="0.3">
      <c r="A1550" s="13" t="str">
        <f t="shared" si="72"/>
        <v>-</v>
      </c>
      <c r="B1550" s="25"/>
      <c r="C1550" s="25"/>
      <c r="D1550" s="25"/>
      <c r="E1550" s="25"/>
      <c r="F1550" s="31"/>
      <c r="G1550" s="34">
        <f>SUMIFS('BASE EXEC. Q.L'!N:N,'BASE EXEC. Q.L'!B:B,VOOS!A1550)</f>
        <v>0</v>
      </c>
      <c r="H1550" s="15" t="str">
        <f>IFERROR(_xlfn.XLOOKUP(A1550,'BASE SQL PLANTIO'!B:B,'BASE SQL PLANTIO'!T:T,"verificar",0),"")</f>
        <v/>
      </c>
      <c r="I1550" s="77" t="str">
        <f>IF(_xlfn.MINIFS('BASE SQL PLANTIO'!E:E,'BASE SQL PLANTIO'!B:B,VOOS!A1550)=0/1/1900,"",_xlfn.MINIFS('BASE SQL PLANTIO'!E:E,'BASE SQL PLANTIO'!B:B,VOOS!A1550))</f>
        <v/>
      </c>
      <c r="J1550" s="26"/>
      <c r="K1550" s="34" t="str">
        <f t="shared" si="73"/>
        <v/>
      </c>
      <c r="L1550" s="35" t="str">
        <f t="shared" si="74"/>
        <v/>
      </c>
      <c r="M1550" s="14"/>
      <c r="N1550" s="16"/>
    </row>
    <row r="1551" spans="1:14" ht="15.6" x14ac:dyDescent="0.3">
      <c r="A1551" s="13" t="str">
        <f t="shared" si="72"/>
        <v>-</v>
      </c>
      <c r="B1551" s="25"/>
      <c r="C1551" s="25"/>
      <c r="D1551" s="25"/>
      <c r="E1551" s="25"/>
      <c r="F1551" s="31"/>
      <c r="G1551" s="34">
        <f>SUMIFS('BASE EXEC. Q.L'!N:N,'BASE EXEC. Q.L'!B:B,VOOS!A1551)</f>
        <v>0</v>
      </c>
      <c r="H1551" s="15" t="str">
        <f>IFERROR(_xlfn.XLOOKUP(A1551,'BASE SQL PLANTIO'!B:B,'BASE SQL PLANTIO'!T:T,"verificar",0),"")</f>
        <v/>
      </c>
      <c r="I1551" s="77" t="str">
        <f>IF(_xlfn.MINIFS('BASE SQL PLANTIO'!E:E,'BASE SQL PLANTIO'!B:B,VOOS!A1551)=0/1/1900,"",_xlfn.MINIFS('BASE SQL PLANTIO'!E:E,'BASE SQL PLANTIO'!B:B,VOOS!A1551))</f>
        <v/>
      </c>
      <c r="J1551" s="26"/>
      <c r="K1551" s="34" t="str">
        <f t="shared" si="73"/>
        <v/>
      </c>
      <c r="L1551" s="35" t="str">
        <f t="shared" si="74"/>
        <v/>
      </c>
      <c r="M1551" s="14"/>
      <c r="N1551" s="15"/>
    </row>
    <row r="1552" spans="1:14" ht="15.6" x14ac:dyDescent="0.3">
      <c r="A1552" s="13" t="str">
        <f t="shared" si="72"/>
        <v>-</v>
      </c>
      <c r="B1552" s="27"/>
      <c r="C1552" s="26"/>
      <c r="D1552" s="26"/>
      <c r="E1552" s="26"/>
      <c r="F1552" s="26"/>
      <c r="G1552" s="34">
        <f>SUMIFS('BASE EXEC. Q.L'!N:N,'BASE EXEC. Q.L'!B:B,VOOS!A1552)</f>
        <v>0</v>
      </c>
      <c r="H1552" s="15" t="str">
        <f>IFERROR(_xlfn.XLOOKUP(A1552,'BASE SQL PLANTIO'!B:B,'BASE SQL PLANTIO'!T:T,"verificar",0),"")</f>
        <v/>
      </c>
      <c r="I1552" s="77" t="str">
        <f>IF(_xlfn.MINIFS('BASE SQL PLANTIO'!E:E,'BASE SQL PLANTIO'!B:B,VOOS!A1552)=0/1/1900,"",_xlfn.MINIFS('BASE SQL PLANTIO'!E:E,'BASE SQL PLANTIO'!B:B,VOOS!A1552))</f>
        <v/>
      </c>
      <c r="J1552" s="26"/>
      <c r="K1552" s="34" t="str">
        <f t="shared" si="73"/>
        <v/>
      </c>
      <c r="L1552" s="35" t="str">
        <f t="shared" si="74"/>
        <v/>
      </c>
      <c r="M1552" s="14"/>
      <c r="N1552" s="16"/>
    </row>
    <row r="1553" spans="1:14" ht="15.6" x14ac:dyDescent="0.3">
      <c r="A1553" s="13" t="str">
        <f t="shared" si="72"/>
        <v>-</v>
      </c>
      <c r="B1553" s="27"/>
      <c r="C1553" s="26"/>
      <c r="D1553" s="26"/>
      <c r="E1553" s="26"/>
      <c r="F1553" s="26"/>
      <c r="G1553" s="34">
        <f>SUMIFS('BASE EXEC. Q.L'!N:N,'BASE EXEC. Q.L'!B:B,VOOS!A1553)</f>
        <v>0</v>
      </c>
      <c r="H1553" s="15" t="str">
        <f>IFERROR(_xlfn.XLOOKUP(A1553,'BASE SQL PLANTIO'!B:B,'BASE SQL PLANTIO'!T:T,"verificar",0),"")</f>
        <v/>
      </c>
      <c r="I1553" s="77" t="str">
        <f>IF(_xlfn.MINIFS('BASE SQL PLANTIO'!E:E,'BASE SQL PLANTIO'!B:B,VOOS!A1553)=0/1/1900,"",_xlfn.MINIFS('BASE SQL PLANTIO'!E:E,'BASE SQL PLANTIO'!B:B,VOOS!A1553))</f>
        <v/>
      </c>
      <c r="J1553" s="26"/>
      <c r="K1553" s="34" t="str">
        <f t="shared" si="73"/>
        <v/>
      </c>
      <c r="L1553" s="35" t="str">
        <f t="shared" si="74"/>
        <v/>
      </c>
      <c r="M1553" s="14"/>
      <c r="N1553" s="16"/>
    </row>
    <row r="1554" spans="1:14" ht="15.6" x14ac:dyDescent="0.3">
      <c r="A1554" s="13" t="str">
        <f t="shared" si="72"/>
        <v>-</v>
      </c>
      <c r="B1554" s="25"/>
      <c r="C1554" s="25"/>
      <c r="D1554" s="25"/>
      <c r="E1554" s="25"/>
      <c r="F1554" s="31"/>
      <c r="G1554" s="34">
        <f>SUMIFS('BASE EXEC. Q.L'!N:N,'BASE EXEC. Q.L'!B:B,VOOS!A1554)</f>
        <v>0</v>
      </c>
      <c r="H1554" s="15" t="str">
        <f>IFERROR(_xlfn.XLOOKUP(A1554,'BASE SQL PLANTIO'!B:B,'BASE SQL PLANTIO'!T:T,"verificar",0),"")</f>
        <v/>
      </c>
      <c r="I1554" s="77" t="str">
        <f>IF(_xlfn.MINIFS('BASE SQL PLANTIO'!E:E,'BASE SQL PLANTIO'!B:B,VOOS!A1554)=0/1/1900,"",_xlfn.MINIFS('BASE SQL PLANTIO'!E:E,'BASE SQL PLANTIO'!B:B,VOOS!A1554))</f>
        <v/>
      </c>
      <c r="J1554" s="26"/>
      <c r="K1554" s="34" t="str">
        <f t="shared" si="73"/>
        <v/>
      </c>
      <c r="L1554" s="35" t="str">
        <f t="shared" si="74"/>
        <v/>
      </c>
      <c r="M1554" s="14"/>
      <c r="N1554" s="16"/>
    </row>
    <row r="1555" spans="1:14" ht="15.6" x14ac:dyDescent="0.3">
      <c r="A1555" s="13" t="str">
        <f t="shared" si="72"/>
        <v>-</v>
      </c>
      <c r="B1555" s="25"/>
      <c r="C1555" s="25"/>
      <c r="D1555" s="25"/>
      <c r="E1555" s="25"/>
      <c r="F1555" s="31"/>
      <c r="G1555" s="34">
        <f>SUMIFS('BASE EXEC. Q.L'!N:N,'BASE EXEC. Q.L'!B:B,VOOS!A1555)</f>
        <v>0</v>
      </c>
      <c r="H1555" s="15" t="str">
        <f>IFERROR(_xlfn.XLOOKUP(A1555,'BASE SQL PLANTIO'!B:B,'BASE SQL PLANTIO'!T:T,"verificar",0),"")</f>
        <v/>
      </c>
      <c r="I1555" s="77" t="str">
        <f>IF(_xlfn.MINIFS('BASE SQL PLANTIO'!E:E,'BASE SQL PLANTIO'!B:B,VOOS!A1555)=0/1/1900,"",_xlfn.MINIFS('BASE SQL PLANTIO'!E:E,'BASE SQL PLANTIO'!B:B,VOOS!A1555))</f>
        <v/>
      </c>
      <c r="J1555" s="26"/>
      <c r="K1555" s="34" t="str">
        <f t="shared" si="73"/>
        <v/>
      </c>
      <c r="L1555" s="35" t="str">
        <f t="shared" si="74"/>
        <v/>
      </c>
      <c r="M1555" s="14"/>
      <c r="N1555" s="16"/>
    </row>
    <row r="1556" spans="1:14" ht="15.6" x14ac:dyDescent="0.3">
      <c r="A1556" s="13" t="str">
        <f t="shared" si="72"/>
        <v>-</v>
      </c>
      <c r="B1556" s="25"/>
      <c r="C1556" s="25"/>
      <c r="D1556" s="25"/>
      <c r="E1556" s="25"/>
      <c r="F1556" s="31"/>
      <c r="G1556" s="34">
        <f>SUMIFS('BASE EXEC. Q.L'!N:N,'BASE EXEC. Q.L'!B:B,VOOS!A1556)</f>
        <v>0</v>
      </c>
      <c r="H1556" s="15" t="str">
        <f>IFERROR(_xlfn.XLOOKUP(A1556,'BASE SQL PLANTIO'!B:B,'BASE SQL PLANTIO'!T:T,"verificar",0),"")</f>
        <v/>
      </c>
      <c r="I1556" s="77" t="str">
        <f>IF(_xlfn.MINIFS('BASE SQL PLANTIO'!E:E,'BASE SQL PLANTIO'!B:B,VOOS!A1556)=0/1/1900,"",_xlfn.MINIFS('BASE SQL PLANTIO'!E:E,'BASE SQL PLANTIO'!B:B,VOOS!A1556))</f>
        <v/>
      </c>
      <c r="J1556" s="26"/>
      <c r="K1556" s="34" t="str">
        <f t="shared" si="73"/>
        <v/>
      </c>
      <c r="L1556" s="35" t="str">
        <f t="shared" si="74"/>
        <v/>
      </c>
      <c r="M1556" s="14"/>
      <c r="N1556" s="15"/>
    </row>
    <row r="1557" spans="1:14" ht="15.6" x14ac:dyDescent="0.3">
      <c r="A1557" s="13" t="str">
        <f t="shared" si="72"/>
        <v>-</v>
      </c>
      <c r="B1557" s="27"/>
      <c r="C1557" s="26"/>
      <c r="D1557" s="26"/>
      <c r="E1557" s="26"/>
      <c r="F1557" s="26"/>
      <c r="G1557" s="34">
        <f>SUMIFS('BASE EXEC. Q.L'!N:N,'BASE EXEC. Q.L'!B:B,VOOS!A1557)</f>
        <v>0</v>
      </c>
      <c r="H1557" s="15" t="str">
        <f>IFERROR(_xlfn.XLOOKUP(A1557,'BASE SQL PLANTIO'!B:B,'BASE SQL PLANTIO'!T:T,"verificar",0),"")</f>
        <v/>
      </c>
      <c r="I1557" s="77" t="str">
        <f>IF(_xlfn.MINIFS('BASE SQL PLANTIO'!E:E,'BASE SQL PLANTIO'!B:B,VOOS!A1557)=0/1/1900,"",_xlfn.MINIFS('BASE SQL PLANTIO'!E:E,'BASE SQL PLANTIO'!B:B,VOOS!A1557))</f>
        <v/>
      </c>
      <c r="J1557" s="26"/>
      <c r="K1557" s="34" t="str">
        <f t="shared" si="73"/>
        <v/>
      </c>
      <c r="L1557" s="35" t="str">
        <f t="shared" si="74"/>
        <v/>
      </c>
      <c r="M1557" s="14"/>
      <c r="N1557" s="16"/>
    </row>
    <row r="1558" spans="1:14" ht="15.6" x14ac:dyDescent="0.3">
      <c r="A1558" s="13" t="str">
        <f t="shared" si="72"/>
        <v>-</v>
      </c>
      <c r="B1558" s="25"/>
      <c r="C1558" s="25"/>
      <c r="D1558" s="25"/>
      <c r="E1558" s="25"/>
      <c r="F1558" s="31"/>
      <c r="G1558" s="34">
        <f>SUMIFS('BASE EXEC. Q.L'!N:N,'BASE EXEC. Q.L'!B:B,VOOS!A1558)</f>
        <v>0</v>
      </c>
      <c r="H1558" s="15" t="str">
        <f>IFERROR(_xlfn.XLOOKUP(A1558,'BASE SQL PLANTIO'!B:B,'BASE SQL PLANTIO'!T:T,"verificar",0),"")</f>
        <v/>
      </c>
      <c r="I1558" s="77" t="str">
        <f>IF(_xlfn.MINIFS('BASE SQL PLANTIO'!E:E,'BASE SQL PLANTIO'!B:B,VOOS!A1558)=0/1/1900,"",_xlfn.MINIFS('BASE SQL PLANTIO'!E:E,'BASE SQL PLANTIO'!B:B,VOOS!A1558))</f>
        <v/>
      </c>
      <c r="J1558" s="26"/>
      <c r="K1558" s="34" t="str">
        <f t="shared" si="73"/>
        <v/>
      </c>
      <c r="L1558" s="35" t="str">
        <f t="shared" si="74"/>
        <v/>
      </c>
      <c r="M1558" s="14"/>
      <c r="N1558" s="16"/>
    </row>
    <row r="1559" spans="1:14" ht="15.6" x14ac:dyDescent="0.3">
      <c r="A1559" s="13" t="str">
        <f t="shared" si="72"/>
        <v>-</v>
      </c>
      <c r="B1559" s="25"/>
      <c r="C1559" s="25"/>
      <c r="D1559" s="25"/>
      <c r="E1559" s="25"/>
      <c r="F1559" s="31"/>
      <c r="G1559" s="34">
        <f>SUMIFS('BASE EXEC. Q.L'!N:N,'BASE EXEC. Q.L'!B:B,VOOS!A1559)</f>
        <v>0</v>
      </c>
      <c r="H1559" s="15" t="str">
        <f>IFERROR(_xlfn.XLOOKUP(A1559,'BASE SQL PLANTIO'!B:B,'BASE SQL PLANTIO'!T:T,"verificar",0),"")</f>
        <v/>
      </c>
      <c r="I1559" s="77" t="str">
        <f>IF(_xlfn.MINIFS('BASE SQL PLANTIO'!E:E,'BASE SQL PLANTIO'!B:B,VOOS!A1559)=0/1/1900,"",_xlfn.MINIFS('BASE SQL PLANTIO'!E:E,'BASE SQL PLANTIO'!B:B,VOOS!A1559))</f>
        <v/>
      </c>
      <c r="J1559" s="26"/>
      <c r="K1559" s="34" t="str">
        <f t="shared" si="73"/>
        <v/>
      </c>
      <c r="L1559" s="35" t="str">
        <f t="shared" si="74"/>
        <v/>
      </c>
      <c r="M1559" s="14"/>
      <c r="N1559" s="16"/>
    </row>
    <row r="1560" spans="1:14" ht="15.6" x14ac:dyDescent="0.3">
      <c r="A1560" s="13" t="str">
        <f t="shared" si="72"/>
        <v>-</v>
      </c>
      <c r="B1560" s="27"/>
      <c r="C1560" s="26"/>
      <c r="D1560" s="26"/>
      <c r="E1560" s="26"/>
      <c r="F1560" s="26"/>
      <c r="G1560" s="34">
        <f>SUMIFS('BASE EXEC. Q.L'!N:N,'BASE EXEC. Q.L'!B:B,VOOS!A1560)</f>
        <v>0</v>
      </c>
      <c r="H1560" s="15" t="str">
        <f>IFERROR(_xlfn.XLOOKUP(A1560,'BASE SQL PLANTIO'!B:B,'BASE SQL PLANTIO'!T:T,"verificar",0),"")</f>
        <v/>
      </c>
      <c r="I1560" s="77" t="str">
        <f>IF(_xlfn.MINIFS('BASE SQL PLANTIO'!E:E,'BASE SQL PLANTIO'!B:B,VOOS!A1560)=0/1/1900,"",_xlfn.MINIFS('BASE SQL PLANTIO'!E:E,'BASE SQL PLANTIO'!B:B,VOOS!A1560))</f>
        <v/>
      </c>
      <c r="J1560" s="26"/>
      <c r="K1560" s="34" t="str">
        <f t="shared" si="73"/>
        <v/>
      </c>
      <c r="L1560" s="35" t="str">
        <f t="shared" si="74"/>
        <v/>
      </c>
      <c r="M1560" s="14"/>
      <c r="N1560" s="16"/>
    </row>
    <row r="1561" spans="1:14" ht="15.6" x14ac:dyDescent="0.3">
      <c r="A1561" s="13" t="str">
        <f t="shared" si="72"/>
        <v>-</v>
      </c>
      <c r="B1561" s="25"/>
      <c r="C1561" s="25"/>
      <c r="D1561" s="25"/>
      <c r="E1561" s="25"/>
      <c r="F1561" s="31"/>
      <c r="G1561" s="34">
        <f>SUMIFS('BASE EXEC. Q.L'!N:N,'BASE EXEC. Q.L'!B:B,VOOS!A1561)</f>
        <v>0</v>
      </c>
      <c r="H1561" s="15" t="str">
        <f>IFERROR(_xlfn.XLOOKUP(A1561,'BASE SQL PLANTIO'!B:B,'BASE SQL PLANTIO'!T:T,"verificar",0),"")</f>
        <v/>
      </c>
      <c r="I1561" s="77" t="str">
        <f>IF(_xlfn.MINIFS('BASE SQL PLANTIO'!E:E,'BASE SQL PLANTIO'!B:B,VOOS!A1561)=0/1/1900,"",_xlfn.MINIFS('BASE SQL PLANTIO'!E:E,'BASE SQL PLANTIO'!B:B,VOOS!A1561))</f>
        <v/>
      </c>
      <c r="J1561" s="26"/>
      <c r="K1561" s="34" t="str">
        <f t="shared" si="73"/>
        <v/>
      </c>
      <c r="L1561" s="35" t="str">
        <f t="shared" si="74"/>
        <v/>
      </c>
      <c r="M1561" s="14"/>
      <c r="N1561" s="15"/>
    </row>
    <row r="1562" spans="1:14" ht="15.6" x14ac:dyDescent="0.3">
      <c r="A1562" s="13" t="str">
        <f t="shared" si="72"/>
        <v>-</v>
      </c>
      <c r="B1562" s="27"/>
      <c r="C1562" s="26"/>
      <c r="D1562" s="26"/>
      <c r="E1562" s="26"/>
      <c r="F1562" s="26"/>
      <c r="G1562" s="34">
        <f>SUMIFS('BASE EXEC. Q.L'!N:N,'BASE EXEC. Q.L'!B:B,VOOS!A1562)</f>
        <v>0</v>
      </c>
      <c r="H1562" s="15" t="str">
        <f>IFERROR(_xlfn.XLOOKUP(A1562,'BASE SQL PLANTIO'!B:B,'BASE SQL PLANTIO'!T:T,"verificar",0),"")</f>
        <v/>
      </c>
      <c r="I1562" s="77" t="str">
        <f>IF(_xlfn.MINIFS('BASE SQL PLANTIO'!E:E,'BASE SQL PLANTIO'!B:B,VOOS!A1562)=0/1/1900,"",_xlfn.MINIFS('BASE SQL PLANTIO'!E:E,'BASE SQL PLANTIO'!B:B,VOOS!A1562))</f>
        <v/>
      </c>
      <c r="J1562" s="26"/>
      <c r="K1562" s="34" t="str">
        <f t="shared" si="73"/>
        <v/>
      </c>
      <c r="L1562" s="35" t="str">
        <f t="shared" si="74"/>
        <v/>
      </c>
      <c r="M1562" s="14"/>
      <c r="N1562" s="16"/>
    </row>
    <row r="1563" spans="1:14" ht="15.6" x14ac:dyDescent="0.3">
      <c r="A1563" s="13" t="str">
        <f t="shared" si="72"/>
        <v>-</v>
      </c>
      <c r="B1563" s="25"/>
      <c r="C1563" s="25"/>
      <c r="D1563" s="25"/>
      <c r="E1563" s="25"/>
      <c r="F1563" s="31"/>
      <c r="G1563" s="34">
        <f>SUMIFS('BASE EXEC. Q.L'!N:N,'BASE EXEC. Q.L'!B:B,VOOS!A1563)</f>
        <v>0</v>
      </c>
      <c r="H1563" s="15" t="str">
        <f>IFERROR(_xlfn.XLOOKUP(A1563,'BASE SQL PLANTIO'!B:B,'BASE SQL PLANTIO'!T:T,"verificar",0),"")</f>
        <v/>
      </c>
      <c r="I1563" s="77" t="str">
        <f>IF(_xlfn.MINIFS('BASE SQL PLANTIO'!E:E,'BASE SQL PLANTIO'!B:B,VOOS!A1563)=0/1/1900,"",_xlfn.MINIFS('BASE SQL PLANTIO'!E:E,'BASE SQL PLANTIO'!B:B,VOOS!A1563))</f>
        <v/>
      </c>
      <c r="J1563" s="26"/>
      <c r="K1563" s="34" t="str">
        <f t="shared" si="73"/>
        <v/>
      </c>
      <c r="L1563" s="35" t="str">
        <f t="shared" si="74"/>
        <v/>
      </c>
      <c r="M1563" s="14"/>
      <c r="N1563" s="16"/>
    </row>
    <row r="1564" spans="1:14" ht="15.6" x14ac:dyDescent="0.3">
      <c r="A1564" s="13" t="str">
        <f t="shared" si="72"/>
        <v>-</v>
      </c>
      <c r="B1564" s="25"/>
      <c r="C1564" s="25"/>
      <c r="D1564" s="25"/>
      <c r="E1564" s="25"/>
      <c r="F1564" s="31"/>
      <c r="G1564" s="34">
        <f>SUMIFS('BASE EXEC. Q.L'!N:N,'BASE EXEC. Q.L'!B:B,VOOS!A1564)</f>
        <v>0</v>
      </c>
      <c r="H1564" s="15" t="str">
        <f>IFERROR(_xlfn.XLOOKUP(A1564,'BASE SQL PLANTIO'!B:B,'BASE SQL PLANTIO'!T:T,"verificar",0),"")</f>
        <v/>
      </c>
      <c r="I1564" s="77" t="str">
        <f>IF(_xlfn.MINIFS('BASE SQL PLANTIO'!E:E,'BASE SQL PLANTIO'!B:B,VOOS!A1564)=0/1/1900,"",_xlfn.MINIFS('BASE SQL PLANTIO'!E:E,'BASE SQL PLANTIO'!B:B,VOOS!A1564))</f>
        <v/>
      </c>
      <c r="J1564" s="26"/>
      <c r="K1564" s="34" t="str">
        <f t="shared" si="73"/>
        <v/>
      </c>
      <c r="L1564" s="35" t="str">
        <f t="shared" si="74"/>
        <v/>
      </c>
      <c r="M1564" s="14"/>
      <c r="N1564" s="16"/>
    </row>
    <row r="1565" spans="1:14" ht="15.6" x14ac:dyDescent="0.3">
      <c r="A1565" s="13" t="str">
        <f t="shared" si="72"/>
        <v>-</v>
      </c>
      <c r="B1565" s="25"/>
      <c r="C1565" s="25"/>
      <c r="D1565" s="25"/>
      <c r="E1565" s="25"/>
      <c r="F1565" s="31"/>
      <c r="G1565" s="34">
        <f>SUMIFS('BASE EXEC. Q.L'!N:N,'BASE EXEC. Q.L'!B:B,VOOS!A1565)</f>
        <v>0</v>
      </c>
      <c r="H1565" s="15" t="str">
        <f>IFERROR(_xlfn.XLOOKUP(A1565,'BASE SQL PLANTIO'!B:B,'BASE SQL PLANTIO'!T:T,"verificar",0),"")</f>
        <v/>
      </c>
      <c r="I1565" s="77" t="str">
        <f>IF(_xlfn.MINIFS('BASE SQL PLANTIO'!E:E,'BASE SQL PLANTIO'!B:B,VOOS!A1565)=0/1/1900,"",_xlfn.MINIFS('BASE SQL PLANTIO'!E:E,'BASE SQL PLANTIO'!B:B,VOOS!A1565))</f>
        <v/>
      </c>
      <c r="J1565" s="26"/>
      <c r="K1565" s="34" t="str">
        <f t="shared" si="73"/>
        <v/>
      </c>
      <c r="L1565" s="35" t="str">
        <f t="shared" si="74"/>
        <v/>
      </c>
      <c r="M1565" s="14"/>
      <c r="N1565" s="16"/>
    </row>
    <row r="1566" spans="1:14" ht="15.6" x14ac:dyDescent="0.3">
      <c r="A1566" s="13" t="str">
        <f t="shared" si="72"/>
        <v>-</v>
      </c>
      <c r="B1566" s="27"/>
      <c r="C1566" s="26"/>
      <c r="D1566" s="26"/>
      <c r="E1566" s="26"/>
      <c r="F1566" s="26"/>
      <c r="G1566" s="34">
        <f>SUMIFS('BASE EXEC. Q.L'!N:N,'BASE EXEC. Q.L'!B:B,VOOS!A1566)</f>
        <v>0</v>
      </c>
      <c r="H1566" s="15" t="str">
        <f>IFERROR(_xlfn.XLOOKUP(A1566,'BASE SQL PLANTIO'!B:B,'BASE SQL PLANTIO'!T:T,"verificar",0),"")</f>
        <v/>
      </c>
      <c r="I1566" s="77" t="str">
        <f>IF(_xlfn.MINIFS('BASE SQL PLANTIO'!E:E,'BASE SQL PLANTIO'!B:B,VOOS!A1566)=0/1/1900,"",_xlfn.MINIFS('BASE SQL PLANTIO'!E:E,'BASE SQL PLANTIO'!B:B,VOOS!A1566))</f>
        <v/>
      </c>
      <c r="J1566" s="26"/>
      <c r="K1566" s="34" t="str">
        <f t="shared" si="73"/>
        <v/>
      </c>
      <c r="L1566" s="35" t="str">
        <f t="shared" si="74"/>
        <v/>
      </c>
      <c r="M1566" s="14"/>
      <c r="N1566" s="15"/>
    </row>
    <row r="1567" spans="1:14" ht="15.6" x14ac:dyDescent="0.3">
      <c r="A1567" s="13" t="str">
        <f t="shared" si="72"/>
        <v>-</v>
      </c>
      <c r="B1567" s="27"/>
      <c r="C1567" s="26"/>
      <c r="D1567" s="26"/>
      <c r="E1567" s="26"/>
      <c r="F1567" s="26"/>
      <c r="G1567" s="34">
        <f>SUMIFS('BASE EXEC. Q.L'!N:N,'BASE EXEC. Q.L'!B:B,VOOS!A1567)</f>
        <v>0</v>
      </c>
      <c r="H1567" s="15" t="str">
        <f>IFERROR(_xlfn.XLOOKUP(A1567,'BASE SQL PLANTIO'!B:B,'BASE SQL PLANTIO'!T:T,"verificar",0),"")</f>
        <v/>
      </c>
      <c r="I1567" s="77" t="str">
        <f>IF(_xlfn.MINIFS('BASE SQL PLANTIO'!E:E,'BASE SQL PLANTIO'!B:B,VOOS!A1567)=0/1/1900,"",_xlfn.MINIFS('BASE SQL PLANTIO'!E:E,'BASE SQL PLANTIO'!B:B,VOOS!A1567))</f>
        <v/>
      </c>
      <c r="J1567" s="26"/>
      <c r="K1567" s="34" t="str">
        <f t="shared" si="73"/>
        <v/>
      </c>
      <c r="L1567" s="35" t="str">
        <f t="shared" si="74"/>
        <v/>
      </c>
      <c r="M1567" s="14"/>
      <c r="N1567" s="16"/>
    </row>
    <row r="1568" spans="1:14" ht="15.6" x14ac:dyDescent="0.3">
      <c r="A1568" s="13" t="str">
        <f t="shared" si="72"/>
        <v>-</v>
      </c>
      <c r="B1568" s="25"/>
      <c r="C1568" s="25"/>
      <c r="D1568" s="25"/>
      <c r="E1568" s="25"/>
      <c r="F1568" s="31"/>
      <c r="G1568" s="34">
        <f>SUMIFS('BASE EXEC. Q.L'!N:N,'BASE EXEC. Q.L'!B:B,VOOS!A1568)</f>
        <v>0</v>
      </c>
      <c r="H1568" s="15" t="str">
        <f>IFERROR(_xlfn.XLOOKUP(A1568,'BASE SQL PLANTIO'!B:B,'BASE SQL PLANTIO'!T:T,"verificar",0),"")</f>
        <v/>
      </c>
      <c r="I1568" s="77" t="str">
        <f>IF(_xlfn.MINIFS('BASE SQL PLANTIO'!E:E,'BASE SQL PLANTIO'!B:B,VOOS!A1568)=0/1/1900,"",_xlfn.MINIFS('BASE SQL PLANTIO'!E:E,'BASE SQL PLANTIO'!B:B,VOOS!A1568))</f>
        <v/>
      </c>
      <c r="J1568" s="26"/>
      <c r="K1568" s="34" t="str">
        <f t="shared" si="73"/>
        <v/>
      </c>
      <c r="L1568" s="35" t="str">
        <f t="shared" si="74"/>
        <v/>
      </c>
      <c r="M1568" s="14"/>
      <c r="N1568" s="16"/>
    </row>
    <row r="1569" spans="1:14" ht="15.6" x14ac:dyDescent="0.3">
      <c r="A1569" s="13" t="str">
        <f t="shared" si="72"/>
        <v>-</v>
      </c>
      <c r="B1569" s="25"/>
      <c r="C1569" s="25"/>
      <c r="D1569" s="25"/>
      <c r="E1569" s="25"/>
      <c r="F1569" s="26"/>
      <c r="G1569" s="34">
        <f>SUMIFS('BASE EXEC. Q.L'!N:N,'BASE EXEC. Q.L'!B:B,VOOS!A1569)</f>
        <v>0</v>
      </c>
      <c r="H1569" s="15" t="str">
        <f>IFERROR(_xlfn.XLOOKUP(A1569,'BASE SQL PLANTIO'!B:B,'BASE SQL PLANTIO'!T:T,"verificar",0),"")</f>
        <v/>
      </c>
      <c r="I1569" s="77" t="str">
        <f>IF(_xlfn.MINIFS('BASE SQL PLANTIO'!E:E,'BASE SQL PLANTIO'!B:B,VOOS!A1569)=0/1/1900,"",_xlfn.MINIFS('BASE SQL PLANTIO'!E:E,'BASE SQL PLANTIO'!B:B,VOOS!A1569))</f>
        <v/>
      </c>
      <c r="J1569" s="26"/>
      <c r="K1569" s="34" t="str">
        <f t="shared" si="73"/>
        <v/>
      </c>
      <c r="L1569" s="35" t="str">
        <f t="shared" si="74"/>
        <v/>
      </c>
      <c r="M1569" s="14"/>
      <c r="N1569" s="16"/>
    </row>
    <row r="1570" spans="1:14" ht="15.6" x14ac:dyDescent="0.3">
      <c r="A1570" s="13" t="str">
        <f t="shared" si="72"/>
        <v>-</v>
      </c>
      <c r="B1570" s="27"/>
      <c r="C1570" s="26"/>
      <c r="D1570" s="26"/>
      <c r="E1570" s="26"/>
      <c r="F1570" s="26"/>
      <c r="G1570" s="34">
        <f>SUMIFS('BASE EXEC. Q.L'!N:N,'BASE EXEC. Q.L'!B:B,VOOS!A1570)</f>
        <v>0</v>
      </c>
      <c r="H1570" s="15" t="str">
        <f>IFERROR(_xlfn.XLOOKUP(A1570,'BASE SQL PLANTIO'!B:B,'BASE SQL PLANTIO'!T:T,"verificar",0),"")</f>
        <v/>
      </c>
      <c r="I1570" s="77" t="str">
        <f>IF(_xlfn.MINIFS('BASE SQL PLANTIO'!E:E,'BASE SQL PLANTIO'!B:B,VOOS!A1570)=0/1/1900,"",_xlfn.MINIFS('BASE SQL PLANTIO'!E:E,'BASE SQL PLANTIO'!B:B,VOOS!A1570))</f>
        <v/>
      </c>
      <c r="J1570" s="26"/>
      <c r="K1570" s="34" t="str">
        <f t="shared" si="73"/>
        <v/>
      </c>
      <c r="L1570" s="35" t="str">
        <f t="shared" si="74"/>
        <v/>
      </c>
      <c r="M1570" s="14"/>
      <c r="N1570" s="16"/>
    </row>
    <row r="1571" spans="1:14" ht="15.6" x14ac:dyDescent="0.3">
      <c r="A1571" s="13" t="str">
        <f t="shared" si="72"/>
        <v>-</v>
      </c>
      <c r="B1571" s="27"/>
      <c r="C1571" s="26"/>
      <c r="D1571" s="26"/>
      <c r="E1571" s="26"/>
      <c r="F1571" s="26"/>
      <c r="G1571" s="34">
        <f>SUMIFS('BASE EXEC. Q.L'!N:N,'BASE EXEC. Q.L'!B:B,VOOS!A1571)</f>
        <v>0</v>
      </c>
      <c r="H1571" s="15" t="str">
        <f>IFERROR(_xlfn.XLOOKUP(A1571,'BASE SQL PLANTIO'!B:B,'BASE SQL PLANTIO'!T:T,"verificar",0),"")</f>
        <v/>
      </c>
      <c r="I1571" s="77" t="str">
        <f>IF(_xlfn.MINIFS('BASE SQL PLANTIO'!E:E,'BASE SQL PLANTIO'!B:B,VOOS!A1571)=0/1/1900,"",_xlfn.MINIFS('BASE SQL PLANTIO'!E:E,'BASE SQL PLANTIO'!B:B,VOOS!A1571))</f>
        <v/>
      </c>
      <c r="J1571" s="26"/>
      <c r="K1571" s="34" t="str">
        <f t="shared" si="73"/>
        <v/>
      </c>
      <c r="L1571" s="35" t="str">
        <f t="shared" si="74"/>
        <v/>
      </c>
      <c r="M1571" s="14"/>
      <c r="N1571" s="15"/>
    </row>
    <row r="1572" spans="1:14" ht="15.6" x14ac:dyDescent="0.3">
      <c r="A1572" s="13" t="str">
        <f t="shared" si="72"/>
        <v>-</v>
      </c>
      <c r="B1572" s="27"/>
      <c r="C1572" s="26"/>
      <c r="D1572" s="26"/>
      <c r="E1572" s="26"/>
      <c r="F1572" s="26"/>
      <c r="G1572" s="34">
        <f>SUMIFS('BASE EXEC. Q.L'!N:N,'BASE EXEC. Q.L'!B:B,VOOS!A1572)</f>
        <v>0</v>
      </c>
      <c r="H1572" s="15" t="str">
        <f>IFERROR(_xlfn.XLOOKUP(A1572,'BASE SQL PLANTIO'!B:B,'BASE SQL PLANTIO'!T:T,"verificar",0),"")</f>
        <v/>
      </c>
      <c r="I1572" s="77" t="str">
        <f>IF(_xlfn.MINIFS('BASE SQL PLANTIO'!E:E,'BASE SQL PLANTIO'!B:B,VOOS!A1572)=0/1/1900,"",_xlfn.MINIFS('BASE SQL PLANTIO'!E:E,'BASE SQL PLANTIO'!B:B,VOOS!A1572))</f>
        <v/>
      </c>
      <c r="J1572" s="26"/>
      <c r="K1572" s="34" t="str">
        <f t="shared" si="73"/>
        <v/>
      </c>
      <c r="L1572" s="35" t="str">
        <f t="shared" si="74"/>
        <v/>
      </c>
      <c r="M1572" s="14"/>
      <c r="N1572" s="16"/>
    </row>
    <row r="1573" spans="1:14" ht="15.6" x14ac:dyDescent="0.3">
      <c r="A1573" s="13" t="str">
        <f t="shared" si="72"/>
        <v>-</v>
      </c>
      <c r="B1573" s="27"/>
      <c r="C1573" s="26"/>
      <c r="D1573" s="26"/>
      <c r="E1573" s="26"/>
      <c r="F1573" s="26"/>
      <c r="G1573" s="34">
        <f>SUMIFS('BASE EXEC. Q.L'!N:N,'BASE EXEC. Q.L'!B:B,VOOS!A1573)</f>
        <v>0</v>
      </c>
      <c r="H1573" s="15" t="str">
        <f>IFERROR(_xlfn.XLOOKUP(A1573,'BASE SQL PLANTIO'!B:B,'BASE SQL PLANTIO'!T:T,"verificar",0),"")</f>
        <v/>
      </c>
      <c r="I1573" s="77" t="str">
        <f>IF(_xlfn.MINIFS('BASE SQL PLANTIO'!E:E,'BASE SQL PLANTIO'!B:B,VOOS!A1573)=0/1/1900,"",_xlfn.MINIFS('BASE SQL PLANTIO'!E:E,'BASE SQL PLANTIO'!B:B,VOOS!A1573))</f>
        <v/>
      </c>
      <c r="J1573" s="26"/>
      <c r="K1573" s="34" t="str">
        <f t="shared" si="73"/>
        <v/>
      </c>
      <c r="L1573" s="35" t="str">
        <f t="shared" si="74"/>
        <v/>
      </c>
      <c r="M1573" s="14"/>
      <c r="N1573" s="16"/>
    </row>
    <row r="1574" spans="1:14" ht="15.6" x14ac:dyDescent="0.3">
      <c r="A1574" s="13" t="str">
        <f t="shared" si="72"/>
        <v>-</v>
      </c>
      <c r="B1574" s="27"/>
      <c r="C1574" s="26"/>
      <c r="D1574" s="26"/>
      <c r="E1574" s="26"/>
      <c r="F1574" s="26"/>
      <c r="G1574" s="34">
        <f>SUMIFS('BASE EXEC. Q.L'!N:N,'BASE EXEC. Q.L'!B:B,VOOS!A1574)</f>
        <v>0</v>
      </c>
      <c r="H1574" s="15" t="str">
        <f>IFERROR(_xlfn.XLOOKUP(A1574,'BASE SQL PLANTIO'!B:B,'BASE SQL PLANTIO'!T:T,"verificar",0),"")</f>
        <v/>
      </c>
      <c r="I1574" s="77" t="str">
        <f>IF(_xlfn.MINIFS('BASE SQL PLANTIO'!E:E,'BASE SQL PLANTIO'!B:B,VOOS!A1574)=0/1/1900,"",_xlfn.MINIFS('BASE SQL PLANTIO'!E:E,'BASE SQL PLANTIO'!B:B,VOOS!A1574))</f>
        <v/>
      </c>
      <c r="J1574" s="26"/>
      <c r="K1574" s="34" t="str">
        <f t="shared" si="73"/>
        <v/>
      </c>
      <c r="L1574" s="35" t="str">
        <f t="shared" si="74"/>
        <v/>
      </c>
      <c r="M1574" s="14"/>
      <c r="N1574" s="16"/>
    </row>
    <row r="1575" spans="1:14" ht="15.6" x14ac:dyDescent="0.3">
      <c r="A1575" s="13" t="str">
        <f t="shared" si="72"/>
        <v>-</v>
      </c>
      <c r="B1575" s="27"/>
      <c r="C1575" s="26"/>
      <c r="D1575" s="26"/>
      <c r="E1575" s="26"/>
      <c r="F1575" s="26"/>
      <c r="G1575" s="34">
        <f>SUMIFS('BASE EXEC. Q.L'!N:N,'BASE EXEC. Q.L'!B:B,VOOS!A1575)</f>
        <v>0</v>
      </c>
      <c r="H1575" s="15" t="str">
        <f>IFERROR(_xlfn.XLOOKUP(A1575,'BASE SQL PLANTIO'!B:B,'BASE SQL PLANTIO'!T:T,"verificar",0),"")</f>
        <v/>
      </c>
      <c r="I1575" s="77" t="str">
        <f>IF(_xlfn.MINIFS('BASE SQL PLANTIO'!E:E,'BASE SQL PLANTIO'!B:B,VOOS!A1575)=0/1/1900,"",_xlfn.MINIFS('BASE SQL PLANTIO'!E:E,'BASE SQL PLANTIO'!B:B,VOOS!A1575))</f>
        <v/>
      </c>
      <c r="J1575" s="26"/>
      <c r="K1575" s="34" t="str">
        <f t="shared" si="73"/>
        <v/>
      </c>
      <c r="L1575" s="35" t="str">
        <f t="shared" si="74"/>
        <v/>
      </c>
      <c r="M1575" s="14"/>
      <c r="N1575" s="16"/>
    </row>
    <row r="1576" spans="1:14" ht="15.6" x14ac:dyDescent="0.3">
      <c r="A1576" s="13" t="str">
        <f t="shared" si="72"/>
        <v>-</v>
      </c>
      <c r="B1576" s="27"/>
      <c r="C1576" s="26"/>
      <c r="D1576" s="26"/>
      <c r="E1576" s="26"/>
      <c r="F1576" s="26"/>
      <c r="G1576" s="34">
        <f>SUMIFS('BASE EXEC. Q.L'!N:N,'BASE EXEC. Q.L'!B:B,VOOS!A1576)</f>
        <v>0</v>
      </c>
      <c r="H1576" s="15" t="str">
        <f>IFERROR(_xlfn.XLOOKUP(A1576,'BASE SQL PLANTIO'!B:B,'BASE SQL PLANTIO'!T:T,"verificar",0),"")</f>
        <v/>
      </c>
      <c r="I1576" s="77" t="str">
        <f>IF(_xlfn.MINIFS('BASE SQL PLANTIO'!E:E,'BASE SQL PLANTIO'!B:B,VOOS!A1576)=0/1/1900,"",_xlfn.MINIFS('BASE SQL PLANTIO'!E:E,'BASE SQL PLANTIO'!B:B,VOOS!A1576))</f>
        <v/>
      </c>
      <c r="J1576" s="26"/>
      <c r="K1576" s="34" t="str">
        <f t="shared" si="73"/>
        <v/>
      </c>
      <c r="L1576" s="35" t="str">
        <f t="shared" si="74"/>
        <v/>
      </c>
      <c r="M1576" s="14"/>
      <c r="N1576" s="15"/>
    </row>
    <row r="1577" spans="1:14" ht="15.6" x14ac:dyDescent="0.3">
      <c r="A1577" s="13" t="str">
        <f t="shared" si="72"/>
        <v>-</v>
      </c>
      <c r="B1577" s="27"/>
      <c r="C1577" s="26"/>
      <c r="D1577" s="26"/>
      <c r="E1577" s="26"/>
      <c r="F1577" s="26"/>
      <c r="G1577" s="34">
        <f>SUMIFS('BASE EXEC. Q.L'!N:N,'BASE EXEC. Q.L'!B:B,VOOS!A1577)</f>
        <v>0</v>
      </c>
      <c r="H1577" s="15" t="str">
        <f>IFERROR(_xlfn.XLOOKUP(A1577,'BASE SQL PLANTIO'!B:B,'BASE SQL PLANTIO'!T:T,"verificar",0),"")</f>
        <v/>
      </c>
      <c r="I1577" s="77" t="str">
        <f>IF(_xlfn.MINIFS('BASE SQL PLANTIO'!E:E,'BASE SQL PLANTIO'!B:B,VOOS!A1577)=0/1/1900,"",_xlfn.MINIFS('BASE SQL PLANTIO'!E:E,'BASE SQL PLANTIO'!B:B,VOOS!A1577))</f>
        <v/>
      </c>
      <c r="J1577" s="26"/>
      <c r="K1577" s="34" t="str">
        <f t="shared" si="73"/>
        <v/>
      </c>
      <c r="L1577" s="35" t="str">
        <f t="shared" si="74"/>
        <v/>
      </c>
      <c r="M1577" s="14"/>
      <c r="N1577" s="16"/>
    </row>
    <row r="1578" spans="1:14" ht="15.6" x14ac:dyDescent="0.3">
      <c r="A1578" s="13" t="str">
        <f t="shared" si="72"/>
        <v>-</v>
      </c>
      <c r="B1578" s="27"/>
      <c r="C1578" s="26"/>
      <c r="D1578" s="26"/>
      <c r="E1578" s="26"/>
      <c r="F1578" s="26"/>
      <c r="G1578" s="34">
        <f>SUMIFS('BASE EXEC. Q.L'!N:N,'BASE EXEC. Q.L'!B:B,VOOS!A1578)</f>
        <v>0</v>
      </c>
      <c r="H1578" s="15" t="str">
        <f>IFERROR(_xlfn.XLOOKUP(A1578,'BASE SQL PLANTIO'!B:B,'BASE SQL PLANTIO'!T:T,"verificar",0),"")</f>
        <v/>
      </c>
      <c r="I1578" s="77" t="str">
        <f>IF(_xlfn.MINIFS('BASE SQL PLANTIO'!E:E,'BASE SQL PLANTIO'!B:B,VOOS!A1578)=0/1/1900,"",_xlfn.MINIFS('BASE SQL PLANTIO'!E:E,'BASE SQL PLANTIO'!B:B,VOOS!A1578))</f>
        <v/>
      </c>
      <c r="J1578" s="26"/>
      <c r="K1578" s="34" t="str">
        <f t="shared" si="73"/>
        <v/>
      </c>
      <c r="L1578" s="35" t="str">
        <f t="shared" si="74"/>
        <v/>
      </c>
      <c r="M1578" s="14"/>
      <c r="N1578" s="16"/>
    </row>
    <row r="1579" spans="1:14" ht="15.6" x14ac:dyDescent="0.3">
      <c r="A1579" s="13" t="str">
        <f t="shared" si="72"/>
        <v>-</v>
      </c>
      <c r="B1579" s="27"/>
      <c r="C1579" s="26"/>
      <c r="D1579" s="26"/>
      <c r="E1579" s="26"/>
      <c r="F1579" s="26"/>
      <c r="G1579" s="34">
        <f>SUMIFS('BASE EXEC. Q.L'!N:N,'BASE EXEC. Q.L'!B:B,VOOS!A1579)</f>
        <v>0</v>
      </c>
      <c r="H1579" s="15" t="str">
        <f>IFERROR(_xlfn.XLOOKUP(A1579,'BASE SQL PLANTIO'!B:B,'BASE SQL PLANTIO'!T:T,"verificar",0),"")</f>
        <v/>
      </c>
      <c r="I1579" s="77" t="str">
        <f>IF(_xlfn.MINIFS('BASE SQL PLANTIO'!E:E,'BASE SQL PLANTIO'!B:B,VOOS!A1579)=0/1/1900,"",_xlfn.MINIFS('BASE SQL PLANTIO'!E:E,'BASE SQL PLANTIO'!B:B,VOOS!A1579))</f>
        <v/>
      </c>
      <c r="J1579" s="26"/>
      <c r="K1579" s="34" t="str">
        <f t="shared" si="73"/>
        <v/>
      </c>
      <c r="L1579" s="35" t="str">
        <f t="shared" si="74"/>
        <v/>
      </c>
      <c r="M1579" s="14"/>
      <c r="N1579" s="16"/>
    </row>
    <row r="1580" spans="1:14" ht="15.6" x14ac:dyDescent="0.3">
      <c r="A1580" s="13" t="str">
        <f t="shared" si="72"/>
        <v>-</v>
      </c>
      <c r="B1580" s="25"/>
      <c r="C1580" s="25"/>
      <c r="D1580" s="25"/>
      <c r="E1580" s="25"/>
      <c r="F1580" s="31"/>
      <c r="G1580" s="34">
        <f>SUMIFS('BASE EXEC. Q.L'!N:N,'BASE EXEC. Q.L'!B:B,VOOS!A1580)</f>
        <v>0</v>
      </c>
      <c r="H1580" s="15" t="str">
        <f>IFERROR(_xlfn.XLOOKUP(A1580,'BASE SQL PLANTIO'!B:B,'BASE SQL PLANTIO'!T:T,"verificar",0),"")</f>
        <v/>
      </c>
      <c r="I1580" s="77" t="str">
        <f>IF(_xlfn.MINIFS('BASE SQL PLANTIO'!E:E,'BASE SQL PLANTIO'!B:B,VOOS!A1580)=0/1/1900,"",_xlfn.MINIFS('BASE SQL PLANTIO'!E:E,'BASE SQL PLANTIO'!B:B,VOOS!A1580))</f>
        <v/>
      </c>
      <c r="J1580" s="26"/>
      <c r="K1580" s="34" t="str">
        <f t="shared" si="73"/>
        <v/>
      </c>
      <c r="L1580" s="35" t="str">
        <f t="shared" si="74"/>
        <v/>
      </c>
      <c r="M1580" s="14"/>
      <c r="N1580" s="16"/>
    </row>
    <row r="1581" spans="1:14" ht="15.6" x14ac:dyDescent="0.3">
      <c r="A1581" s="13" t="str">
        <f t="shared" si="72"/>
        <v>-</v>
      </c>
      <c r="B1581" s="25"/>
      <c r="C1581" s="25"/>
      <c r="D1581" s="25"/>
      <c r="E1581" s="25"/>
      <c r="F1581" s="31"/>
      <c r="G1581" s="34">
        <f>SUMIFS('BASE EXEC. Q.L'!N:N,'BASE EXEC. Q.L'!B:B,VOOS!A1581)</f>
        <v>0</v>
      </c>
      <c r="H1581" s="15" t="str">
        <f>IFERROR(_xlfn.XLOOKUP(A1581,'BASE SQL PLANTIO'!B:B,'BASE SQL PLANTIO'!T:T,"verificar",0),"")</f>
        <v/>
      </c>
      <c r="I1581" s="77" t="str">
        <f>IF(_xlfn.MINIFS('BASE SQL PLANTIO'!E:E,'BASE SQL PLANTIO'!B:B,VOOS!A1581)=0/1/1900,"",_xlfn.MINIFS('BASE SQL PLANTIO'!E:E,'BASE SQL PLANTIO'!B:B,VOOS!A1581))</f>
        <v/>
      </c>
      <c r="J1581" s="26"/>
      <c r="K1581" s="34" t="str">
        <f t="shared" si="73"/>
        <v/>
      </c>
      <c r="L1581" s="35" t="str">
        <f t="shared" si="74"/>
        <v/>
      </c>
      <c r="M1581" s="14"/>
      <c r="N1581" s="15"/>
    </row>
    <row r="1582" spans="1:14" ht="15.6" x14ac:dyDescent="0.3">
      <c r="A1582" s="13" t="str">
        <f t="shared" si="72"/>
        <v>-</v>
      </c>
      <c r="B1582" s="25"/>
      <c r="C1582" s="25"/>
      <c r="D1582" s="25"/>
      <c r="E1582" s="25"/>
      <c r="F1582" s="31"/>
      <c r="G1582" s="34">
        <f>SUMIFS('BASE EXEC. Q.L'!N:N,'BASE EXEC. Q.L'!B:B,VOOS!A1582)</f>
        <v>0</v>
      </c>
      <c r="H1582" s="15" t="str">
        <f>IFERROR(_xlfn.XLOOKUP(A1582,'BASE SQL PLANTIO'!B:B,'BASE SQL PLANTIO'!T:T,"verificar",0),"")</f>
        <v/>
      </c>
      <c r="I1582" s="77" t="str">
        <f>IF(_xlfn.MINIFS('BASE SQL PLANTIO'!E:E,'BASE SQL PLANTIO'!B:B,VOOS!A1582)=0/1/1900,"",_xlfn.MINIFS('BASE SQL PLANTIO'!E:E,'BASE SQL PLANTIO'!B:B,VOOS!A1582))</f>
        <v/>
      </c>
      <c r="J1582" s="26"/>
      <c r="K1582" s="34" t="str">
        <f t="shared" si="73"/>
        <v/>
      </c>
      <c r="L1582" s="35" t="str">
        <f t="shared" si="74"/>
        <v/>
      </c>
      <c r="M1582" s="14"/>
      <c r="N1582" s="16"/>
    </row>
    <row r="1583" spans="1:14" ht="15.6" x14ac:dyDescent="0.3">
      <c r="A1583" s="13" t="str">
        <f t="shared" si="72"/>
        <v>-</v>
      </c>
      <c r="B1583" s="27"/>
      <c r="C1583" s="26"/>
      <c r="D1583" s="26"/>
      <c r="E1583" s="26"/>
      <c r="F1583" s="26"/>
      <c r="G1583" s="34">
        <f>SUMIFS('BASE EXEC. Q.L'!N:N,'BASE EXEC. Q.L'!B:B,VOOS!A1583)</f>
        <v>0</v>
      </c>
      <c r="H1583" s="15" t="str">
        <f>IFERROR(_xlfn.XLOOKUP(A1583,'BASE SQL PLANTIO'!B:B,'BASE SQL PLANTIO'!T:T,"verificar",0),"")</f>
        <v/>
      </c>
      <c r="I1583" s="77" t="str">
        <f>IF(_xlfn.MINIFS('BASE SQL PLANTIO'!E:E,'BASE SQL PLANTIO'!B:B,VOOS!A1583)=0/1/1900,"",_xlfn.MINIFS('BASE SQL PLANTIO'!E:E,'BASE SQL PLANTIO'!B:B,VOOS!A1583))</f>
        <v/>
      </c>
      <c r="J1583" s="26"/>
      <c r="K1583" s="34" t="str">
        <f t="shared" si="73"/>
        <v/>
      </c>
      <c r="L1583" s="35" t="str">
        <f t="shared" si="74"/>
        <v/>
      </c>
      <c r="M1583" s="14"/>
      <c r="N1583" s="16"/>
    </row>
    <row r="1584" spans="1:14" ht="15.6" x14ac:dyDescent="0.3">
      <c r="A1584" s="13" t="str">
        <f t="shared" si="72"/>
        <v>-</v>
      </c>
      <c r="B1584" s="25"/>
      <c r="C1584" s="25"/>
      <c r="D1584" s="25"/>
      <c r="E1584" s="25"/>
      <c r="F1584" s="31"/>
      <c r="G1584" s="34">
        <f>SUMIFS('BASE EXEC. Q.L'!N:N,'BASE EXEC. Q.L'!B:B,VOOS!A1584)</f>
        <v>0</v>
      </c>
      <c r="H1584" s="15" t="str">
        <f>IFERROR(_xlfn.XLOOKUP(A1584,'BASE SQL PLANTIO'!B:B,'BASE SQL PLANTIO'!T:T,"verificar",0),"")</f>
        <v/>
      </c>
      <c r="I1584" s="77" t="str">
        <f>IF(_xlfn.MINIFS('BASE SQL PLANTIO'!E:E,'BASE SQL PLANTIO'!B:B,VOOS!A1584)=0/1/1900,"",_xlfn.MINIFS('BASE SQL PLANTIO'!E:E,'BASE SQL PLANTIO'!B:B,VOOS!A1584))</f>
        <v/>
      </c>
      <c r="J1584" s="26"/>
      <c r="K1584" s="34" t="str">
        <f t="shared" si="73"/>
        <v/>
      </c>
      <c r="L1584" s="35" t="str">
        <f t="shared" si="74"/>
        <v/>
      </c>
      <c r="M1584" s="14"/>
      <c r="N1584" s="16"/>
    </row>
    <row r="1585" spans="1:14" ht="15.6" x14ac:dyDescent="0.3">
      <c r="A1585" s="13" t="str">
        <f t="shared" si="72"/>
        <v>-</v>
      </c>
      <c r="B1585" s="25"/>
      <c r="C1585" s="25"/>
      <c r="D1585" s="25"/>
      <c r="E1585" s="25"/>
      <c r="F1585" s="31"/>
      <c r="G1585" s="34">
        <f>SUMIFS('BASE EXEC. Q.L'!N:N,'BASE EXEC. Q.L'!B:B,VOOS!A1585)</f>
        <v>0</v>
      </c>
      <c r="H1585" s="15" t="str">
        <f>IFERROR(_xlfn.XLOOKUP(A1585,'BASE SQL PLANTIO'!B:B,'BASE SQL PLANTIO'!T:T,"verificar",0),"")</f>
        <v/>
      </c>
      <c r="I1585" s="77" t="str">
        <f>IF(_xlfn.MINIFS('BASE SQL PLANTIO'!E:E,'BASE SQL PLANTIO'!B:B,VOOS!A1585)=0/1/1900,"",_xlfn.MINIFS('BASE SQL PLANTIO'!E:E,'BASE SQL PLANTIO'!B:B,VOOS!A1585))</f>
        <v/>
      </c>
      <c r="J1585" s="26"/>
      <c r="K1585" s="34" t="str">
        <f t="shared" si="73"/>
        <v/>
      </c>
      <c r="L1585" s="35" t="str">
        <f t="shared" si="74"/>
        <v/>
      </c>
      <c r="M1585" s="14"/>
      <c r="N1585" s="16"/>
    </row>
    <row r="1586" spans="1:14" ht="15.6" x14ac:dyDescent="0.3">
      <c r="A1586" s="13" t="str">
        <f t="shared" si="72"/>
        <v>-</v>
      </c>
      <c r="B1586" s="25"/>
      <c r="C1586" s="25"/>
      <c r="D1586" s="25"/>
      <c r="E1586" s="25"/>
      <c r="F1586" s="31"/>
      <c r="G1586" s="34">
        <f>SUMIFS('BASE EXEC. Q.L'!N:N,'BASE EXEC. Q.L'!B:B,VOOS!A1586)</f>
        <v>0</v>
      </c>
      <c r="H1586" s="15" t="str">
        <f>IFERROR(_xlfn.XLOOKUP(A1586,'BASE SQL PLANTIO'!B:B,'BASE SQL PLANTIO'!T:T,"verificar",0),"")</f>
        <v/>
      </c>
      <c r="I1586" s="77" t="str">
        <f>IF(_xlfn.MINIFS('BASE SQL PLANTIO'!E:E,'BASE SQL PLANTIO'!B:B,VOOS!A1586)=0/1/1900,"",_xlfn.MINIFS('BASE SQL PLANTIO'!E:E,'BASE SQL PLANTIO'!B:B,VOOS!A1586))</f>
        <v/>
      </c>
      <c r="J1586" s="26"/>
      <c r="K1586" s="34" t="str">
        <f t="shared" si="73"/>
        <v/>
      </c>
      <c r="L1586" s="35" t="str">
        <f t="shared" si="74"/>
        <v/>
      </c>
      <c r="M1586" s="14"/>
      <c r="N1586" s="15"/>
    </row>
    <row r="1587" spans="1:14" ht="15.6" x14ac:dyDescent="0.3">
      <c r="A1587" s="13" t="str">
        <f t="shared" si="72"/>
        <v>-</v>
      </c>
      <c r="B1587" s="27"/>
      <c r="C1587" s="26"/>
      <c r="D1587" s="26"/>
      <c r="E1587" s="26"/>
      <c r="F1587" s="26"/>
      <c r="G1587" s="34">
        <f>SUMIFS('BASE EXEC. Q.L'!N:N,'BASE EXEC. Q.L'!B:B,VOOS!A1587)</f>
        <v>0</v>
      </c>
      <c r="H1587" s="15" t="str">
        <f>IFERROR(_xlfn.XLOOKUP(A1587,'BASE SQL PLANTIO'!B:B,'BASE SQL PLANTIO'!T:T,"verificar",0),"")</f>
        <v/>
      </c>
      <c r="I1587" s="77" t="str">
        <f>IF(_xlfn.MINIFS('BASE SQL PLANTIO'!E:E,'BASE SQL PLANTIO'!B:B,VOOS!A1587)=0/1/1900,"",_xlfn.MINIFS('BASE SQL PLANTIO'!E:E,'BASE SQL PLANTIO'!B:B,VOOS!A1587))</f>
        <v/>
      </c>
      <c r="J1587" s="26"/>
      <c r="K1587" s="34" t="str">
        <f t="shared" si="73"/>
        <v/>
      </c>
      <c r="L1587" s="35" t="str">
        <f t="shared" si="74"/>
        <v/>
      </c>
      <c r="M1587" s="14"/>
      <c r="N1587" s="16"/>
    </row>
    <row r="1588" spans="1:14" ht="15.6" x14ac:dyDescent="0.3">
      <c r="A1588" s="13" t="str">
        <f t="shared" si="72"/>
        <v>-</v>
      </c>
      <c r="B1588" s="27"/>
      <c r="C1588" s="26"/>
      <c r="D1588" s="26"/>
      <c r="E1588" s="26"/>
      <c r="F1588" s="26"/>
      <c r="G1588" s="34">
        <f>SUMIFS('BASE EXEC. Q.L'!N:N,'BASE EXEC. Q.L'!B:B,VOOS!A1588)</f>
        <v>0</v>
      </c>
      <c r="H1588" s="15" t="str">
        <f>IFERROR(_xlfn.XLOOKUP(A1588,'BASE SQL PLANTIO'!B:B,'BASE SQL PLANTIO'!T:T,"verificar",0),"")</f>
        <v/>
      </c>
      <c r="I1588" s="77" t="str">
        <f>IF(_xlfn.MINIFS('BASE SQL PLANTIO'!E:E,'BASE SQL PLANTIO'!B:B,VOOS!A1588)=0/1/1900,"",_xlfn.MINIFS('BASE SQL PLANTIO'!E:E,'BASE SQL PLANTIO'!B:B,VOOS!A1588))</f>
        <v/>
      </c>
      <c r="J1588" s="26"/>
      <c r="K1588" s="34" t="str">
        <f t="shared" si="73"/>
        <v/>
      </c>
      <c r="L1588" s="35" t="str">
        <f t="shared" si="74"/>
        <v/>
      </c>
      <c r="M1588" s="14"/>
      <c r="N1588" s="16"/>
    </row>
    <row r="1589" spans="1:14" ht="15.6" x14ac:dyDescent="0.3">
      <c r="A1589" s="13" t="str">
        <f t="shared" si="72"/>
        <v>-</v>
      </c>
      <c r="B1589" s="25"/>
      <c r="C1589" s="25"/>
      <c r="D1589" s="25"/>
      <c r="E1589" s="25"/>
      <c r="F1589" s="31"/>
      <c r="G1589" s="34">
        <f>SUMIFS('BASE EXEC. Q.L'!N:N,'BASE EXEC. Q.L'!B:B,VOOS!A1589)</f>
        <v>0</v>
      </c>
      <c r="H1589" s="15" t="str">
        <f>IFERROR(_xlfn.XLOOKUP(A1589,'BASE SQL PLANTIO'!B:B,'BASE SQL PLANTIO'!T:T,"verificar",0),"")</f>
        <v/>
      </c>
      <c r="I1589" s="77" t="str">
        <f>IF(_xlfn.MINIFS('BASE SQL PLANTIO'!E:E,'BASE SQL PLANTIO'!B:B,VOOS!A1589)=0/1/1900,"",_xlfn.MINIFS('BASE SQL PLANTIO'!E:E,'BASE SQL PLANTIO'!B:B,VOOS!A1589))</f>
        <v/>
      </c>
      <c r="J1589" s="26"/>
      <c r="K1589" s="34" t="str">
        <f t="shared" si="73"/>
        <v/>
      </c>
      <c r="L1589" s="35" t="str">
        <f t="shared" si="74"/>
        <v/>
      </c>
      <c r="M1589" s="14"/>
      <c r="N1589" s="16"/>
    </row>
    <row r="1590" spans="1:14" ht="15.6" x14ac:dyDescent="0.3">
      <c r="A1590" s="13" t="str">
        <f t="shared" si="72"/>
        <v>-</v>
      </c>
      <c r="B1590" s="25"/>
      <c r="C1590" s="25"/>
      <c r="D1590" s="25"/>
      <c r="E1590" s="25"/>
      <c r="F1590" s="31"/>
      <c r="G1590" s="34">
        <f>SUMIFS('BASE EXEC. Q.L'!N:N,'BASE EXEC. Q.L'!B:B,VOOS!A1590)</f>
        <v>0</v>
      </c>
      <c r="H1590" s="15" t="str">
        <f>IFERROR(_xlfn.XLOOKUP(A1590,'BASE SQL PLANTIO'!B:B,'BASE SQL PLANTIO'!T:T,"verificar",0),"")</f>
        <v/>
      </c>
      <c r="I1590" s="77" t="str">
        <f>IF(_xlfn.MINIFS('BASE SQL PLANTIO'!E:E,'BASE SQL PLANTIO'!B:B,VOOS!A1590)=0/1/1900,"",_xlfn.MINIFS('BASE SQL PLANTIO'!E:E,'BASE SQL PLANTIO'!B:B,VOOS!A1590))</f>
        <v/>
      </c>
      <c r="J1590" s="26"/>
      <c r="K1590" s="34" t="str">
        <f t="shared" si="73"/>
        <v/>
      </c>
      <c r="L1590" s="35" t="str">
        <f t="shared" si="74"/>
        <v/>
      </c>
      <c r="M1590" s="14"/>
      <c r="N1590" s="16"/>
    </row>
    <row r="1591" spans="1:14" ht="15.6" x14ac:dyDescent="0.3">
      <c r="A1591" s="13" t="str">
        <f t="shared" si="72"/>
        <v>-</v>
      </c>
      <c r="B1591" s="25"/>
      <c r="C1591" s="25"/>
      <c r="D1591" s="25"/>
      <c r="E1591" s="25"/>
      <c r="F1591" s="31"/>
      <c r="G1591" s="34">
        <f>SUMIFS('BASE EXEC. Q.L'!N:N,'BASE EXEC. Q.L'!B:B,VOOS!A1591)</f>
        <v>0</v>
      </c>
      <c r="H1591" s="15" t="str">
        <f>IFERROR(_xlfn.XLOOKUP(A1591,'BASE SQL PLANTIO'!B:B,'BASE SQL PLANTIO'!T:T,"verificar",0),"")</f>
        <v/>
      </c>
      <c r="I1591" s="77" t="str">
        <f>IF(_xlfn.MINIFS('BASE SQL PLANTIO'!E:E,'BASE SQL PLANTIO'!B:B,VOOS!A1591)=0/1/1900,"",_xlfn.MINIFS('BASE SQL PLANTIO'!E:E,'BASE SQL PLANTIO'!B:B,VOOS!A1591))</f>
        <v/>
      </c>
      <c r="J1591" s="26"/>
      <c r="K1591" s="34" t="str">
        <f t="shared" si="73"/>
        <v/>
      </c>
      <c r="L1591" s="35" t="str">
        <f t="shared" si="74"/>
        <v/>
      </c>
      <c r="M1591" s="14"/>
      <c r="N1591" s="15"/>
    </row>
    <row r="1592" spans="1:14" ht="15.6" x14ac:dyDescent="0.3">
      <c r="A1592" s="13" t="str">
        <f t="shared" si="72"/>
        <v>-</v>
      </c>
      <c r="B1592" s="27"/>
      <c r="C1592" s="26"/>
      <c r="D1592" s="26"/>
      <c r="E1592" s="26"/>
      <c r="F1592" s="26"/>
      <c r="G1592" s="34">
        <f>SUMIFS('BASE EXEC. Q.L'!N:N,'BASE EXEC. Q.L'!B:B,VOOS!A1592)</f>
        <v>0</v>
      </c>
      <c r="H1592" s="15" t="str">
        <f>IFERROR(_xlfn.XLOOKUP(A1592,'BASE SQL PLANTIO'!B:B,'BASE SQL PLANTIO'!T:T,"verificar",0),"")</f>
        <v/>
      </c>
      <c r="I1592" s="77" t="str">
        <f>IF(_xlfn.MINIFS('BASE SQL PLANTIO'!E:E,'BASE SQL PLANTIO'!B:B,VOOS!A1592)=0/1/1900,"",_xlfn.MINIFS('BASE SQL PLANTIO'!E:E,'BASE SQL PLANTIO'!B:B,VOOS!A1592))</f>
        <v/>
      </c>
      <c r="J1592" s="26"/>
      <c r="K1592" s="34" t="str">
        <f t="shared" si="73"/>
        <v/>
      </c>
      <c r="L1592" s="35" t="str">
        <f t="shared" si="74"/>
        <v/>
      </c>
      <c r="M1592" s="14"/>
      <c r="N1592" s="16"/>
    </row>
    <row r="1593" spans="1:14" ht="15.6" x14ac:dyDescent="0.3">
      <c r="A1593" s="13" t="str">
        <f t="shared" si="72"/>
        <v>-</v>
      </c>
      <c r="B1593" s="27"/>
      <c r="C1593" s="26"/>
      <c r="D1593" s="26"/>
      <c r="E1593" s="26"/>
      <c r="F1593" s="26"/>
      <c r="G1593" s="34">
        <f>SUMIFS('BASE EXEC. Q.L'!N:N,'BASE EXEC. Q.L'!B:B,VOOS!A1593)</f>
        <v>0</v>
      </c>
      <c r="H1593" s="15" t="str">
        <f>IFERROR(_xlfn.XLOOKUP(A1593,'BASE SQL PLANTIO'!B:B,'BASE SQL PLANTIO'!T:T,"verificar",0),"")</f>
        <v/>
      </c>
      <c r="I1593" s="77" t="str">
        <f>IF(_xlfn.MINIFS('BASE SQL PLANTIO'!E:E,'BASE SQL PLANTIO'!B:B,VOOS!A1593)=0/1/1900,"",_xlfn.MINIFS('BASE SQL PLANTIO'!E:E,'BASE SQL PLANTIO'!B:B,VOOS!A1593))</f>
        <v/>
      </c>
      <c r="J1593" s="26"/>
      <c r="K1593" s="34" t="str">
        <f t="shared" si="73"/>
        <v/>
      </c>
      <c r="L1593" s="35" t="str">
        <f t="shared" si="74"/>
        <v/>
      </c>
      <c r="M1593" s="14"/>
      <c r="N1593" s="16"/>
    </row>
    <row r="1594" spans="1:14" ht="15.6" x14ac:dyDescent="0.3">
      <c r="A1594" s="13" t="str">
        <f t="shared" si="72"/>
        <v>-</v>
      </c>
      <c r="B1594" s="25"/>
      <c r="C1594" s="25"/>
      <c r="D1594" s="25"/>
      <c r="E1594" s="25"/>
      <c r="F1594" s="31"/>
      <c r="G1594" s="34">
        <f>SUMIFS('BASE EXEC. Q.L'!N:N,'BASE EXEC. Q.L'!B:B,VOOS!A1594)</f>
        <v>0</v>
      </c>
      <c r="H1594" s="15" t="str">
        <f>IFERROR(_xlfn.XLOOKUP(A1594,'BASE SQL PLANTIO'!B:B,'BASE SQL PLANTIO'!T:T,"verificar",0),"")</f>
        <v/>
      </c>
      <c r="I1594" s="77" t="str">
        <f>IF(_xlfn.MINIFS('BASE SQL PLANTIO'!E:E,'BASE SQL PLANTIO'!B:B,VOOS!A1594)=0/1/1900,"",_xlfn.MINIFS('BASE SQL PLANTIO'!E:E,'BASE SQL PLANTIO'!B:B,VOOS!A1594))</f>
        <v/>
      </c>
      <c r="J1594" s="26"/>
      <c r="K1594" s="34" t="str">
        <f t="shared" si="73"/>
        <v/>
      </c>
      <c r="L1594" s="35" t="str">
        <f t="shared" si="74"/>
        <v/>
      </c>
      <c r="M1594" s="14"/>
      <c r="N1594" s="16"/>
    </row>
    <row r="1595" spans="1:14" ht="15.6" x14ac:dyDescent="0.3">
      <c r="A1595" s="13" t="str">
        <f t="shared" si="72"/>
        <v>-</v>
      </c>
      <c r="B1595" s="25"/>
      <c r="C1595" s="25"/>
      <c r="D1595" s="25"/>
      <c r="E1595" s="25"/>
      <c r="F1595" s="31"/>
      <c r="G1595" s="34">
        <f>SUMIFS('BASE EXEC. Q.L'!N:N,'BASE EXEC. Q.L'!B:B,VOOS!A1595)</f>
        <v>0</v>
      </c>
      <c r="H1595" s="15" t="str">
        <f>IFERROR(_xlfn.XLOOKUP(A1595,'BASE SQL PLANTIO'!B:B,'BASE SQL PLANTIO'!T:T,"verificar",0),"")</f>
        <v/>
      </c>
      <c r="I1595" s="77" t="str">
        <f>IF(_xlfn.MINIFS('BASE SQL PLANTIO'!E:E,'BASE SQL PLANTIO'!B:B,VOOS!A1595)=0/1/1900,"",_xlfn.MINIFS('BASE SQL PLANTIO'!E:E,'BASE SQL PLANTIO'!B:B,VOOS!A1595))</f>
        <v/>
      </c>
      <c r="J1595" s="26"/>
      <c r="K1595" s="34" t="str">
        <f t="shared" si="73"/>
        <v/>
      </c>
      <c r="L1595" s="35" t="str">
        <f t="shared" si="74"/>
        <v/>
      </c>
      <c r="M1595" s="14"/>
      <c r="N1595" s="16"/>
    </row>
    <row r="1596" spans="1:14" ht="15.6" x14ac:dyDescent="0.3">
      <c r="A1596" s="13" t="str">
        <f t="shared" si="72"/>
        <v>-</v>
      </c>
      <c r="B1596" s="25"/>
      <c r="C1596" s="25"/>
      <c r="D1596" s="25"/>
      <c r="E1596" s="25"/>
      <c r="F1596" s="31"/>
      <c r="G1596" s="34">
        <f>SUMIFS('BASE EXEC. Q.L'!N:N,'BASE EXEC. Q.L'!B:B,VOOS!A1596)</f>
        <v>0</v>
      </c>
      <c r="H1596" s="15" t="str">
        <f>IFERROR(_xlfn.XLOOKUP(A1596,'BASE SQL PLANTIO'!B:B,'BASE SQL PLANTIO'!T:T,"verificar",0),"")</f>
        <v/>
      </c>
      <c r="I1596" s="77" t="str">
        <f>IF(_xlfn.MINIFS('BASE SQL PLANTIO'!E:E,'BASE SQL PLANTIO'!B:B,VOOS!A1596)=0/1/1900,"",_xlfn.MINIFS('BASE SQL PLANTIO'!E:E,'BASE SQL PLANTIO'!B:B,VOOS!A1596))</f>
        <v/>
      </c>
      <c r="J1596" s="26"/>
      <c r="K1596" s="34" t="str">
        <f t="shared" si="73"/>
        <v/>
      </c>
      <c r="L1596" s="35" t="str">
        <f t="shared" si="74"/>
        <v/>
      </c>
      <c r="M1596" s="14"/>
      <c r="N1596" s="15"/>
    </row>
    <row r="1597" spans="1:14" ht="15.6" x14ac:dyDescent="0.3">
      <c r="A1597" s="13" t="str">
        <f t="shared" si="72"/>
        <v>-</v>
      </c>
      <c r="B1597" s="27"/>
      <c r="C1597" s="26"/>
      <c r="D1597" s="26"/>
      <c r="E1597" s="26"/>
      <c r="F1597" s="26"/>
      <c r="G1597" s="34">
        <f>SUMIFS('BASE EXEC. Q.L'!N:N,'BASE EXEC. Q.L'!B:B,VOOS!A1597)</f>
        <v>0</v>
      </c>
      <c r="H1597" s="15" t="str">
        <f>IFERROR(_xlfn.XLOOKUP(A1597,'BASE SQL PLANTIO'!B:B,'BASE SQL PLANTIO'!T:T,"verificar",0),"")</f>
        <v/>
      </c>
      <c r="I1597" s="77" t="str">
        <f>IF(_xlfn.MINIFS('BASE SQL PLANTIO'!E:E,'BASE SQL PLANTIO'!B:B,VOOS!A1597)=0/1/1900,"",_xlfn.MINIFS('BASE SQL PLANTIO'!E:E,'BASE SQL PLANTIO'!B:B,VOOS!A1597))</f>
        <v/>
      </c>
      <c r="J1597" s="26"/>
      <c r="K1597" s="34" t="str">
        <f t="shared" si="73"/>
        <v/>
      </c>
      <c r="L1597" s="35" t="str">
        <f t="shared" si="74"/>
        <v/>
      </c>
      <c r="M1597" s="14"/>
      <c r="N1597" s="16"/>
    </row>
    <row r="1598" spans="1:14" ht="15.6" x14ac:dyDescent="0.3">
      <c r="A1598" s="13" t="str">
        <f t="shared" si="72"/>
        <v>-</v>
      </c>
      <c r="B1598" s="27"/>
      <c r="C1598" s="26"/>
      <c r="D1598" s="26"/>
      <c r="E1598" s="26"/>
      <c r="F1598" s="26"/>
      <c r="G1598" s="34">
        <f>SUMIFS('BASE EXEC. Q.L'!N:N,'BASE EXEC. Q.L'!B:B,VOOS!A1598)</f>
        <v>0</v>
      </c>
      <c r="H1598" s="15" t="str">
        <f>IFERROR(_xlfn.XLOOKUP(A1598,'BASE SQL PLANTIO'!B:B,'BASE SQL PLANTIO'!T:T,"verificar",0),"")</f>
        <v/>
      </c>
      <c r="I1598" s="77" t="str">
        <f>IF(_xlfn.MINIFS('BASE SQL PLANTIO'!E:E,'BASE SQL PLANTIO'!B:B,VOOS!A1598)=0/1/1900,"",_xlfn.MINIFS('BASE SQL PLANTIO'!E:E,'BASE SQL PLANTIO'!B:B,VOOS!A1598))</f>
        <v/>
      </c>
      <c r="J1598" s="26"/>
      <c r="K1598" s="34" t="str">
        <f t="shared" si="73"/>
        <v/>
      </c>
      <c r="L1598" s="35" t="str">
        <f t="shared" si="74"/>
        <v/>
      </c>
      <c r="M1598" s="14"/>
      <c r="N1598" s="16"/>
    </row>
    <row r="1599" spans="1:14" ht="15.6" x14ac:dyDescent="0.3">
      <c r="A1599" s="13" t="str">
        <f t="shared" si="72"/>
        <v>-</v>
      </c>
      <c r="B1599" s="25"/>
      <c r="C1599" s="25"/>
      <c r="D1599" s="25"/>
      <c r="E1599" s="25"/>
      <c r="F1599" s="31"/>
      <c r="G1599" s="34">
        <f>SUMIFS('BASE EXEC. Q.L'!N:N,'BASE EXEC. Q.L'!B:B,VOOS!A1599)</f>
        <v>0</v>
      </c>
      <c r="H1599" s="15" t="str">
        <f>IFERROR(_xlfn.XLOOKUP(A1599,'BASE SQL PLANTIO'!B:B,'BASE SQL PLANTIO'!T:T,"verificar",0),"")</f>
        <v/>
      </c>
      <c r="I1599" s="77" t="str">
        <f>IF(_xlfn.MINIFS('BASE SQL PLANTIO'!E:E,'BASE SQL PLANTIO'!B:B,VOOS!A1599)=0/1/1900,"",_xlfn.MINIFS('BASE SQL PLANTIO'!E:E,'BASE SQL PLANTIO'!B:B,VOOS!A1599))</f>
        <v/>
      </c>
      <c r="J1599" s="26"/>
      <c r="K1599" s="34" t="str">
        <f t="shared" si="73"/>
        <v/>
      </c>
      <c r="L1599" s="35" t="str">
        <f t="shared" si="74"/>
        <v/>
      </c>
      <c r="M1599" s="14"/>
      <c r="N1599" s="16"/>
    </row>
    <row r="1600" spans="1:14" ht="15.6" x14ac:dyDescent="0.3">
      <c r="A1600" s="13" t="str">
        <f t="shared" si="72"/>
        <v>-</v>
      </c>
      <c r="B1600" s="25"/>
      <c r="C1600" s="25"/>
      <c r="D1600" s="25"/>
      <c r="E1600" s="25"/>
      <c r="F1600" s="31"/>
      <c r="G1600" s="34">
        <f>SUMIFS('BASE EXEC. Q.L'!N:N,'BASE EXEC. Q.L'!B:B,VOOS!A1600)</f>
        <v>0</v>
      </c>
      <c r="H1600" s="15" t="str">
        <f>IFERROR(_xlfn.XLOOKUP(A1600,'BASE SQL PLANTIO'!B:B,'BASE SQL PLANTIO'!T:T,"verificar",0),"")</f>
        <v/>
      </c>
      <c r="I1600" s="77" t="str">
        <f>IF(_xlfn.MINIFS('BASE SQL PLANTIO'!E:E,'BASE SQL PLANTIO'!B:B,VOOS!A1600)=0/1/1900,"",_xlfn.MINIFS('BASE SQL PLANTIO'!E:E,'BASE SQL PLANTIO'!B:B,VOOS!A1600))</f>
        <v/>
      </c>
      <c r="J1600" s="26"/>
      <c r="K1600" s="34" t="str">
        <f t="shared" si="73"/>
        <v/>
      </c>
      <c r="L1600" s="35" t="str">
        <f t="shared" si="74"/>
        <v/>
      </c>
      <c r="M1600" s="14"/>
      <c r="N1600" s="16"/>
    </row>
    <row r="1601" spans="1:14" ht="15.6" x14ac:dyDescent="0.3">
      <c r="A1601" s="13" t="str">
        <f t="shared" si="72"/>
        <v>-</v>
      </c>
      <c r="B1601" s="25"/>
      <c r="C1601" s="25"/>
      <c r="D1601" s="25"/>
      <c r="E1601" s="25"/>
      <c r="F1601" s="31"/>
      <c r="G1601" s="34">
        <f>SUMIFS('BASE EXEC. Q.L'!N:N,'BASE EXEC. Q.L'!B:B,VOOS!A1601)</f>
        <v>0</v>
      </c>
      <c r="H1601" s="15" t="str">
        <f>IFERROR(_xlfn.XLOOKUP(A1601,'BASE SQL PLANTIO'!B:B,'BASE SQL PLANTIO'!T:T,"verificar",0),"")</f>
        <v/>
      </c>
      <c r="I1601" s="77" t="str">
        <f>IF(_xlfn.MINIFS('BASE SQL PLANTIO'!E:E,'BASE SQL PLANTIO'!B:B,VOOS!A1601)=0/1/1900,"",_xlfn.MINIFS('BASE SQL PLANTIO'!E:E,'BASE SQL PLANTIO'!B:B,VOOS!A1601))</f>
        <v/>
      </c>
      <c r="J1601" s="26"/>
      <c r="K1601" s="34" t="str">
        <f t="shared" si="73"/>
        <v/>
      </c>
      <c r="L1601" s="35" t="str">
        <f t="shared" si="74"/>
        <v/>
      </c>
      <c r="M1601" s="14"/>
      <c r="N1601" s="15"/>
    </row>
    <row r="1602" spans="1:14" ht="15.6" x14ac:dyDescent="0.3">
      <c r="A1602" s="13" t="str">
        <f t="shared" si="72"/>
        <v>-</v>
      </c>
      <c r="B1602" s="27"/>
      <c r="C1602" s="26"/>
      <c r="D1602" s="26"/>
      <c r="E1602" s="26"/>
      <c r="F1602" s="26"/>
      <c r="G1602" s="34">
        <f>SUMIFS('BASE EXEC. Q.L'!N:N,'BASE EXEC. Q.L'!B:B,VOOS!A1602)</f>
        <v>0</v>
      </c>
      <c r="H1602" s="15" t="str">
        <f>IFERROR(_xlfn.XLOOKUP(A1602,'BASE SQL PLANTIO'!B:B,'BASE SQL PLANTIO'!T:T,"verificar",0),"")</f>
        <v/>
      </c>
      <c r="I1602" s="77" t="str">
        <f>IF(_xlfn.MINIFS('BASE SQL PLANTIO'!E:E,'BASE SQL PLANTIO'!B:B,VOOS!A1602)=0/1/1900,"",_xlfn.MINIFS('BASE SQL PLANTIO'!E:E,'BASE SQL PLANTIO'!B:B,VOOS!A1602))</f>
        <v/>
      </c>
      <c r="J1602" s="26"/>
      <c r="K1602" s="34" t="str">
        <f t="shared" si="73"/>
        <v/>
      </c>
      <c r="L1602" s="35" t="str">
        <f t="shared" si="74"/>
        <v/>
      </c>
      <c r="M1602" s="14"/>
      <c r="N1602" s="16"/>
    </row>
    <row r="1603" spans="1:14" ht="15.6" x14ac:dyDescent="0.3">
      <c r="A1603" s="13" t="str">
        <f t="shared" si="72"/>
        <v>-</v>
      </c>
      <c r="B1603" s="27"/>
      <c r="C1603" s="26"/>
      <c r="D1603" s="26"/>
      <c r="E1603" s="26"/>
      <c r="F1603" s="26"/>
      <c r="G1603" s="34">
        <f>SUMIFS('BASE EXEC. Q.L'!N:N,'BASE EXEC. Q.L'!B:B,VOOS!A1603)</f>
        <v>0</v>
      </c>
      <c r="H1603" s="15" t="str">
        <f>IFERROR(_xlfn.XLOOKUP(A1603,'BASE SQL PLANTIO'!B:B,'BASE SQL PLANTIO'!T:T,"verificar",0),"")</f>
        <v/>
      </c>
      <c r="I1603" s="77" t="str">
        <f>IF(_xlfn.MINIFS('BASE SQL PLANTIO'!E:E,'BASE SQL PLANTIO'!B:B,VOOS!A1603)=0/1/1900,"",_xlfn.MINIFS('BASE SQL PLANTIO'!E:E,'BASE SQL PLANTIO'!B:B,VOOS!A1603))</f>
        <v/>
      </c>
      <c r="J1603" s="26"/>
      <c r="K1603" s="34" t="str">
        <f t="shared" si="73"/>
        <v/>
      </c>
      <c r="L1603" s="35" t="str">
        <f t="shared" si="74"/>
        <v/>
      </c>
      <c r="M1603" s="14"/>
      <c r="N1603" s="16"/>
    </row>
    <row r="1604" spans="1:14" ht="15.6" x14ac:dyDescent="0.3">
      <c r="A1604" s="13" t="str">
        <f t="shared" si="72"/>
        <v>-</v>
      </c>
      <c r="B1604" s="25"/>
      <c r="C1604" s="25"/>
      <c r="D1604" s="25"/>
      <c r="E1604" s="25"/>
      <c r="F1604" s="31"/>
      <c r="G1604" s="34">
        <f>SUMIFS('BASE EXEC. Q.L'!N:N,'BASE EXEC. Q.L'!B:B,VOOS!A1604)</f>
        <v>0</v>
      </c>
      <c r="H1604" s="15" t="str">
        <f>IFERROR(_xlfn.XLOOKUP(A1604,'BASE SQL PLANTIO'!B:B,'BASE SQL PLANTIO'!T:T,"verificar",0),"")</f>
        <v/>
      </c>
      <c r="I1604" s="77" t="str">
        <f>IF(_xlfn.MINIFS('BASE SQL PLANTIO'!E:E,'BASE SQL PLANTIO'!B:B,VOOS!A1604)=0/1/1900,"",_xlfn.MINIFS('BASE SQL PLANTIO'!E:E,'BASE SQL PLANTIO'!B:B,VOOS!A1604))</f>
        <v/>
      </c>
      <c r="J1604" s="26"/>
      <c r="K1604" s="34" t="str">
        <f t="shared" si="73"/>
        <v/>
      </c>
      <c r="L1604" s="35" t="str">
        <f t="shared" si="74"/>
        <v/>
      </c>
      <c r="M1604" s="14"/>
      <c r="N1604" s="16"/>
    </row>
    <row r="1605" spans="1:14" ht="15.6" x14ac:dyDescent="0.3">
      <c r="A1605" s="13" t="str">
        <f t="shared" ref="A1605:A1668" si="75">CONCATENATE(B1605,"-",E1605)</f>
        <v>-</v>
      </c>
      <c r="B1605" s="25"/>
      <c r="C1605" s="25"/>
      <c r="D1605" s="25"/>
      <c r="E1605" s="25"/>
      <c r="F1605" s="31"/>
      <c r="G1605" s="34">
        <f>SUMIFS('BASE EXEC. Q.L'!N:N,'BASE EXEC. Q.L'!B:B,VOOS!A1605)</f>
        <v>0</v>
      </c>
      <c r="H1605" s="15" t="str">
        <f>IFERROR(_xlfn.XLOOKUP(A1605,'BASE SQL PLANTIO'!B:B,'BASE SQL PLANTIO'!T:T,"verificar",0),"")</f>
        <v/>
      </c>
      <c r="I1605" s="77" t="str">
        <f>IF(_xlfn.MINIFS('BASE SQL PLANTIO'!E:E,'BASE SQL PLANTIO'!B:B,VOOS!A1605)=0/1/1900,"",_xlfn.MINIFS('BASE SQL PLANTIO'!E:E,'BASE SQL PLANTIO'!B:B,VOOS!A1605))</f>
        <v/>
      </c>
      <c r="J1605" s="26"/>
      <c r="K1605" s="34" t="str">
        <f t="shared" ref="K1605:K1668" si="76">IF(I1605="","",$K$3-I1605)</f>
        <v/>
      </c>
      <c r="L1605" s="35" t="str">
        <f t="shared" ref="L1605:L1668" si="77">K1605</f>
        <v/>
      </c>
      <c r="M1605" s="14"/>
      <c r="N1605" s="16"/>
    </row>
    <row r="1606" spans="1:14" ht="15.6" x14ac:dyDescent="0.3">
      <c r="A1606" s="13" t="str">
        <f t="shared" si="75"/>
        <v>-</v>
      </c>
      <c r="B1606" s="25"/>
      <c r="C1606" s="25"/>
      <c r="D1606" s="25"/>
      <c r="E1606" s="25"/>
      <c r="F1606" s="31"/>
      <c r="G1606" s="34">
        <f>SUMIFS('BASE EXEC. Q.L'!N:N,'BASE EXEC. Q.L'!B:B,VOOS!A1606)</f>
        <v>0</v>
      </c>
      <c r="H1606" s="15" t="str">
        <f>IFERROR(_xlfn.XLOOKUP(A1606,'BASE SQL PLANTIO'!B:B,'BASE SQL PLANTIO'!T:T,"verificar",0),"")</f>
        <v/>
      </c>
      <c r="I1606" s="77" t="str">
        <f>IF(_xlfn.MINIFS('BASE SQL PLANTIO'!E:E,'BASE SQL PLANTIO'!B:B,VOOS!A1606)=0/1/1900,"",_xlfn.MINIFS('BASE SQL PLANTIO'!E:E,'BASE SQL PLANTIO'!B:B,VOOS!A1606))</f>
        <v/>
      </c>
      <c r="J1606" s="26"/>
      <c r="K1606" s="34" t="str">
        <f t="shared" si="76"/>
        <v/>
      </c>
      <c r="L1606" s="35" t="str">
        <f t="shared" si="77"/>
        <v/>
      </c>
      <c r="M1606" s="14"/>
      <c r="N1606" s="15"/>
    </row>
    <row r="1607" spans="1:14" ht="15.6" x14ac:dyDescent="0.3">
      <c r="A1607" s="13" t="str">
        <f t="shared" si="75"/>
        <v>-</v>
      </c>
      <c r="B1607" s="27"/>
      <c r="C1607" s="26"/>
      <c r="D1607" s="26"/>
      <c r="E1607" s="26"/>
      <c r="F1607" s="26"/>
      <c r="G1607" s="34">
        <f>SUMIFS('BASE EXEC. Q.L'!N:N,'BASE EXEC. Q.L'!B:B,VOOS!A1607)</f>
        <v>0</v>
      </c>
      <c r="H1607" s="15" t="str">
        <f>IFERROR(_xlfn.XLOOKUP(A1607,'BASE SQL PLANTIO'!B:B,'BASE SQL PLANTIO'!T:T,"verificar",0),"")</f>
        <v/>
      </c>
      <c r="I1607" s="77" t="str">
        <f>IF(_xlfn.MINIFS('BASE SQL PLANTIO'!E:E,'BASE SQL PLANTIO'!B:B,VOOS!A1607)=0/1/1900,"",_xlfn.MINIFS('BASE SQL PLANTIO'!E:E,'BASE SQL PLANTIO'!B:B,VOOS!A1607))</f>
        <v/>
      </c>
      <c r="J1607" s="26"/>
      <c r="K1607" s="34" t="str">
        <f t="shared" si="76"/>
        <v/>
      </c>
      <c r="L1607" s="35" t="str">
        <f t="shared" si="77"/>
        <v/>
      </c>
      <c r="M1607" s="14"/>
      <c r="N1607" s="16"/>
    </row>
    <row r="1608" spans="1:14" ht="15.6" x14ac:dyDescent="0.3">
      <c r="A1608" s="13" t="str">
        <f t="shared" si="75"/>
        <v>-</v>
      </c>
      <c r="B1608" s="27"/>
      <c r="C1608" s="26"/>
      <c r="D1608" s="26"/>
      <c r="E1608" s="26"/>
      <c r="F1608" s="26"/>
      <c r="G1608" s="34">
        <f>SUMIFS('BASE EXEC. Q.L'!N:N,'BASE EXEC. Q.L'!B:B,VOOS!A1608)</f>
        <v>0</v>
      </c>
      <c r="H1608" s="15" t="str">
        <f>IFERROR(_xlfn.XLOOKUP(A1608,'BASE SQL PLANTIO'!B:B,'BASE SQL PLANTIO'!T:T,"verificar",0),"")</f>
        <v/>
      </c>
      <c r="I1608" s="77" t="str">
        <f>IF(_xlfn.MINIFS('BASE SQL PLANTIO'!E:E,'BASE SQL PLANTIO'!B:B,VOOS!A1608)=0/1/1900,"",_xlfn.MINIFS('BASE SQL PLANTIO'!E:E,'BASE SQL PLANTIO'!B:B,VOOS!A1608))</f>
        <v/>
      </c>
      <c r="J1608" s="26"/>
      <c r="K1608" s="34" t="str">
        <f t="shared" si="76"/>
        <v/>
      </c>
      <c r="L1608" s="35" t="str">
        <f t="shared" si="77"/>
        <v/>
      </c>
      <c r="M1608" s="14"/>
      <c r="N1608" s="16"/>
    </row>
    <row r="1609" spans="1:14" ht="15.6" x14ac:dyDescent="0.3">
      <c r="A1609" s="13" t="str">
        <f t="shared" si="75"/>
        <v>-</v>
      </c>
      <c r="B1609" s="25"/>
      <c r="C1609" s="25"/>
      <c r="D1609" s="25"/>
      <c r="E1609" s="25"/>
      <c r="F1609" s="31"/>
      <c r="G1609" s="34">
        <f>SUMIFS('BASE EXEC. Q.L'!N:N,'BASE EXEC. Q.L'!B:B,VOOS!A1609)</f>
        <v>0</v>
      </c>
      <c r="H1609" s="15" t="str">
        <f>IFERROR(_xlfn.XLOOKUP(A1609,'BASE SQL PLANTIO'!B:B,'BASE SQL PLANTIO'!T:T,"verificar",0),"")</f>
        <v/>
      </c>
      <c r="I1609" s="77" t="str">
        <f>IF(_xlfn.MINIFS('BASE SQL PLANTIO'!E:E,'BASE SQL PLANTIO'!B:B,VOOS!A1609)=0/1/1900,"",_xlfn.MINIFS('BASE SQL PLANTIO'!E:E,'BASE SQL PLANTIO'!B:B,VOOS!A1609))</f>
        <v/>
      </c>
      <c r="J1609" s="26"/>
      <c r="K1609" s="34" t="str">
        <f t="shared" si="76"/>
        <v/>
      </c>
      <c r="L1609" s="35" t="str">
        <f t="shared" si="77"/>
        <v/>
      </c>
      <c r="M1609" s="14"/>
      <c r="N1609" s="16"/>
    </row>
    <row r="1610" spans="1:14" ht="15.6" x14ac:dyDescent="0.3">
      <c r="A1610" s="13" t="str">
        <f t="shared" si="75"/>
        <v>-</v>
      </c>
      <c r="B1610" s="25"/>
      <c r="C1610" s="25"/>
      <c r="D1610" s="25"/>
      <c r="E1610" s="25"/>
      <c r="F1610" s="31"/>
      <c r="G1610" s="34">
        <f>SUMIFS('BASE EXEC. Q.L'!N:N,'BASE EXEC. Q.L'!B:B,VOOS!A1610)</f>
        <v>0</v>
      </c>
      <c r="H1610" s="15" t="str">
        <f>IFERROR(_xlfn.XLOOKUP(A1610,'BASE SQL PLANTIO'!B:B,'BASE SQL PLANTIO'!T:T,"verificar",0),"")</f>
        <v/>
      </c>
      <c r="I1610" s="77" t="str">
        <f>IF(_xlfn.MINIFS('BASE SQL PLANTIO'!E:E,'BASE SQL PLANTIO'!B:B,VOOS!A1610)=0/1/1900,"",_xlfn.MINIFS('BASE SQL PLANTIO'!E:E,'BASE SQL PLANTIO'!B:B,VOOS!A1610))</f>
        <v/>
      </c>
      <c r="J1610" s="26"/>
      <c r="K1610" s="34" t="str">
        <f t="shared" si="76"/>
        <v/>
      </c>
      <c r="L1610" s="35" t="str">
        <f t="shared" si="77"/>
        <v/>
      </c>
      <c r="M1610" s="14"/>
      <c r="N1610" s="16"/>
    </row>
    <row r="1611" spans="1:14" ht="15.6" x14ac:dyDescent="0.3">
      <c r="A1611" s="13" t="str">
        <f t="shared" si="75"/>
        <v>-</v>
      </c>
      <c r="B1611" s="25"/>
      <c r="C1611" s="25"/>
      <c r="D1611" s="25"/>
      <c r="E1611" s="25"/>
      <c r="F1611" s="31"/>
      <c r="G1611" s="34">
        <f>SUMIFS('BASE EXEC. Q.L'!N:N,'BASE EXEC. Q.L'!B:B,VOOS!A1611)</f>
        <v>0</v>
      </c>
      <c r="H1611" s="15" t="str">
        <f>IFERROR(_xlfn.XLOOKUP(A1611,'BASE SQL PLANTIO'!B:B,'BASE SQL PLANTIO'!T:T,"verificar",0),"")</f>
        <v/>
      </c>
      <c r="I1611" s="77" t="str">
        <f>IF(_xlfn.MINIFS('BASE SQL PLANTIO'!E:E,'BASE SQL PLANTIO'!B:B,VOOS!A1611)=0/1/1900,"",_xlfn.MINIFS('BASE SQL PLANTIO'!E:E,'BASE SQL PLANTIO'!B:B,VOOS!A1611))</f>
        <v/>
      </c>
      <c r="J1611" s="26"/>
      <c r="K1611" s="34" t="str">
        <f t="shared" si="76"/>
        <v/>
      </c>
      <c r="L1611" s="35" t="str">
        <f t="shared" si="77"/>
        <v/>
      </c>
      <c r="M1611" s="14"/>
      <c r="N1611" s="15"/>
    </row>
    <row r="1612" spans="1:14" ht="15.6" x14ac:dyDescent="0.3">
      <c r="A1612" s="13" t="str">
        <f t="shared" si="75"/>
        <v>-</v>
      </c>
      <c r="B1612" s="27"/>
      <c r="C1612" s="26"/>
      <c r="D1612" s="26"/>
      <c r="E1612" s="26"/>
      <c r="F1612" s="26"/>
      <c r="G1612" s="34">
        <f>SUMIFS('BASE EXEC. Q.L'!N:N,'BASE EXEC. Q.L'!B:B,VOOS!A1612)</f>
        <v>0</v>
      </c>
      <c r="H1612" s="15" t="str">
        <f>IFERROR(_xlfn.XLOOKUP(A1612,'BASE SQL PLANTIO'!B:B,'BASE SQL PLANTIO'!T:T,"verificar",0),"")</f>
        <v/>
      </c>
      <c r="I1612" s="77" t="str">
        <f>IF(_xlfn.MINIFS('BASE SQL PLANTIO'!E:E,'BASE SQL PLANTIO'!B:B,VOOS!A1612)=0/1/1900,"",_xlfn.MINIFS('BASE SQL PLANTIO'!E:E,'BASE SQL PLANTIO'!B:B,VOOS!A1612))</f>
        <v/>
      </c>
      <c r="J1612" s="26"/>
      <c r="K1612" s="34" t="str">
        <f t="shared" si="76"/>
        <v/>
      </c>
      <c r="L1612" s="35" t="str">
        <f t="shared" si="77"/>
        <v/>
      </c>
      <c r="M1612" s="14"/>
      <c r="N1612" s="16"/>
    </row>
    <row r="1613" spans="1:14" ht="15.6" x14ac:dyDescent="0.3">
      <c r="A1613" s="13" t="str">
        <f t="shared" si="75"/>
        <v>-</v>
      </c>
      <c r="B1613" s="27"/>
      <c r="C1613" s="26"/>
      <c r="D1613" s="26"/>
      <c r="E1613" s="26"/>
      <c r="F1613" s="26"/>
      <c r="G1613" s="34">
        <f>SUMIFS('BASE EXEC. Q.L'!N:N,'BASE EXEC. Q.L'!B:B,VOOS!A1613)</f>
        <v>0</v>
      </c>
      <c r="H1613" s="15" t="str">
        <f>IFERROR(_xlfn.XLOOKUP(A1613,'BASE SQL PLANTIO'!B:B,'BASE SQL PLANTIO'!T:T,"verificar",0),"")</f>
        <v/>
      </c>
      <c r="I1613" s="77" t="str">
        <f>IF(_xlfn.MINIFS('BASE SQL PLANTIO'!E:E,'BASE SQL PLANTIO'!B:B,VOOS!A1613)=0/1/1900,"",_xlfn.MINIFS('BASE SQL PLANTIO'!E:E,'BASE SQL PLANTIO'!B:B,VOOS!A1613))</f>
        <v/>
      </c>
      <c r="J1613" s="26"/>
      <c r="K1613" s="34" t="str">
        <f t="shared" si="76"/>
        <v/>
      </c>
      <c r="L1613" s="35" t="str">
        <f t="shared" si="77"/>
        <v/>
      </c>
      <c r="M1613" s="14"/>
      <c r="N1613" s="16"/>
    </row>
    <row r="1614" spans="1:14" ht="15.6" x14ac:dyDescent="0.3">
      <c r="A1614" s="13" t="str">
        <f t="shared" si="75"/>
        <v>-</v>
      </c>
      <c r="B1614" s="25"/>
      <c r="C1614" s="25"/>
      <c r="D1614" s="25"/>
      <c r="E1614" s="25"/>
      <c r="F1614" s="31"/>
      <c r="G1614" s="34">
        <f>SUMIFS('BASE EXEC. Q.L'!N:N,'BASE EXEC. Q.L'!B:B,VOOS!A1614)</f>
        <v>0</v>
      </c>
      <c r="H1614" s="15" t="str">
        <f>IFERROR(_xlfn.XLOOKUP(A1614,'BASE SQL PLANTIO'!B:B,'BASE SQL PLANTIO'!T:T,"verificar",0),"")</f>
        <v/>
      </c>
      <c r="I1614" s="77" t="str">
        <f>IF(_xlfn.MINIFS('BASE SQL PLANTIO'!E:E,'BASE SQL PLANTIO'!B:B,VOOS!A1614)=0/1/1900,"",_xlfn.MINIFS('BASE SQL PLANTIO'!E:E,'BASE SQL PLANTIO'!B:B,VOOS!A1614))</f>
        <v/>
      </c>
      <c r="J1614" s="26"/>
      <c r="K1614" s="34" t="str">
        <f t="shared" si="76"/>
        <v/>
      </c>
      <c r="L1614" s="35" t="str">
        <f t="shared" si="77"/>
        <v/>
      </c>
      <c r="M1614" s="14"/>
      <c r="N1614" s="16"/>
    </row>
    <row r="1615" spans="1:14" ht="15.6" x14ac:dyDescent="0.3">
      <c r="A1615" s="13" t="str">
        <f t="shared" si="75"/>
        <v>-</v>
      </c>
      <c r="B1615" s="25"/>
      <c r="C1615" s="25"/>
      <c r="D1615" s="25"/>
      <c r="E1615" s="25"/>
      <c r="F1615" s="31"/>
      <c r="G1615" s="34">
        <f>SUMIFS('BASE EXEC. Q.L'!N:N,'BASE EXEC. Q.L'!B:B,VOOS!A1615)</f>
        <v>0</v>
      </c>
      <c r="H1615" s="15" t="str">
        <f>IFERROR(_xlfn.XLOOKUP(A1615,'BASE SQL PLANTIO'!B:B,'BASE SQL PLANTIO'!T:T,"verificar",0),"")</f>
        <v/>
      </c>
      <c r="I1615" s="77" t="str">
        <f>IF(_xlfn.MINIFS('BASE SQL PLANTIO'!E:E,'BASE SQL PLANTIO'!B:B,VOOS!A1615)=0/1/1900,"",_xlfn.MINIFS('BASE SQL PLANTIO'!E:E,'BASE SQL PLANTIO'!B:B,VOOS!A1615))</f>
        <v/>
      </c>
      <c r="J1615" s="26"/>
      <c r="K1615" s="34" t="str">
        <f t="shared" si="76"/>
        <v/>
      </c>
      <c r="L1615" s="35" t="str">
        <f t="shared" si="77"/>
        <v/>
      </c>
      <c r="M1615" s="14"/>
      <c r="N1615" s="16"/>
    </row>
    <row r="1616" spans="1:14" ht="15.6" x14ac:dyDescent="0.3">
      <c r="A1616" s="13" t="str">
        <f t="shared" si="75"/>
        <v>-</v>
      </c>
      <c r="B1616" s="25"/>
      <c r="C1616" s="25"/>
      <c r="D1616" s="25"/>
      <c r="E1616" s="25"/>
      <c r="F1616" s="31"/>
      <c r="G1616" s="34">
        <f>SUMIFS('BASE EXEC. Q.L'!N:N,'BASE EXEC. Q.L'!B:B,VOOS!A1616)</f>
        <v>0</v>
      </c>
      <c r="H1616" s="15" t="str">
        <f>IFERROR(_xlfn.XLOOKUP(A1616,'BASE SQL PLANTIO'!B:B,'BASE SQL PLANTIO'!T:T,"verificar",0),"")</f>
        <v/>
      </c>
      <c r="I1616" s="77" t="str">
        <f>IF(_xlfn.MINIFS('BASE SQL PLANTIO'!E:E,'BASE SQL PLANTIO'!B:B,VOOS!A1616)=0/1/1900,"",_xlfn.MINIFS('BASE SQL PLANTIO'!E:E,'BASE SQL PLANTIO'!B:B,VOOS!A1616))</f>
        <v/>
      </c>
      <c r="J1616" s="26"/>
      <c r="K1616" s="34" t="str">
        <f t="shared" si="76"/>
        <v/>
      </c>
      <c r="L1616" s="35" t="str">
        <f t="shared" si="77"/>
        <v/>
      </c>
      <c r="M1616" s="14"/>
      <c r="N1616" s="15"/>
    </row>
    <row r="1617" spans="1:14" ht="15.6" x14ac:dyDescent="0.3">
      <c r="A1617" s="13" t="str">
        <f t="shared" si="75"/>
        <v>-</v>
      </c>
      <c r="B1617" s="27"/>
      <c r="C1617" s="26"/>
      <c r="D1617" s="26"/>
      <c r="E1617" s="26"/>
      <c r="F1617" s="26"/>
      <c r="G1617" s="34">
        <f>SUMIFS('BASE EXEC. Q.L'!N:N,'BASE EXEC. Q.L'!B:B,VOOS!A1617)</f>
        <v>0</v>
      </c>
      <c r="H1617" s="15" t="str">
        <f>IFERROR(_xlfn.XLOOKUP(A1617,'BASE SQL PLANTIO'!B:B,'BASE SQL PLANTIO'!T:T,"verificar",0),"")</f>
        <v/>
      </c>
      <c r="I1617" s="77" t="str">
        <f>IF(_xlfn.MINIFS('BASE SQL PLANTIO'!E:E,'BASE SQL PLANTIO'!B:B,VOOS!A1617)=0/1/1900,"",_xlfn.MINIFS('BASE SQL PLANTIO'!E:E,'BASE SQL PLANTIO'!B:B,VOOS!A1617))</f>
        <v/>
      </c>
      <c r="J1617" s="26"/>
      <c r="K1617" s="34" t="str">
        <f t="shared" si="76"/>
        <v/>
      </c>
      <c r="L1617" s="35" t="str">
        <f t="shared" si="77"/>
        <v/>
      </c>
      <c r="M1617" s="14"/>
      <c r="N1617" s="16"/>
    </row>
    <row r="1618" spans="1:14" ht="15.6" x14ac:dyDescent="0.3">
      <c r="A1618" s="13" t="str">
        <f t="shared" si="75"/>
        <v>-</v>
      </c>
      <c r="B1618" s="27"/>
      <c r="C1618" s="26"/>
      <c r="D1618" s="26"/>
      <c r="E1618" s="26"/>
      <c r="F1618" s="26"/>
      <c r="G1618" s="34">
        <f>SUMIFS('BASE EXEC. Q.L'!N:N,'BASE EXEC. Q.L'!B:B,VOOS!A1618)</f>
        <v>0</v>
      </c>
      <c r="H1618" s="15" t="str">
        <f>IFERROR(_xlfn.XLOOKUP(A1618,'BASE SQL PLANTIO'!B:B,'BASE SQL PLANTIO'!T:T,"verificar",0),"")</f>
        <v/>
      </c>
      <c r="I1618" s="77" t="str">
        <f>IF(_xlfn.MINIFS('BASE SQL PLANTIO'!E:E,'BASE SQL PLANTIO'!B:B,VOOS!A1618)=0/1/1900,"",_xlfn.MINIFS('BASE SQL PLANTIO'!E:E,'BASE SQL PLANTIO'!B:B,VOOS!A1618))</f>
        <v/>
      </c>
      <c r="J1618" s="26"/>
      <c r="K1618" s="34" t="str">
        <f t="shared" si="76"/>
        <v/>
      </c>
      <c r="L1618" s="35" t="str">
        <f t="shared" si="77"/>
        <v/>
      </c>
      <c r="M1618" s="14"/>
      <c r="N1618" s="16"/>
    </row>
    <row r="1619" spans="1:14" ht="15.6" x14ac:dyDescent="0.3">
      <c r="A1619" s="13" t="str">
        <f t="shared" si="75"/>
        <v>-</v>
      </c>
      <c r="B1619" s="25"/>
      <c r="C1619" s="25"/>
      <c r="D1619" s="25"/>
      <c r="E1619" s="25"/>
      <c r="F1619" s="31"/>
      <c r="G1619" s="34">
        <f>SUMIFS('BASE EXEC. Q.L'!N:N,'BASE EXEC. Q.L'!B:B,VOOS!A1619)</f>
        <v>0</v>
      </c>
      <c r="H1619" s="15" t="str">
        <f>IFERROR(_xlfn.XLOOKUP(A1619,'BASE SQL PLANTIO'!B:B,'BASE SQL PLANTIO'!T:T,"verificar",0),"")</f>
        <v/>
      </c>
      <c r="I1619" s="77" t="str">
        <f>IF(_xlfn.MINIFS('BASE SQL PLANTIO'!E:E,'BASE SQL PLANTIO'!B:B,VOOS!A1619)=0/1/1900,"",_xlfn.MINIFS('BASE SQL PLANTIO'!E:E,'BASE SQL PLANTIO'!B:B,VOOS!A1619))</f>
        <v/>
      </c>
      <c r="J1619" s="26"/>
      <c r="K1619" s="34" t="str">
        <f t="shared" si="76"/>
        <v/>
      </c>
      <c r="L1619" s="35" t="str">
        <f t="shared" si="77"/>
        <v/>
      </c>
      <c r="M1619" s="14"/>
      <c r="N1619" s="16"/>
    </row>
    <row r="1620" spans="1:14" ht="15.6" x14ac:dyDescent="0.3">
      <c r="A1620" s="13" t="str">
        <f t="shared" si="75"/>
        <v>-</v>
      </c>
      <c r="B1620" s="25"/>
      <c r="C1620" s="25"/>
      <c r="D1620" s="25"/>
      <c r="E1620" s="25"/>
      <c r="F1620" s="31"/>
      <c r="G1620" s="34">
        <f>SUMIFS('BASE EXEC. Q.L'!N:N,'BASE EXEC. Q.L'!B:B,VOOS!A1620)</f>
        <v>0</v>
      </c>
      <c r="H1620" s="15" t="str">
        <f>IFERROR(_xlfn.XLOOKUP(A1620,'BASE SQL PLANTIO'!B:B,'BASE SQL PLANTIO'!T:T,"verificar",0),"")</f>
        <v/>
      </c>
      <c r="I1620" s="77" t="str">
        <f>IF(_xlfn.MINIFS('BASE SQL PLANTIO'!E:E,'BASE SQL PLANTIO'!B:B,VOOS!A1620)=0/1/1900,"",_xlfn.MINIFS('BASE SQL PLANTIO'!E:E,'BASE SQL PLANTIO'!B:B,VOOS!A1620))</f>
        <v/>
      </c>
      <c r="J1620" s="26"/>
      <c r="K1620" s="34" t="str">
        <f t="shared" si="76"/>
        <v/>
      </c>
      <c r="L1620" s="35" t="str">
        <f t="shared" si="77"/>
        <v/>
      </c>
      <c r="M1620" s="14"/>
      <c r="N1620" s="16"/>
    </row>
    <row r="1621" spans="1:14" ht="15.6" x14ac:dyDescent="0.3">
      <c r="A1621" s="13" t="str">
        <f t="shared" si="75"/>
        <v>-</v>
      </c>
      <c r="B1621" s="25"/>
      <c r="C1621" s="25"/>
      <c r="D1621" s="25"/>
      <c r="E1621" s="25"/>
      <c r="F1621" s="31"/>
      <c r="G1621" s="34">
        <f>SUMIFS('BASE EXEC. Q.L'!N:N,'BASE EXEC. Q.L'!B:B,VOOS!A1621)</f>
        <v>0</v>
      </c>
      <c r="H1621" s="15" t="str">
        <f>IFERROR(_xlfn.XLOOKUP(A1621,'BASE SQL PLANTIO'!B:B,'BASE SQL PLANTIO'!T:T,"verificar",0),"")</f>
        <v/>
      </c>
      <c r="I1621" s="77" t="str">
        <f>IF(_xlfn.MINIFS('BASE SQL PLANTIO'!E:E,'BASE SQL PLANTIO'!B:B,VOOS!A1621)=0/1/1900,"",_xlfn.MINIFS('BASE SQL PLANTIO'!E:E,'BASE SQL PLANTIO'!B:B,VOOS!A1621))</f>
        <v/>
      </c>
      <c r="J1621" s="26"/>
      <c r="K1621" s="34" t="str">
        <f t="shared" si="76"/>
        <v/>
      </c>
      <c r="L1621" s="35" t="str">
        <f t="shared" si="77"/>
        <v/>
      </c>
      <c r="M1621" s="14"/>
      <c r="N1621" s="15"/>
    </row>
    <row r="1622" spans="1:14" ht="15.6" x14ac:dyDescent="0.3">
      <c r="A1622" s="13" t="str">
        <f t="shared" si="75"/>
        <v>-</v>
      </c>
      <c r="B1622" s="27"/>
      <c r="C1622" s="26"/>
      <c r="D1622" s="26"/>
      <c r="E1622" s="26"/>
      <c r="F1622" s="26"/>
      <c r="G1622" s="34">
        <f>SUMIFS('BASE EXEC. Q.L'!N:N,'BASE EXEC. Q.L'!B:B,VOOS!A1622)</f>
        <v>0</v>
      </c>
      <c r="H1622" s="15" t="str">
        <f>IFERROR(_xlfn.XLOOKUP(A1622,'BASE SQL PLANTIO'!B:B,'BASE SQL PLANTIO'!T:T,"verificar",0),"")</f>
        <v/>
      </c>
      <c r="I1622" s="77" t="str">
        <f>IF(_xlfn.MINIFS('BASE SQL PLANTIO'!E:E,'BASE SQL PLANTIO'!B:B,VOOS!A1622)=0/1/1900,"",_xlfn.MINIFS('BASE SQL PLANTIO'!E:E,'BASE SQL PLANTIO'!B:B,VOOS!A1622))</f>
        <v/>
      </c>
      <c r="J1622" s="26"/>
      <c r="K1622" s="34" t="str">
        <f t="shared" si="76"/>
        <v/>
      </c>
      <c r="L1622" s="35" t="str">
        <f t="shared" si="77"/>
        <v/>
      </c>
      <c r="M1622" s="14"/>
      <c r="N1622" s="16"/>
    </row>
    <row r="1623" spans="1:14" ht="15.6" x14ac:dyDescent="0.3">
      <c r="A1623" s="13" t="str">
        <f t="shared" si="75"/>
        <v>-</v>
      </c>
      <c r="B1623" s="27"/>
      <c r="C1623" s="26"/>
      <c r="D1623" s="26"/>
      <c r="E1623" s="26"/>
      <c r="F1623" s="26"/>
      <c r="G1623" s="34">
        <f>SUMIFS('BASE EXEC. Q.L'!N:N,'BASE EXEC. Q.L'!B:B,VOOS!A1623)</f>
        <v>0</v>
      </c>
      <c r="H1623" s="15" t="str">
        <f>IFERROR(_xlfn.XLOOKUP(A1623,'BASE SQL PLANTIO'!B:B,'BASE SQL PLANTIO'!T:T,"verificar",0),"")</f>
        <v/>
      </c>
      <c r="I1623" s="77" t="str">
        <f>IF(_xlfn.MINIFS('BASE SQL PLANTIO'!E:E,'BASE SQL PLANTIO'!B:B,VOOS!A1623)=0/1/1900,"",_xlfn.MINIFS('BASE SQL PLANTIO'!E:E,'BASE SQL PLANTIO'!B:B,VOOS!A1623))</f>
        <v/>
      </c>
      <c r="J1623" s="26"/>
      <c r="K1623" s="34" t="str">
        <f t="shared" si="76"/>
        <v/>
      </c>
      <c r="L1623" s="35" t="str">
        <f t="shared" si="77"/>
        <v/>
      </c>
      <c r="M1623" s="14"/>
      <c r="N1623" s="16"/>
    </row>
    <row r="1624" spans="1:14" ht="15.6" x14ac:dyDescent="0.3">
      <c r="A1624" s="13" t="str">
        <f t="shared" si="75"/>
        <v>-</v>
      </c>
      <c r="B1624" s="25"/>
      <c r="C1624" s="25"/>
      <c r="D1624" s="25"/>
      <c r="E1624" s="25"/>
      <c r="F1624" s="31"/>
      <c r="G1624" s="34">
        <f>SUMIFS('BASE EXEC. Q.L'!N:N,'BASE EXEC. Q.L'!B:B,VOOS!A1624)</f>
        <v>0</v>
      </c>
      <c r="H1624" s="15" t="str">
        <f>IFERROR(_xlfn.XLOOKUP(A1624,'BASE SQL PLANTIO'!B:B,'BASE SQL PLANTIO'!T:T,"verificar",0),"")</f>
        <v/>
      </c>
      <c r="I1624" s="77" t="str">
        <f>IF(_xlfn.MINIFS('BASE SQL PLANTIO'!E:E,'BASE SQL PLANTIO'!B:B,VOOS!A1624)=0/1/1900,"",_xlfn.MINIFS('BASE SQL PLANTIO'!E:E,'BASE SQL PLANTIO'!B:B,VOOS!A1624))</f>
        <v/>
      </c>
      <c r="J1624" s="26"/>
      <c r="K1624" s="34" t="str">
        <f t="shared" si="76"/>
        <v/>
      </c>
      <c r="L1624" s="35" t="str">
        <f t="shared" si="77"/>
        <v/>
      </c>
      <c r="M1624" s="14"/>
      <c r="N1624" s="16"/>
    </row>
    <row r="1625" spans="1:14" ht="15.6" x14ac:dyDescent="0.3">
      <c r="A1625" s="13" t="str">
        <f t="shared" si="75"/>
        <v>-</v>
      </c>
      <c r="B1625" s="25"/>
      <c r="C1625" s="25"/>
      <c r="D1625" s="25"/>
      <c r="E1625" s="25"/>
      <c r="F1625" s="31"/>
      <c r="G1625" s="34">
        <f>SUMIFS('BASE EXEC. Q.L'!N:N,'BASE EXEC. Q.L'!B:B,VOOS!A1625)</f>
        <v>0</v>
      </c>
      <c r="H1625" s="15" t="str">
        <f>IFERROR(_xlfn.XLOOKUP(A1625,'BASE SQL PLANTIO'!B:B,'BASE SQL PLANTIO'!T:T,"verificar",0),"")</f>
        <v/>
      </c>
      <c r="I1625" s="77" t="str">
        <f>IF(_xlfn.MINIFS('BASE SQL PLANTIO'!E:E,'BASE SQL PLANTIO'!B:B,VOOS!A1625)=0/1/1900,"",_xlfn.MINIFS('BASE SQL PLANTIO'!E:E,'BASE SQL PLANTIO'!B:B,VOOS!A1625))</f>
        <v/>
      </c>
      <c r="J1625" s="26"/>
      <c r="K1625" s="34" t="str">
        <f t="shared" si="76"/>
        <v/>
      </c>
      <c r="L1625" s="35" t="str">
        <f t="shared" si="77"/>
        <v/>
      </c>
      <c r="M1625" s="14"/>
      <c r="N1625" s="16"/>
    </row>
    <row r="1626" spans="1:14" ht="15.6" x14ac:dyDescent="0.3">
      <c r="A1626" s="13" t="str">
        <f t="shared" si="75"/>
        <v>-</v>
      </c>
      <c r="B1626" s="25"/>
      <c r="C1626" s="25"/>
      <c r="D1626" s="25"/>
      <c r="E1626" s="25"/>
      <c r="F1626" s="31"/>
      <c r="G1626" s="34">
        <f>SUMIFS('BASE EXEC. Q.L'!N:N,'BASE EXEC. Q.L'!B:B,VOOS!A1626)</f>
        <v>0</v>
      </c>
      <c r="H1626" s="15" t="str">
        <f>IFERROR(_xlfn.XLOOKUP(A1626,'BASE SQL PLANTIO'!B:B,'BASE SQL PLANTIO'!T:T,"verificar",0),"")</f>
        <v/>
      </c>
      <c r="I1626" s="77" t="str">
        <f>IF(_xlfn.MINIFS('BASE SQL PLANTIO'!E:E,'BASE SQL PLANTIO'!B:B,VOOS!A1626)=0/1/1900,"",_xlfn.MINIFS('BASE SQL PLANTIO'!E:E,'BASE SQL PLANTIO'!B:B,VOOS!A1626))</f>
        <v/>
      </c>
      <c r="J1626" s="26"/>
      <c r="K1626" s="34" t="str">
        <f t="shared" si="76"/>
        <v/>
      </c>
      <c r="L1626" s="35" t="str">
        <f t="shared" si="77"/>
        <v/>
      </c>
      <c r="M1626" s="14"/>
      <c r="N1626" s="15"/>
    </row>
    <row r="1627" spans="1:14" ht="15.6" x14ac:dyDescent="0.3">
      <c r="A1627" s="13" t="str">
        <f t="shared" si="75"/>
        <v>-</v>
      </c>
      <c r="B1627" s="27"/>
      <c r="C1627" s="26"/>
      <c r="D1627" s="26"/>
      <c r="E1627" s="26"/>
      <c r="F1627" s="26"/>
      <c r="G1627" s="34">
        <f>SUMIFS('BASE EXEC. Q.L'!N:N,'BASE EXEC. Q.L'!B:B,VOOS!A1627)</f>
        <v>0</v>
      </c>
      <c r="H1627" s="15" t="str">
        <f>IFERROR(_xlfn.XLOOKUP(A1627,'BASE SQL PLANTIO'!B:B,'BASE SQL PLANTIO'!T:T,"verificar",0),"")</f>
        <v/>
      </c>
      <c r="I1627" s="77" t="str">
        <f>IF(_xlfn.MINIFS('BASE SQL PLANTIO'!E:E,'BASE SQL PLANTIO'!B:B,VOOS!A1627)=0/1/1900,"",_xlfn.MINIFS('BASE SQL PLANTIO'!E:E,'BASE SQL PLANTIO'!B:B,VOOS!A1627))</f>
        <v/>
      </c>
      <c r="J1627" s="26"/>
      <c r="K1627" s="34" t="str">
        <f t="shared" si="76"/>
        <v/>
      </c>
      <c r="L1627" s="35" t="str">
        <f t="shared" si="77"/>
        <v/>
      </c>
      <c r="M1627" s="14"/>
      <c r="N1627" s="16"/>
    </row>
    <row r="1628" spans="1:14" ht="15.6" x14ac:dyDescent="0.3">
      <c r="A1628" s="13" t="str">
        <f t="shared" si="75"/>
        <v>-</v>
      </c>
      <c r="B1628" s="27"/>
      <c r="C1628" s="26"/>
      <c r="D1628" s="26"/>
      <c r="E1628" s="26"/>
      <c r="F1628" s="26"/>
      <c r="G1628" s="34">
        <f>SUMIFS('BASE EXEC. Q.L'!N:N,'BASE EXEC. Q.L'!B:B,VOOS!A1628)</f>
        <v>0</v>
      </c>
      <c r="H1628" s="15" t="str">
        <f>IFERROR(_xlfn.XLOOKUP(A1628,'BASE SQL PLANTIO'!B:B,'BASE SQL PLANTIO'!T:T,"verificar",0),"")</f>
        <v/>
      </c>
      <c r="I1628" s="77" t="str">
        <f>IF(_xlfn.MINIFS('BASE SQL PLANTIO'!E:E,'BASE SQL PLANTIO'!B:B,VOOS!A1628)=0/1/1900,"",_xlfn.MINIFS('BASE SQL PLANTIO'!E:E,'BASE SQL PLANTIO'!B:B,VOOS!A1628))</f>
        <v/>
      </c>
      <c r="J1628" s="26"/>
      <c r="K1628" s="34" t="str">
        <f t="shared" si="76"/>
        <v/>
      </c>
      <c r="L1628" s="35" t="str">
        <f t="shared" si="77"/>
        <v/>
      </c>
      <c r="M1628" s="14"/>
      <c r="N1628" s="16"/>
    </row>
    <row r="1629" spans="1:14" ht="15.6" x14ac:dyDescent="0.3">
      <c r="A1629" s="13" t="str">
        <f t="shared" si="75"/>
        <v>-</v>
      </c>
      <c r="B1629" s="25"/>
      <c r="C1629" s="25"/>
      <c r="D1629" s="25"/>
      <c r="E1629" s="25"/>
      <c r="F1629" s="31"/>
      <c r="G1629" s="34">
        <f>SUMIFS('BASE EXEC. Q.L'!N:N,'BASE EXEC. Q.L'!B:B,VOOS!A1629)</f>
        <v>0</v>
      </c>
      <c r="H1629" s="15" t="str">
        <f>IFERROR(_xlfn.XLOOKUP(A1629,'BASE SQL PLANTIO'!B:B,'BASE SQL PLANTIO'!T:T,"verificar",0),"")</f>
        <v/>
      </c>
      <c r="I1629" s="77" t="str">
        <f>IF(_xlfn.MINIFS('BASE SQL PLANTIO'!E:E,'BASE SQL PLANTIO'!B:B,VOOS!A1629)=0/1/1900,"",_xlfn.MINIFS('BASE SQL PLANTIO'!E:E,'BASE SQL PLANTIO'!B:B,VOOS!A1629))</f>
        <v/>
      </c>
      <c r="J1629" s="26"/>
      <c r="K1629" s="34" t="str">
        <f t="shared" si="76"/>
        <v/>
      </c>
      <c r="L1629" s="35" t="str">
        <f t="shared" si="77"/>
        <v/>
      </c>
      <c r="M1629" s="14"/>
      <c r="N1629" s="16"/>
    </row>
    <row r="1630" spans="1:14" ht="15.6" x14ac:dyDescent="0.3">
      <c r="A1630" s="13" t="str">
        <f t="shared" si="75"/>
        <v>-</v>
      </c>
      <c r="B1630" s="25"/>
      <c r="C1630" s="25"/>
      <c r="D1630" s="25"/>
      <c r="E1630" s="25"/>
      <c r="F1630" s="31"/>
      <c r="G1630" s="34">
        <f>SUMIFS('BASE EXEC. Q.L'!N:N,'BASE EXEC. Q.L'!B:B,VOOS!A1630)</f>
        <v>0</v>
      </c>
      <c r="H1630" s="15" t="str">
        <f>IFERROR(_xlfn.XLOOKUP(A1630,'BASE SQL PLANTIO'!B:B,'BASE SQL PLANTIO'!T:T,"verificar",0),"")</f>
        <v/>
      </c>
      <c r="I1630" s="77" t="str">
        <f>IF(_xlfn.MINIFS('BASE SQL PLANTIO'!E:E,'BASE SQL PLANTIO'!B:B,VOOS!A1630)=0/1/1900,"",_xlfn.MINIFS('BASE SQL PLANTIO'!E:E,'BASE SQL PLANTIO'!B:B,VOOS!A1630))</f>
        <v/>
      </c>
      <c r="J1630" s="26"/>
      <c r="K1630" s="34" t="str">
        <f t="shared" si="76"/>
        <v/>
      </c>
      <c r="L1630" s="35" t="str">
        <f t="shared" si="77"/>
        <v/>
      </c>
      <c r="M1630" s="14"/>
      <c r="N1630" s="16"/>
    </row>
    <row r="1631" spans="1:14" ht="15.6" x14ac:dyDescent="0.3">
      <c r="A1631" s="13" t="str">
        <f t="shared" si="75"/>
        <v>-</v>
      </c>
      <c r="B1631" s="25"/>
      <c r="C1631" s="25"/>
      <c r="D1631" s="25"/>
      <c r="E1631" s="25"/>
      <c r="F1631" s="31"/>
      <c r="G1631" s="34">
        <f>SUMIFS('BASE EXEC. Q.L'!N:N,'BASE EXEC. Q.L'!B:B,VOOS!A1631)</f>
        <v>0</v>
      </c>
      <c r="H1631" s="15" t="str">
        <f>IFERROR(_xlfn.XLOOKUP(A1631,'BASE SQL PLANTIO'!B:B,'BASE SQL PLANTIO'!T:T,"verificar",0),"")</f>
        <v/>
      </c>
      <c r="I1631" s="77" t="str">
        <f>IF(_xlfn.MINIFS('BASE SQL PLANTIO'!E:E,'BASE SQL PLANTIO'!B:B,VOOS!A1631)=0/1/1900,"",_xlfn.MINIFS('BASE SQL PLANTIO'!E:E,'BASE SQL PLANTIO'!B:B,VOOS!A1631))</f>
        <v/>
      </c>
      <c r="J1631" s="26"/>
      <c r="K1631" s="34" t="str">
        <f t="shared" si="76"/>
        <v/>
      </c>
      <c r="L1631" s="35" t="str">
        <f t="shared" si="77"/>
        <v/>
      </c>
      <c r="M1631" s="14"/>
      <c r="N1631" s="15"/>
    </row>
    <row r="1632" spans="1:14" ht="15.6" x14ac:dyDescent="0.3">
      <c r="A1632" s="13" t="str">
        <f t="shared" si="75"/>
        <v>-</v>
      </c>
      <c r="B1632" s="25"/>
      <c r="C1632" s="25"/>
      <c r="D1632" s="25"/>
      <c r="E1632" s="25"/>
      <c r="F1632" s="31"/>
      <c r="G1632" s="34">
        <f>SUMIFS('BASE EXEC. Q.L'!N:N,'BASE EXEC. Q.L'!B:B,VOOS!A1632)</f>
        <v>0</v>
      </c>
      <c r="H1632" s="15" t="str">
        <f>IFERROR(_xlfn.XLOOKUP(A1632,'BASE SQL PLANTIO'!B:B,'BASE SQL PLANTIO'!T:T,"verificar",0),"")</f>
        <v/>
      </c>
      <c r="I1632" s="77" t="str">
        <f>IF(_xlfn.MINIFS('BASE SQL PLANTIO'!E:E,'BASE SQL PLANTIO'!B:B,VOOS!A1632)=0/1/1900,"",_xlfn.MINIFS('BASE SQL PLANTIO'!E:E,'BASE SQL PLANTIO'!B:B,VOOS!A1632))</f>
        <v/>
      </c>
      <c r="J1632" s="26"/>
      <c r="K1632" s="34" t="str">
        <f t="shared" si="76"/>
        <v/>
      </c>
      <c r="L1632" s="35" t="str">
        <f t="shared" si="77"/>
        <v/>
      </c>
      <c r="M1632" s="14"/>
      <c r="N1632" s="16"/>
    </row>
    <row r="1633" spans="1:14" ht="15.6" x14ac:dyDescent="0.3">
      <c r="A1633" s="13" t="str">
        <f t="shared" si="75"/>
        <v>-</v>
      </c>
      <c r="B1633" s="27"/>
      <c r="C1633" s="26"/>
      <c r="D1633" s="26"/>
      <c r="E1633" s="26"/>
      <c r="F1633" s="26"/>
      <c r="G1633" s="34">
        <f>SUMIFS('BASE EXEC. Q.L'!N:N,'BASE EXEC. Q.L'!B:B,VOOS!A1633)</f>
        <v>0</v>
      </c>
      <c r="H1633" s="15" t="str">
        <f>IFERROR(_xlfn.XLOOKUP(A1633,'BASE SQL PLANTIO'!B:B,'BASE SQL PLANTIO'!T:T,"verificar",0),"")</f>
        <v/>
      </c>
      <c r="I1633" s="77" t="str">
        <f>IF(_xlfn.MINIFS('BASE SQL PLANTIO'!E:E,'BASE SQL PLANTIO'!B:B,VOOS!A1633)=0/1/1900,"",_xlfn.MINIFS('BASE SQL PLANTIO'!E:E,'BASE SQL PLANTIO'!B:B,VOOS!A1633))</f>
        <v/>
      </c>
      <c r="J1633" s="26"/>
      <c r="K1633" s="34" t="str">
        <f t="shared" si="76"/>
        <v/>
      </c>
      <c r="L1633" s="35" t="str">
        <f t="shared" si="77"/>
        <v/>
      </c>
      <c r="M1633" s="14"/>
      <c r="N1633" s="16"/>
    </row>
    <row r="1634" spans="1:14" ht="15.6" x14ac:dyDescent="0.3">
      <c r="A1634" s="13" t="str">
        <f t="shared" si="75"/>
        <v>-</v>
      </c>
      <c r="B1634" s="27"/>
      <c r="C1634" s="26"/>
      <c r="D1634" s="26"/>
      <c r="E1634" s="26"/>
      <c r="F1634" s="26"/>
      <c r="G1634" s="34">
        <f>SUMIFS('BASE EXEC. Q.L'!N:N,'BASE EXEC. Q.L'!B:B,VOOS!A1634)</f>
        <v>0</v>
      </c>
      <c r="H1634" s="15" t="str">
        <f>IFERROR(_xlfn.XLOOKUP(A1634,'BASE SQL PLANTIO'!B:B,'BASE SQL PLANTIO'!T:T,"verificar",0),"")</f>
        <v/>
      </c>
      <c r="I1634" s="77" t="str">
        <f>IF(_xlfn.MINIFS('BASE SQL PLANTIO'!E:E,'BASE SQL PLANTIO'!B:B,VOOS!A1634)=0/1/1900,"",_xlfn.MINIFS('BASE SQL PLANTIO'!E:E,'BASE SQL PLANTIO'!B:B,VOOS!A1634))</f>
        <v/>
      </c>
      <c r="J1634" s="26"/>
      <c r="K1634" s="34" t="str">
        <f t="shared" si="76"/>
        <v/>
      </c>
      <c r="L1634" s="35" t="str">
        <f t="shared" si="77"/>
        <v/>
      </c>
      <c r="M1634" s="14"/>
      <c r="N1634" s="16"/>
    </row>
    <row r="1635" spans="1:14" ht="15.6" x14ac:dyDescent="0.3">
      <c r="A1635" s="13" t="str">
        <f t="shared" si="75"/>
        <v>-</v>
      </c>
      <c r="B1635" s="25"/>
      <c r="C1635" s="25"/>
      <c r="D1635" s="25"/>
      <c r="E1635" s="25"/>
      <c r="F1635" s="31"/>
      <c r="G1635" s="34">
        <f>SUMIFS('BASE EXEC. Q.L'!N:N,'BASE EXEC. Q.L'!B:B,VOOS!A1635)</f>
        <v>0</v>
      </c>
      <c r="H1635" s="15" t="str">
        <f>IFERROR(_xlfn.XLOOKUP(A1635,'BASE SQL PLANTIO'!B:B,'BASE SQL PLANTIO'!T:T,"verificar",0),"")</f>
        <v/>
      </c>
      <c r="I1635" s="77" t="str">
        <f>IF(_xlfn.MINIFS('BASE SQL PLANTIO'!E:E,'BASE SQL PLANTIO'!B:B,VOOS!A1635)=0/1/1900,"",_xlfn.MINIFS('BASE SQL PLANTIO'!E:E,'BASE SQL PLANTIO'!B:B,VOOS!A1635))</f>
        <v/>
      </c>
      <c r="J1635" s="26"/>
      <c r="K1635" s="34" t="str">
        <f t="shared" si="76"/>
        <v/>
      </c>
      <c r="L1635" s="35" t="str">
        <f t="shared" si="77"/>
        <v/>
      </c>
      <c r="M1635" s="14"/>
      <c r="N1635" s="16"/>
    </row>
    <row r="1636" spans="1:14" ht="15.6" x14ac:dyDescent="0.3">
      <c r="A1636" s="13" t="str">
        <f t="shared" si="75"/>
        <v>-</v>
      </c>
      <c r="B1636" s="25"/>
      <c r="C1636" s="25"/>
      <c r="D1636" s="25"/>
      <c r="E1636" s="25"/>
      <c r="F1636" s="31"/>
      <c r="G1636" s="34">
        <f>SUMIFS('BASE EXEC. Q.L'!N:N,'BASE EXEC. Q.L'!B:B,VOOS!A1636)</f>
        <v>0</v>
      </c>
      <c r="H1636" s="15" t="str">
        <f>IFERROR(_xlfn.XLOOKUP(A1636,'BASE SQL PLANTIO'!B:B,'BASE SQL PLANTIO'!T:T,"verificar",0),"")</f>
        <v/>
      </c>
      <c r="I1636" s="77" t="str">
        <f>IF(_xlfn.MINIFS('BASE SQL PLANTIO'!E:E,'BASE SQL PLANTIO'!B:B,VOOS!A1636)=0/1/1900,"",_xlfn.MINIFS('BASE SQL PLANTIO'!E:E,'BASE SQL PLANTIO'!B:B,VOOS!A1636))</f>
        <v/>
      </c>
      <c r="J1636" s="26"/>
      <c r="K1636" s="34" t="str">
        <f t="shared" si="76"/>
        <v/>
      </c>
      <c r="L1636" s="35" t="str">
        <f t="shared" si="77"/>
        <v/>
      </c>
      <c r="M1636" s="14"/>
      <c r="N1636" s="15"/>
    </row>
    <row r="1637" spans="1:14" ht="15.6" x14ac:dyDescent="0.3">
      <c r="A1637" s="13" t="str">
        <f t="shared" si="75"/>
        <v>-</v>
      </c>
      <c r="B1637" s="27"/>
      <c r="C1637" s="26"/>
      <c r="D1637" s="26"/>
      <c r="E1637" s="26"/>
      <c r="F1637" s="26"/>
      <c r="G1637" s="34">
        <f>SUMIFS('BASE EXEC. Q.L'!N:N,'BASE EXEC. Q.L'!B:B,VOOS!A1637)</f>
        <v>0</v>
      </c>
      <c r="H1637" s="15" t="str">
        <f>IFERROR(_xlfn.XLOOKUP(A1637,'BASE SQL PLANTIO'!B:B,'BASE SQL PLANTIO'!T:T,"verificar",0),"")</f>
        <v/>
      </c>
      <c r="I1637" s="77" t="str">
        <f>IF(_xlfn.MINIFS('BASE SQL PLANTIO'!E:E,'BASE SQL PLANTIO'!B:B,VOOS!A1637)=0/1/1900,"",_xlfn.MINIFS('BASE SQL PLANTIO'!E:E,'BASE SQL PLANTIO'!B:B,VOOS!A1637))</f>
        <v/>
      </c>
      <c r="J1637" s="26"/>
      <c r="K1637" s="34" t="str">
        <f t="shared" si="76"/>
        <v/>
      </c>
      <c r="L1637" s="35" t="str">
        <f t="shared" si="77"/>
        <v/>
      </c>
      <c r="M1637" s="14"/>
      <c r="N1637" s="16"/>
    </row>
    <row r="1638" spans="1:14" ht="15.6" x14ac:dyDescent="0.3">
      <c r="A1638" s="13" t="str">
        <f t="shared" si="75"/>
        <v>-</v>
      </c>
      <c r="B1638" s="27"/>
      <c r="C1638" s="26"/>
      <c r="D1638" s="26"/>
      <c r="E1638" s="26"/>
      <c r="F1638" s="26"/>
      <c r="G1638" s="34">
        <f>SUMIFS('BASE EXEC. Q.L'!N:N,'BASE EXEC. Q.L'!B:B,VOOS!A1638)</f>
        <v>0</v>
      </c>
      <c r="H1638" s="15" t="str">
        <f>IFERROR(_xlfn.XLOOKUP(A1638,'BASE SQL PLANTIO'!B:B,'BASE SQL PLANTIO'!T:T,"verificar",0),"")</f>
        <v/>
      </c>
      <c r="I1638" s="77" t="str">
        <f>IF(_xlfn.MINIFS('BASE SQL PLANTIO'!E:E,'BASE SQL PLANTIO'!B:B,VOOS!A1638)=0/1/1900,"",_xlfn.MINIFS('BASE SQL PLANTIO'!E:E,'BASE SQL PLANTIO'!B:B,VOOS!A1638))</f>
        <v/>
      </c>
      <c r="J1638" s="26"/>
      <c r="K1638" s="34" t="str">
        <f t="shared" si="76"/>
        <v/>
      </c>
      <c r="L1638" s="35" t="str">
        <f t="shared" si="77"/>
        <v/>
      </c>
      <c r="M1638" s="14"/>
      <c r="N1638" s="16"/>
    </row>
    <row r="1639" spans="1:14" ht="15.6" x14ac:dyDescent="0.3">
      <c r="A1639" s="13" t="str">
        <f t="shared" si="75"/>
        <v>-</v>
      </c>
      <c r="B1639" s="25"/>
      <c r="C1639" s="25"/>
      <c r="D1639" s="25"/>
      <c r="E1639" s="25"/>
      <c r="F1639" s="31"/>
      <c r="G1639" s="34">
        <f>SUMIFS('BASE EXEC. Q.L'!N:N,'BASE EXEC. Q.L'!B:B,VOOS!A1639)</f>
        <v>0</v>
      </c>
      <c r="H1639" s="15" t="str">
        <f>IFERROR(_xlfn.XLOOKUP(A1639,'BASE SQL PLANTIO'!B:B,'BASE SQL PLANTIO'!T:T,"verificar",0),"")</f>
        <v/>
      </c>
      <c r="I1639" s="77" t="str">
        <f>IF(_xlfn.MINIFS('BASE SQL PLANTIO'!E:E,'BASE SQL PLANTIO'!B:B,VOOS!A1639)=0/1/1900,"",_xlfn.MINIFS('BASE SQL PLANTIO'!E:E,'BASE SQL PLANTIO'!B:B,VOOS!A1639))</f>
        <v/>
      </c>
      <c r="J1639" s="26"/>
      <c r="K1639" s="34" t="str">
        <f t="shared" si="76"/>
        <v/>
      </c>
      <c r="L1639" s="35" t="str">
        <f t="shared" si="77"/>
        <v/>
      </c>
      <c r="M1639" s="14"/>
      <c r="N1639" s="16"/>
    </row>
    <row r="1640" spans="1:14" ht="15.6" x14ac:dyDescent="0.3">
      <c r="A1640" s="13" t="str">
        <f t="shared" si="75"/>
        <v>-</v>
      </c>
      <c r="B1640" s="25"/>
      <c r="C1640" s="25"/>
      <c r="D1640" s="25"/>
      <c r="E1640" s="25"/>
      <c r="F1640" s="31"/>
      <c r="G1640" s="34">
        <f>SUMIFS('BASE EXEC. Q.L'!N:N,'BASE EXEC. Q.L'!B:B,VOOS!A1640)</f>
        <v>0</v>
      </c>
      <c r="H1640" s="15" t="str">
        <f>IFERROR(_xlfn.XLOOKUP(A1640,'BASE SQL PLANTIO'!B:B,'BASE SQL PLANTIO'!T:T,"verificar",0),"")</f>
        <v/>
      </c>
      <c r="I1640" s="77" t="str">
        <f>IF(_xlfn.MINIFS('BASE SQL PLANTIO'!E:E,'BASE SQL PLANTIO'!B:B,VOOS!A1640)=0/1/1900,"",_xlfn.MINIFS('BASE SQL PLANTIO'!E:E,'BASE SQL PLANTIO'!B:B,VOOS!A1640))</f>
        <v/>
      </c>
      <c r="J1640" s="26"/>
      <c r="K1640" s="34" t="str">
        <f t="shared" si="76"/>
        <v/>
      </c>
      <c r="L1640" s="35" t="str">
        <f t="shared" si="77"/>
        <v/>
      </c>
      <c r="M1640" s="14"/>
      <c r="N1640" s="16"/>
    </row>
    <row r="1641" spans="1:14" ht="15.6" x14ac:dyDescent="0.3">
      <c r="A1641" s="13" t="str">
        <f t="shared" si="75"/>
        <v>-</v>
      </c>
      <c r="B1641" s="25"/>
      <c r="C1641" s="25"/>
      <c r="D1641" s="25"/>
      <c r="E1641" s="25"/>
      <c r="F1641" s="31"/>
      <c r="G1641" s="34">
        <f>SUMIFS('BASE EXEC. Q.L'!N:N,'BASE EXEC. Q.L'!B:B,VOOS!A1641)</f>
        <v>0</v>
      </c>
      <c r="H1641" s="15" t="str">
        <f>IFERROR(_xlfn.XLOOKUP(A1641,'BASE SQL PLANTIO'!B:B,'BASE SQL PLANTIO'!T:T,"verificar",0),"")</f>
        <v/>
      </c>
      <c r="I1641" s="77" t="str">
        <f>IF(_xlfn.MINIFS('BASE SQL PLANTIO'!E:E,'BASE SQL PLANTIO'!B:B,VOOS!A1641)=0/1/1900,"",_xlfn.MINIFS('BASE SQL PLANTIO'!E:E,'BASE SQL PLANTIO'!B:B,VOOS!A1641))</f>
        <v/>
      </c>
      <c r="J1641" s="26"/>
      <c r="K1641" s="34" t="str">
        <f t="shared" si="76"/>
        <v/>
      </c>
      <c r="L1641" s="35" t="str">
        <f t="shared" si="77"/>
        <v/>
      </c>
      <c r="M1641" s="14"/>
      <c r="N1641" s="15"/>
    </row>
    <row r="1642" spans="1:14" ht="15.6" x14ac:dyDescent="0.3">
      <c r="A1642" s="13" t="str">
        <f t="shared" si="75"/>
        <v>-</v>
      </c>
      <c r="B1642" s="27"/>
      <c r="C1642" s="26"/>
      <c r="D1642" s="26"/>
      <c r="E1642" s="26"/>
      <c r="F1642" s="26"/>
      <c r="G1642" s="34">
        <f>SUMIFS('BASE EXEC. Q.L'!N:N,'BASE EXEC. Q.L'!B:B,VOOS!A1642)</f>
        <v>0</v>
      </c>
      <c r="H1642" s="15" t="str">
        <f>IFERROR(_xlfn.XLOOKUP(A1642,'BASE SQL PLANTIO'!B:B,'BASE SQL PLANTIO'!T:T,"verificar",0),"")</f>
        <v/>
      </c>
      <c r="I1642" s="77" t="str">
        <f>IF(_xlfn.MINIFS('BASE SQL PLANTIO'!E:E,'BASE SQL PLANTIO'!B:B,VOOS!A1642)=0/1/1900,"",_xlfn.MINIFS('BASE SQL PLANTIO'!E:E,'BASE SQL PLANTIO'!B:B,VOOS!A1642))</f>
        <v/>
      </c>
      <c r="J1642" s="26"/>
      <c r="K1642" s="34" t="str">
        <f t="shared" si="76"/>
        <v/>
      </c>
      <c r="L1642" s="35" t="str">
        <f t="shared" si="77"/>
        <v/>
      </c>
      <c r="M1642" s="14"/>
      <c r="N1642" s="16"/>
    </row>
    <row r="1643" spans="1:14" ht="15.6" x14ac:dyDescent="0.3">
      <c r="A1643" s="13" t="str">
        <f t="shared" si="75"/>
        <v>-</v>
      </c>
      <c r="B1643" s="27"/>
      <c r="C1643" s="26"/>
      <c r="D1643" s="26"/>
      <c r="E1643" s="26"/>
      <c r="F1643" s="26"/>
      <c r="G1643" s="34">
        <f>SUMIFS('BASE EXEC. Q.L'!N:N,'BASE EXEC. Q.L'!B:B,VOOS!A1643)</f>
        <v>0</v>
      </c>
      <c r="H1643" s="15" t="str">
        <f>IFERROR(_xlfn.XLOOKUP(A1643,'BASE SQL PLANTIO'!B:B,'BASE SQL PLANTIO'!T:T,"verificar",0),"")</f>
        <v/>
      </c>
      <c r="I1643" s="77" t="str">
        <f>IF(_xlfn.MINIFS('BASE SQL PLANTIO'!E:E,'BASE SQL PLANTIO'!B:B,VOOS!A1643)=0/1/1900,"",_xlfn.MINIFS('BASE SQL PLANTIO'!E:E,'BASE SQL PLANTIO'!B:B,VOOS!A1643))</f>
        <v/>
      </c>
      <c r="J1643" s="26"/>
      <c r="K1643" s="34" t="str">
        <f t="shared" si="76"/>
        <v/>
      </c>
      <c r="L1643" s="35" t="str">
        <f t="shared" si="77"/>
        <v/>
      </c>
      <c r="M1643" s="14"/>
      <c r="N1643" s="16"/>
    </row>
    <row r="1644" spans="1:14" ht="15.6" x14ac:dyDescent="0.3">
      <c r="A1644" s="13" t="str">
        <f t="shared" si="75"/>
        <v>-</v>
      </c>
      <c r="B1644" s="25"/>
      <c r="C1644" s="25"/>
      <c r="D1644" s="25"/>
      <c r="E1644" s="25"/>
      <c r="F1644" s="31"/>
      <c r="G1644" s="34">
        <f>SUMIFS('BASE EXEC. Q.L'!N:N,'BASE EXEC. Q.L'!B:B,VOOS!A1644)</f>
        <v>0</v>
      </c>
      <c r="H1644" s="15" t="str">
        <f>IFERROR(_xlfn.XLOOKUP(A1644,'BASE SQL PLANTIO'!B:B,'BASE SQL PLANTIO'!T:T,"verificar",0),"")</f>
        <v/>
      </c>
      <c r="I1644" s="77" t="str">
        <f>IF(_xlfn.MINIFS('BASE SQL PLANTIO'!E:E,'BASE SQL PLANTIO'!B:B,VOOS!A1644)=0/1/1900,"",_xlfn.MINIFS('BASE SQL PLANTIO'!E:E,'BASE SQL PLANTIO'!B:B,VOOS!A1644))</f>
        <v/>
      </c>
      <c r="J1644" s="26"/>
      <c r="K1644" s="34" t="str">
        <f t="shared" si="76"/>
        <v/>
      </c>
      <c r="L1644" s="35" t="str">
        <f t="shared" si="77"/>
        <v/>
      </c>
      <c r="M1644" s="14"/>
      <c r="N1644" s="16"/>
    </row>
    <row r="1645" spans="1:14" ht="15.6" x14ac:dyDescent="0.3">
      <c r="A1645" s="13" t="str">
        <f t="shared" si="75"/>
        <v>-</v>
      </c>
      <c r="B1645" s="25"/>
      <c r="C1645" s="25"/>
      <c r="D1645" s="25"/>
      <c r="E1645" s="25"/>
      <c r="F1645" s="31"/>
      <c r="G1645" s="34">
        <f>SUMIFS('BASE EXEC. Q.L'!N:N,'BASE EXEC. Q.L'!B:B,VOOS!A1645)</f>
        <v>0</v>
      </c>
      <c r="H1645" s="15" t="str">
        <f>IFERROR(_xlfn.XLOOKUP(A1645,'BASE SQL PLANTIO'!B:B,'BASE SQL PLANTIO'!T:T,"verificar",0),"")</f>
        <v/>
      </c>
      <c r="I1645" s="77" t="str">
        <f>IF(_xlfn.MINIFS('BASE SQL PLANTIO'!E:E,'BASE SQL PLANTIO'!B:B,VOOS!A1645)=0/1/1900,"",_xlfn.MINIFS('BASE SQL PLANTIO'!E:E,'BASE SQL PLANTIO'!B:B,VOOS!A1645))</f>
        <v/>
      </c>
      <c r="J1645" s="26"/>
      <c r="K1645" s="34" t="str">
        <f t="shared" si="76"/>
        <v/>
      </c>
      <c r="L1645" s="35" t="str">
        <f t="shared" si="77"/>
        <v/>
      </c>
      <c r="M1645" s="14"/>
      <c r="N1645" s="16"/>
    </row>
    <row r="1646" spans="1:14" ht="15.6" x14ac:dyDescent="0.3">
      <c r="A1646" s="13" t="str">
        <f t="shared" si="75"/>
        <v>-</v>
      </c>
      <c r="B1646" s="25"/>
      <c r="C1646" s="25"/>
      <c r="D1646" s="25"/>
      <c r="E1646" s="25"/>
      <c r="F1646" s="31"/>
      <c r="G1646" s="34">
        <f>SUMIFS('BASE EXEC. Q.L'!N:N,'BASE EXEC. Q.L'!B:B,VOOS!A1646)</f>
        <v>0</v>
      </c>
      <c r="H1646" s="15" t="str">
        <f>IFERROR(_xlfn.XLOOKUP(A1646,'BASE SQL PLANTIO'!B:B,'BASE SQL PLANTIO'!T:T,"verificar",0),"")</f>
        <v/>
      </c>
      <c r="I1646" s="77" t="str">
        <f>IF(_xlfn.MINIFS('BASE SQL PLANTIO'!E:E,'BASE SQL PLANTIO'!B:B,VOOS!A1646)=0/1/1900,"",_xlfn.MINIFS('BASE SQL PLANTIO'!E:E,'BASE SQL PLANTIO'!B:B,VOOS!A1646))</f>
        <v/>
      </c>
      <c r="J1646" s="26"/>
      <c r="K1646" s="34" t="str">
        <f t="shared" si="76"/>
        <v/>
      </c>
      <c r="L1646" s="35" t="str">
        <f t="shared" si="77"/>
        <v/>
      </c>
      <c r="M1646" s="14"/>
      <c r="N1646" s="15"/>
    </row>
    <row r="1647" spans="1:14" ht="15.6" x14ac:dyDescent="0.3">
      <c r="A1647" s="13" t="str">
        <f t="shared" si="75"/>
        <v>-</v>
      </c>
      <c r="B1647" s="27"/>
      <c r="C1647" s="26"/>
      <c r="D1647" s="26"/>
      <c r="E1647" s="26"/>
      <c r="F1647" s="26"/>
      <c r="G1647" s="34">
        <f>SUMIFS('BASE EXEC. Q.L'!N:N,'BASE EXEC. Q.L'!B:B,VOOS!A1647)</f>
        <v>0</v>
      </c>
      <c r="H1647" s="15" t="str">
        <f>IFERROR(_xlfn.XLOOKUP(A1647,'BASE SQL PLANTIO'!B:B,'BASE SQL PLANTIO'!T:T,"verificar",0),"")</f>
        <v/>
      </c>
      <c r="I1647" s="77" t="str">
        <f>IF(_xlfn.MINIFS('BASE SQL PLANTIO'!E:E,'BASE SQL PLANTIO'!B:B,VOOS!A1647)=0/1/1900,"",_xlfn.MINIFS('BASE SQL PLANTIO'!E:E,'BASE SQL PLANTIO'!B:B,VOOS!A1647))</f>
        <v/>
      </c>
      <c r="J1647" s="26"/>
      <c r="K1647" s="34" t="str">
        <f t="shared" si="76"/>
        <v/>
      </c>
      <c r="L1647" s="35" t="str">
        <f t="shared" si="77"/>
        <v/>
      </c>
      <c r="M1647" s="14"/>
      <c r="N1647" s="16"/>
    </row>
    <row r="1648" spans="1:14" ht="15.6" x14ac:dyDescent="0.3">
      <c r="A1648" s="13" t="str">
        <f t="shared" si="75"/>
        <v>-</v>
      </c>
      <c r="B1648" s="27"/>
      <c r="C1648" s="26"/>
      <c r="D1648" s="26"/>
      <c r="E1648" s="26"/>
      <c r="F1648" s="26"/>
      <c r="G1648" s="34">
        <f>SUMIFS('BASE EXEC. Q.L'!N:N,'BASE EXEC. Q.L'!B:B,VOOS!A1648)</f>
        <v>0</v>
      </c>
      <c r="H1648" s="15" t="str">
        <f>IFERROR(_xlfn.XLOOKUP(A1648,'BASE SQL PLANTIO'!B:B,'BASE SQL PLANTIO'!T:T,"verificar",0),"")</f>
        <v/>
      </c>
      <c r="I1648" s="77" t="str">
        <f>IF(_xlfn.MINIFS('BASE SQL PLANTIO'!E:E,'BASE SQL PLANTIO'!B:B,VOOS!A1648)=0/1/1900,"",_xlfn.MINIFS('BASE SQL PLANTIO'!E:E,'BASE SQL PLANTIO'!B:B,VOOS!A1648))</f>
        <v/>
      </c>
      <c r="J1648" s="26"/>
      <c r="K1648" s="34" t="str">
        <f t="shared" si="76"/>
        <v/>
      </c>
      <c r="L1648" s="35" t="str">
        <f t="shared" si="77"/>
        <v/>
      </c>
      <c r="M1648" s="14"/>
      <c r="N1648" s="16"/>
    </row>
    <row r="1649" spans="1:14" ht="15.6" x14ac:dyDescent="0.3">
      <c r="A1649" s="13" t="str">
        <f t="shared" si="75"/>
        <v>-</v>
      </c>
      <c r="B1649" s="25"/>
      <c r="C1649" s="25"/>
      <c r="D1649" s="25"/>
      <c r="E1649" s="25"/>
      <c r="F1649" s="31"/>
      <c r="G1649" s="34">
        <f>SUMIFS('BASE EXEC. Q.L'!N:N,'BASE EXEC. Q.L'!B:B,VOOS!A1649)</f>
        <v>0</v>
      </c>
      <c r="H1649" s="15" t="str">
        <f>IFERROR(_xlfn.XLOOKUP(A1649,'BASE SQL PLANTIO'!B:B,'BASE SQL PLANTIO'!T:T,"verificar",0),"")</f>
        <v/>
      </c>
      <c r="I1649" s="77" t="str">
        <f>IF(_xlfn.MINIFS('BASE SQL PLANTIO'!E:E,'BASE SQL PLANTIO'!B:B,VOOS!A1649)=0/1/1900,"",_xlfn.MINIFS('BASE SQL PLANTIO'!E:E,'BASE SQL PLANTIO'!B:B,VOOS!A1649))</f>
        <v/>
      </c>
      <c r="J1649" s="26"/>
      <c r="K1649" s="34" t="str">
        <f t="shared" si="76"/>
        <v/>
      </c>
      <c r="L1649" s="35" t="str">
        <f t="shared" si="77"/>
        <v/>
      </c>
      <c r="M1649" s="14"/>
      <c r="N1649" s="16"/>
    </row>
    <row r="1650" spans="1:14" ht="15.6" x14ac:dyDescent="0.3">
      <c r="A1650" s="13" t="str">
        <f t="shared" si="75"/>
        <v>-</v>
      </c>
      <c r="B1650" s="25"/>
      <c r="C1650" s="25"/>
      <c r="D1650" s="25"/>
      <c r="E1650" s="25"/>
      <c r="F1650" s="31"/>
      <c r="G1650" s="34">
        <f>SUMIFS('BASE EXEC. Q.L'!N:N,'BASE EXEC. Q.L'!B:B,VOOS!A1650)</f>
        <v>0</v>
      </c>
      <c r="H1650" s="15" t="str">
        <f>IFERROR(_xlfn.XLOOKUP(A1650,'BASE SQL PLANTIO'!B:B,'BASE SQL PLANTIO'!T:T,"verificar",0),"")</f>
        <v/>
      </c>
      <c r="I1650" s="77" t="str">
        <f>IF(_xlfn.MINIFS('BASE SQL PLANTIO'!E:E,'BASE SQL PLANTIO'!B:B,VOOS!A1650)=0/1/1900,"",_xlfn.MINIFS('BASE SQL PLANTIO'!E:E,'BASE SQL PLANTIO'!B:B,VOOS!A1650))</f>
        <v/>
      </c>
      <c r="J1650" s="26"/>
      <c r="K1650" s="34" t="str">
        <f t="shared" si="76"/>
        <v/>
      </c>
      <c r="L1650" s="35" t="str">
        <f t="shared" si="77"/>
        <v/>
      </c>
      <c r="M1650" s="14"/>
      <c r="N1650" s="16"/>
    </row>
    <row r="1651" spans="1:14" ht="15.6" x14ac:dyDescent="0.3">
      <c r="A1651" s="13" t="str">
        <f t="shared" si="75"/>
        <v>-</v>
      </c>
      <c r="B1651" s="25"/>
      <c r="C1651" s="25"/>
      <c r="D1651" s="25"/>
      <c r="E1651" s="25"/>
      <c r="F1651" s="31"/>
      <c r="G1651" s="34">
        <f>SUMIFS('BASE EXEC. Q.L'!N:N,'BASE EXEC. Q.L'!B:B,VOOS!A1651)</f>
        <v>0</v>
      </c>
      <c r="H1651" s="15" t="str">
        <f>IFERROR(_xlfn.XLOOKUP(A1651,'BASE SQL PLANTIO'!B:B,'BASE SQL PLANTIO'!T:T,"verificar",0),"")</f>
        <v/>
      </c>
      <c r="I1651" s="77" t="str">
        <f>IF(_xlfn.MINIFS('BASE SQL PLANTIO'!E:E,'BASE SQL PLANTIO'!B:B,VOOS!A1651)=0/1/1900,"",_xlfn.MINIFS('BASE SQL PLANTIO'!E:E,'BASE SQL PLANTIO'!B:B,VOOS!A1651))</f>
        <v/>
      </c>
      <c r="J1651" s="26"/>
      <c r="K1651" s="34" t="str">
        <f t="shared" si="76"/>
        <v/>
      </c>
      <c r="L1651" s="35" t="str">
        <f t="shared" si="77"/>
        <v/>
      </c>
      <c r="M1651" s="14"/>
      <c r="N1651" s="15"/>
    </row>
    <row r="1652" spans="1:14" ht="15.6" x14ac:dyDescent="0.3">
      <c r="A1652" s="13" t="str">
        <f t="shared" si="75"/>
        <v>-</v>
      </c>
      <c r="B1652" s="27"/>
      <c r="C1652" s="26"/>
      <c r="D1652" s="26"/>
      <c r="E1652" s="26"/>
      <c r="F1652" s="26"/>
      <c r="G1652" s="34">
        <f>SUMIFS('BASE EXEC. Q.L'!N:N,'BASE EXEC. Q.L'!B:B,VOOS!A1652)</f>
        <v>0</v>
      </c>
      <c r="H1652" s="15" t="str">
        <f>IFERROR(_xlfn.XLOOKUP(A1652,'BASE SQL PLANTIO'!B:B,'BASE SQL PLANTIO'!T:T,"verificar",0),"")</f>
        <v/>
      </c>
      <c r="I1652" s="77" t="str">
        <f>IF(_xlfn.MINIFS('BASE SQL PLANTIO'!E:E,'BASE SQL PLANTIO'!B:B,VOOS!A1652)=0/1/1900,"",_xlfn.MINIFS('BASE SQL PLANTIO'!E:E,'BASE SQL PLANTIO'!B:B,VOOS!A1652))</f>
        <v/>
      </c>
      <c r="J1652" s="26"/>
      <c r="K1652" s="34" t="str">
        <f t="shared" si="76"/>
        <v/>
      </c>
      <c r="L1652" s="35" t="str">
        <f t="shared" si="77"/>
        <v/>
      </c>
      <c r="M1652" s="14"/>
      <c r="N1652" s="16"/>
    </row>
    <row r="1653" spans="1:14" ht="15.6" x14ac:dyDescent="0.3">
      <c r="A1653" s="13" t="str">
        <f t="shared" si="75"/>
        <v>-</v>
      </c>
      <c r="B1653" s="27"/>
      <c r="C1653" s="26"/>
      <c r="D1653" s="26"/>
      <c r="E1653" s="26"/>
      <c r="F1653" s="26"/>
      <c r="G1653" s="34">
        <f>SUMIFS('BASE EXEC. Q.L'!N:N,'BASE EXEC. Q.L'!B:B,VOOS!A1653)</f>
        <v>0</v>
      </c>
      <c r="H1653" s="15" t="str">
        <f>IFERROR(_xlfn.XLOOKUP(A1653,'BASE SQL PLANTIO'!B:B,'BASE SQL PLANTIO'!T:T,"verificar",0),"")</f>
        <v/>
      </c>
      <c r="I1653" s="77" t="str">
        <f>IF(_xlfn.MINIFS('BASE SQL PLANTIO'!E:E,'BASE SQL PLANTIO'!B:B,VOOS!A1653)=0/1/1900,"",_xlfn.MINIFS('BASE SQL PLANTIO'!E:E,'BASE SQL PLANTIO'!B:B,VOOS!A1653))</f>
        <v/>
      </c>
      <c r="J1653" s="26"/>
      <c r="K1653" s="34" t="str">
        <f t="shared" si="76"/>
        <v/>
      </c>
      <c r="L1653" s="35" t="str">
        <f t="shared" si="77"/>
        <v/>
      </c>
      <c r="M1653" s="14"/>
      <c r="N1653" s="16"/>
    </row>
    <row r="1654" spans="1:14" ht="15.6" x14ac:dyDescent="0.3">
      <c r="A1654" s="13" t="str">
        <f t="shared" si="75"/>
        <v>-</v>
      </c>
      <c r="B1654" s="25"/>
      <c r="C1654" s="25"/>
      <c r="D1654" s="25"/>
      <c r="E1654" s="25"/>
      <c r="F1654" s="31"/>
      <c r="G1654" s="34">
        <f>SUMIFS('BASE EXEC. Q.L'!N:N,'BASE EXEC. Q.L'!B:B,VOOS!A1654)</f>
        <v>0</v>
      </c>
      <c r="H1654" s="15" t="str">
        <f>IFERROR(_xlfn.XLOOKUP(A1654,'BASE SQL PLANTIO'!B:B,'BASE SQL PLANTIO'!T:T,"verificar",0),"")</f>
        <v/>
      </c>
      <c r="I1654" s="77" t="str">
        <f>IF(_xlfn.MINIFS('BASE SQL PLANTIO'!E:E,'BASE SQL PLANTIO'!B:B,VOOS!A1654)=0/1/1900,"",_xlfn.MINIFS('BASE SQL PLANTIO'!E:E,'BASE SQL PLANTIO'!B:B,VOOS!A1654))</f>
        <v/>
      </c>
      <c r="J1654" s="26"/>
      <c r="K1654" s="34" t="str">
        <f t="shared" si="76"/>
        <v/>
      </c>
      <c r="L1654" s="35" t="str">
        <f t="shared" si="77"/>
        <v/>
      </c>
      <c r="M1654" s="14"/>
      <c r="N1654" s="16"/>
    </row>
    <row r="1655" spans="1:14" ht="15.6" x14ac:dyDescent="0.3">
      <c r="A1655" s="13" t="str">
        <f t="shared" si="75"/>
        <v>-</v>
      </c>
      <c r="B1655" s="25"/>
      <c r="C1655" s="25"/>
      <c r="D1655" s="25"/>
      <c r="E1655" s="25"/>
      <c r="F1655" s="31"/>
      <c r="G1655" s="34">
        <f>SUMIFS('BASE EXEC. Q.L'!N:N,'BASE EXEC. Q.L'!B:B,VOOS!A1655)</f>
        <v>0</v>
      </c>
      <c r="H1655" s="15" t="str">
        <f>IFERROR(_xlfn.XLOOKUP(A1655,'BASE SQL PLANTIO'!B:B,'BASE SQL PLANTIO'!T:T,"verificar",0),"")</f>
        <v/>
      </c>
      <c r="I1655" s="77" t="str">
        <f>IF(_xlfn.MINIFS('BASE SQL PLANTIO'!E:E,'BASE SQL PLANTIO'!B:B,VOOS!A1655)=0/1/1900,"",_xlfn.MINIFS('BASE SQL PLANTIO'!E:E,'BASE SQL PLANTIO'!B:B,VOOS!A1655))</f>
        <v/>
      </c>
      <c r="J1655" s="26"/>
      <c r="K1655" s="34" t="str">
        <f t="shared" si="76"/>
        <v/>
      </c>
      <c r="L1655" s="35" t="str">
        <f t="shared" si="77"/>
        <v/>
      </c>
      <c r="M1655" s="14"/>
      <c r="N1655" s="16"/>
    </row>
    <row r="1656" spans="1:14" ht="15.6" x14ac:dyDescent="0.3">
      <c r="A1656" s="13" t="str">
        <f t="shared" si="75"/>
        <v>-</v>
      </c>
      <c r="B1656" s="25"/>
      <c r="C1656" s="25"/>
      <c r="D1656" s="25"/>
      <c r="E1656" s="25"/>
      <c r="F1656" s="31"/>
      <c r="G1656" s="34">
        <f>SUMIFS('BASE EXEC. Q.L'!N:N,'BASE EXEC. Q.L'!B:B,VOOS!A1656)</f>
        <v>0</v>
      </c>
      <c r="H1656" s="15" t="str">
        <f>IFERROR(_xlfn.XLOOKUP(A1656,'BASE SQL PLANTIO'!B:B,'BASE SQL PLANTIO'!T:T,"verificar",0),"")</f>
        <v/>
      </c>
      <c r="I1656" s="77" t="str">
        <f>IF(_xlfn.MINIFS('BASE SQL PLANTIO'!E:E,'BASE SQL PLANTIO'!B:B,VOOS!A1656)=0/1/1900,"",_xlfn.MINIFS('BASE SQL PLANTIO'!E:E,'BASE SQL PLANTIO'!B:B,VOOS!A1656))</f>
        <v/>
      </c>
      <c r="J1656" s="26"/>
      <c r="K1656" s="34" t="str">
        <f t="shared" si="76"/>
        <v/>
      </c>
      <c r="L1656" s="35" t="str">
        <f t="shared" si="77"/>
        <v/>
      </c>
      <c r="M1656" s="14"/>
      <c r="N1656" s="15"/>
    </row>
    <row r="1657" spans="1:14" ht="15.6" x14ac:dyDescent="0.3">
      <c r="A1657" s="13" t="str">
        <f t="shared" si="75"/>
        <v>-</v>
      </c>
      <c r="B1657" s="27"/>
      <c r="C1657" s="26"/>
      <c r="D1657" s="26"/>
      <c r="E1657" s="26"/>
      <c r="F1657" s="26"/>
      <c r="G1657" s="34">
        <f>SUMIFS('BASE EXEC. Q.L'!N:N,'BASE EXEC. Q.L'!B:B,VOOS!A1657)</f>
        <v>0</v>
      </c>
      <c r="H1657" s="15" t="str">
        <f>IFERROR(_xlfn.XLOOKUP(A1657,'BASE SQL PLANTIO'!B:B,'BASE SQL PLANTIO'!T:T,"verificar",0),"")</f>
        <v/>
      </c>
      <c r="I1657" s="77" t="str">
        <f>IF(_xlfn.MINIFS('BASE SQL PLANTIO'!E:E,'BASE SQL PLANTIO'!B:B,VOOS!A1657)=0/1/1900,"",_xlfn.MINIFS('BASE SQL PLANTIO'!E:E,'BASE SQL PLANTIO'!B:B,VOOS!A1657))</f>
        <v/>
      </c>
      <c r="J1657" s="26"/>
      <c r="K1657" s="34" t="str">
        <f t="shared" si="76"/>
        <v/>
      </c>
      <c r="L1657" s="35" t="str">
        <f t="shared" si="77"/>
        <v/>
      </c>
      <c r="M1657" s="14"/>
      <c r="N1657" s="16"/>
    </row>
    <row r="1658" spans="1:14" ht="15.6" x14ac:dyDescent="0.3">
      <c r="A1658" s="13" t="str">
        <f t="shared" si="75"/>
        <v>-</v>
      </c>
      <c r="B1658" s="27"/>
      <c r="C1658" s="26"/>
      <c r="D1658" s="26"/>
      <c r="E1658" s="26"/>
      <c r="F1658" s="26"/>
      <c r="G1658" s="34">
        <f>SUMIFS('BASE EXEC. Q.L'!N:N,'BASE EXEC. Q.L'!B:B,VOOS!A1658)</f>
        <v>0</v>
      </c>
      <c r="H1658" s="15" t="str">
        <f>IFERROR(_xlfn.XLOOKUP(A1658,'BASE SQL PLANTIO'!B:B,'BASE SQL PLANTIO'!T:T,"verificar",0),"")</f>
        <v/>
      </c>
      <c r="I1658" s="77" t="str">
        <f>IF(_xlfn.MINIFS('BASE SQL PLANTIO'!E:E,'BASE SQL PLANTIO'!B:B,VOOS!A1658)=0/1/1900,"",_xlfn.MINIFS('BASE SQL PLANTIO'!E:E,'BASE SQL PLANTIO'!B:B,VOOS!A1658))</f>
        <v/>
      </c>
      <c r="J1658" s="26"/>
      <c r="K1658" s="34" t="str">
        <f t="shared" si="76"/>
        <v/>
      </c>
      <c r="L1658" s="35" t="str">
        <f t="shared" si="77"/>
        <v/>
      </c>
      <c r="M1658" s="14"/>
      <c r="N1658" s="16"/>
    </row>
    <row r="1659" spans="1:14" ht="15.6" x14ac:dyDescent="0.3">
      <c r="A1659" s="13" t="str">
        <f t="shared" si="75"/>
        <v>-</v>
      </c>
      <c r="B1659" s="25"/>
      <c r="C1659" s="25"/>
      <c r="D1659" s="25"/>
      <c r="E1659" s="25"/>
      <c r="F1659" s="31"/>
      <c r="G1659" s="34">
        <f>SUMIFS('BASE EXEC. Q.L'!N:N,'BASE EXEC. Q.L'!B:B,VOOS!A1659)</f>
        <v>0</v>
      </c>
      <c r="H1659" s="15" t="str">
        <f>IFERROR(_xlfn.XLOOKUP(A1659,'BASE SQL PLANTIO'!B:B,'BASE SQL PLANTIO'!T:T,"verificar",0),"")</f>
        <v/>
      </c>
      <c r="I1659" s="77" t="str">
        <f>IF(_xlfn.MINIFS('BASE SQL PLANTIO'!E:E,'BASE SQL PLANTIO'!B:B,VOOS!A1659)=0/1/1900,"",_xlfn.MINIFS('BASE SQL PLANTIO'!E:E,'BASE SQL PLANTIO'!B:B,VOOS!A1659))</f>
        <v/>
      </c>
      <c r="J1659" s="26"/>
      <c r="K1659" s="34" t="str">
        <f t="shared" si="76"/>
        <v/>
      </c>
      <c r="L1659" s="35" t="str">
        <f t="shared" si="77"/>
        <v/>
      </c>
      <c r="M1659" s="14"/>
      <c r="N1659" s="16"/>
    </row>
    <row r="1660" spans="1:14" ht="15.6" x14ac:dyDescent="0.3">
      <c r="A1660" s="13" t="str">
        <f t="shared" si="75"/>
        <v>-</v>
      </c>
      <c r="B1660" s="25"/>
      <c r="C1660" s="25"/>
      <c r="D1660" s="25"/>
      <c r="E1660" s="25"/>
      <c r="F1660" s="31"/>
      <c r="G1660" s="34">
        <f>SUMIFS('BASE EXEC. Q.L'!N:N,'BASE EXEC. Q.L'!B:B,VOOS!A1660)</f>
        <v>0</v>
      </c>
      <c r="H1660" s="15" t="str">
        <f>IFERROR(_xlfn.XLOOKUP(A1660,'BASE SQL PLANTIO'!B:B,'BASE SQL PLANTIO'!T:T,"verificar",0),"")</f>
        <v/>
      </c>
      <c r="I1660" s="77" t="str">
        <f>IF(_xlfn.MINIFS('BASE SQL PLANTIO'!E:E,'BASE SQL PLANTIO'!B:B,VOOS!A1660)=0/1/1900,"",_xlfn.MINIFS('BASE SQL PLANTIO'!E:E,'BASE SQL PLANTIO'!B:B,VOOS!A1660))</f>
        <v/>
      </c>
      <c r="J1660" s="26"/>
      <c r="K1660" s="34" t="str">
        <f t="shared" si="76"/>
        <v/>
      </c>
      <c r="L1660" s="35" t="str">
        <f t="shared" si="77"/>
        <v/>
      </c>
      <c r="M1660" s="14"/>
      <c r="N1660" s="16"/>
    </row>
    <row r="1661" spans="1:14" ht="15.6" x14ac:dyDescent="0.3">
      <c r="A1661" s="13" t="str">
        <f t="shared" si="75"/>
        <v>-</v>
      </c>
      <c r="B1661" s="25"/>
      <c r="C1661" s="25"/>
      <c r="D1661" s="25"/>
      <c r="E1661" s="25"/>
      <c r="F1661" s="31"/>
      <c r="G1661" s="34">
        <f>SUMIFS('BASE EXEC. Q.L'!N:N,'BASE EXEC. Q.L'!B:B,VOOS!A1661)</f>
        <v>0</v>
      </c>
      <c r="H1661" s="15" t="str">
        <f>IFERROR(_xlfn.XLOOKUP(A1661,'BASE SQL PLANTIO'!B:B,'BASE SQL PLANTIO'!T:T,"verificar",0),"")</f>
        <v/>
      </c>
      <c r="I1661" s="77" t="str">
        <f>IF(_xlfn.MINIFS('BASE SQL PLANTIO'!E:E,'BASE SQL PLANTIO'!B:B,VOOS!A1661)=0/1/1900,"",_xlfn.MINIFS('BASE SQL PLANTIO'!E:E,'BASE SQL PLANTIO'!B:B,VOOS!A1661))</f>
        <v/>
      </c>
      <c r="J1661" s="26"/>
      <c r="K1661" s="34" t="str">
        <f t="shared" si="76"/>
        <v/>
      </c>
      <c r="L1661" s="35" t="str">
        <f t="shared" si="77"/>
        <v/>
      </c>
      <c r="M1661" s="14"/>
      <c r="N1661" s="15"/>
    </row>
    <row r="1662" spans="1:14" ht="15.6" x14ac:dyDescent="0.3">
      <c r="A1662" s="13" t="str">
        <f t="shared" si="75"/>
        <v>-</v>
      </c>
      <c r="B1662" s="27"/>
      <c r="C1662" s="26"/>
      <c r="D1662" s="26"/>
      <c r="E1662" s="26"/>
      <c r="F1662" s="26"/>
      <c r="G1662" s="34">
        <f>SUMIFS('BASE EXEC. Q.L'!N:N,'BASE EXEC. Q.L'!B:B,VOOS!A1662)</f>
        <v>0</v>
      </c>
      <c r="H1662" s="15" t="str">
        <f>IFERROR(_xlfn.XLOOKUP(A1662,'BASE SQL PLANTIO'!B:B,'BASE SQL PLANTIO'!T:T,"verificar",0),"")</f>
        <v/>
      </c>
      <c r="I1662" s="77" t="str">
        <f>IF(_xlfn.MINIFS('BASE SQL PLANTIO'!E:E,'BASE SQL PLANTIO'!B:B,VOOS!A1662)=0/1/1900,"",_xlfn.MINIFS('BASE SQL PLANTIO'!E:E,'BASE SQL PLANTIO'!B:B,VOOS!A1662))</f>
        <v/>
      </c>
      <c r="J1662" s="26"/>
      <c r="K1662" s="34" t="str">
        <f t="shared" si="76"/>
        <v/>
      </c>
      <c r="L1662" s="35" t="str">
        <f t="shared" si="77"/>
        <v/>
      </c>
      <c r="M1662" s="14"/>
      <c r="N1662" s="16"/>
    </row>
    <row r="1663" spans="1:14" ht="15.6" x14ac:dyDescent="0.3">
      <c r="A1663" s="13" t="str">
        <f t="shared" si="75"/>
        <v>-</v>
      </c>
      <c r="B1663" s="27"/>
      <c r="C1663" s="26"/>
      <c r="D1663" s="26"/>
      <c r="E1663" s="26"/>
      <c r="F1663" s="26"/>
      <c r="G1663" s="34">
        <f>SUMIFS('BASE EXEC. Q.L'!N:N,'BASE EXEC. Q.L'!B:B,VOOS!A1663)</f>
        <v>0</v>
      </c>
      <c r="H1663" s="15" t="str">
        <f>IFERROR(_xlfn.XLOOKUP(A1663,'BASE SQL PLANTIO'!B:B,'BASE SQL PLANTIO'!T:T,"verificar",0),"")</f>
        <v/>
      </c>
      <c r="I1663" s="77" t="str">
        <f>IF(_xlfn.MINIFS('BASE SQL PLANTIO'!E:E,'BASE SQL PLANTIO'!B:B,VOOS!A1663)=0/1/1900,"",_xlfn.MINIFS('BASE SQL PLANTIO'!E:E,'BASE SQL PLANTIO'!B:B,VOOS!A1663))</f>
        <v/>
      </c>
      <c r="J1663" s="26"/>
      <c r="K1663" s="34" t="str">
        <f t="shared" si="76"/>
        <v/>
      </c>
      <c r="L1663" s="35" t="str">
        <f t="shared" si="77"/>
        <v/>
      </c>
      <c r="M1663" s="14"/>
      <c r="N1663" s="16"/>
    </row>
    <row r="1664" spans="1:14" ht="15.6" x14ac:dyDescent="0.3">
      <c r="A1664" s="13" t="str">
        <f t="shared" si="75"/>
        <v>-</v>
      </c>
      <c r="B1664" s="25"/>
      <c r="C1664" s="25"/>
      <c r="D1664" s="25"/>
      <c r="E1664" s="25"/>
      <c r="F1664" s="31"/>
      <c r="G1664" s="34">
        <f>SUMIFS('BASE EXEC. Q.L'!N:N,'BASE EXEC. Q.L'!B:B,VOOS!A1664)</f>
        <v>0</v>
      </c>
      <c r="H1664" s="15" t="str">
        <f>IFERROR(_xlfn.XLOOKUP(A1664,'BASE SQL PLANTIO'!B:B,'BASE SQL PLANTIO'!T:T,"verificar",0),"")</f>
        <v/>
      </c>
      <c r="I1664" s="77" t="str">
        <f>IF(_xlfn.MINIFS('BASE SQL PLANTIO'!E:E,'BASE SQL PLANTIO'!B:B,VOOS!A1664)=0/1/1900,"",_xlfn.MINIFS('BASE SQL PLANTIO'!E:E,'BASE SQL PLANTIO'!B:B,VOOS!A1664))</f>
        <v/>
      </c>
      <c r="J1664" s="26"/>
      <c r="K1664" s="34" t="str">
        <f t="shared" si="76"/>
        <v/>
      </c>
      <c r="L1664" s="35" t="str">
        <f t="shared" si="77"/>
        <v/>
      </c>
      <c r="M1664" s="14"/>
      <c r="N1664" s="16"/>
    </row>
    <row r="1665" spans="1:14" ht="15.6" x14ac:dyDescent="0.3">
      <c r="A1665" s="13" t="str">
        <f t="shared" si="75"/>
        <v>-</v>
      </c>
      <c r="B1665" s="25"/>
      <c r="C1665" s="25"/>
      <c r="D1665" s="25"/>
      <c r="E1665" s="25"/>
      <c r="F1665" s="31"/>
      <c r="G1665" s="34">
        <f>SUMIFS('BASE EXEC. Q.L'!N:N,'BASE EXEC. Q.L'!B:B,VOOS!A1665)</f>
        <v>0</v>
      </c>
      <c r="H1665" s="15" t="str">
        <f>IFERROR(_xlfn.XLOOKUP(A1665,'BASE SQL PLANTIO'!B:B,'BASE SQL PLANTIO'!T:T,"verificar",0),"")</f>
        <v/>
      </c>
      <c r="I1665" s="77" t="str">
        <f>IF(_xlfn.MINIFS('BASE SQL PLANTIO'!E:E,'BASE SQL PLANTIO'!B:B,VOOS!A1665)=0/1/1900,"",_xlfn.MINIFS('BASE SQL PLANTIO'!E:E,'BASE SQL PLANTIO'!B:B,VOOS!A1665))</f>
        <v/>
      </c>
      <c r="J1665" s="26"/>
      <c r="K1665" s="34" t="str">
        <f t="shared" si="76"/>
        <v/>
      </c>
      <c r="L1665" s="35" t="str">
        <f t="shared" si="77"/>
        <v/>
      </c>
      <c r="M1665" s="14"/>
      <c r="N1665" s="16"/>
    </row>
    <row r="1666" spans="1:14" ht="15.6" x14ac:dyDescent="0.3">
      <c r="A1666" s="13" t="str">
        <f t="shared" si="75"/>
        <v>-</v>
      </c>
      <c r="B1666" s="25"/>
      <c r="C1666" s="25"/>
      <c r="D1666" s="25"/>
      <c r="E1666" s="25"/>
      <c r="F1666" s="31"/>
      <c r="G1666" s="34">
        <f>SUMIFS('BASE EXEC. Q.L'!N:N,'BASE EXEC. Q.L'!B:B,VOOS!A1666)</f>
        <v>0</v>
      </c>
      <c r="H1666" s="15" t="str">
        <f>IFERROR(_xlfn.XLOOKUP(A1666,'BASE SQL PLANTIO'!B:B,'BASE SQL PLANTIO'!T:T,"verificar",0),"")</f>
        <v/>
      </c>
      <c r="I1666" s="77" t="str">
        <f>IF(_xlfn.MINIFS('BASE SQL PLANTIO'!E:E,'BASE SQL PLANTIO'!B:B,VOOS!A1666)=0/1/1900,"",_xlfn.MINIFS('BASE SQL PLANTIO'!E:E,'BASE SQL PLANTIO'!B:B,VOOS!A1666))</f>
        <v/>
      </c>
      <c r="J1666" s="26"/>
      <c r="K1666" s="34" t="str">
        <f t="shared" si="76"/>
        <v/>
      </c>
      <c r="L1666" s="35" t="str">
        <f t="shared" si="77"/>
        <v/>
      </c>
      <c r="M1666" s="14"/>
      <c r="N1666" s="15"/>
    </row>
    <row r="1667" spans="1:14" ht="15.6" x14ac:dyDescent="0.3">
      <c r="A1667" s="13" t="str">
        <f t="shared" si="75"/>
        <v>-</v>
      </c>
      <c r="B1667" s="27"/>
      <c r="C1667" s="26"/>
      <c r="D1667" s="26"/>
      <c r="E1667" s="26"/>
      <c r="F1667" s="26"/>
      <c r="G1667" s="34">
        <f>SUMIFS('BASE EXEC. Q.L'!N:N,'BASE EXEC. Q.L'!B:B,VOOS!A1667)</f>
        <v>0</v>
      </c>
      <c r="H1667" s="15" t="str">
        <f>IFERROR(_xlfn.XLOOKUP(A1667,'BASE SQL PLANTIO'!B:B,'BASE SQL PLANTIO'!T:T,"verificar",0),"")</f>
        <v/>
      </c>
      <c r="I1667" s="77" t="str">
        <f>IF(_xlfn.MINIFS('BASE SQL PLANTIO'!E:E,'BASE SQL PLANTIO'!B:B,VOOS!A1667)=0/1/1900,"",_xlfn.MINIFS('BASE SQL PLANTIO'!E:E,'BASE SQL PLANTIO'!B:B,VOOS!A1667))</f>
        <v/>
      </c>
      <c r="J1667" s="26"/>
      <c r="K1667" s="34" t="str">
        <f t="shared" si="76"/>
        <v/>
      </c>
      <c r="L1667" s="35" t="str">
        <f t="shared" si="77"/>
        <v/>
      </c>
      <c r="M1667" s="14"/>
      <c r="N1667" s="16"/>
    </row>
    <row r="1668" spans="1:14" ht="15.6" x14ac:dyDescent="0.3">
      <c r="A1668" s="13" t="str">
        <f t="shared" si="75"/>
        <v>-</v>
      </c>
      <c r="B1668" s="27"/>
      <c r="C1668" s="26"/>
      <c r="D1668" s="26"/>
      <c r="E1668" s="26"/>
      <c r="F1668" s="26"/>
      <c r="G1668" s="34">
        <f>SUMIFS('BASE EXEC. Q.L'!N:N,'BASE EXEC. Q.L'!B:B,VOOS!A1668)</f>
        <v>0</v>
      </c>
      <c r="H1668" s="15" t="str">
        <f>IFERROR(_xlfn.XLOOKUP(A1668,'BASE SQL PLANTIO'!B:B,'BASE SQL PLANTIO'!T:T,"verificar",0),"")</f>
        <v/>
      </c>
      <c r="I1668" s="77" t="str">
        <f>IF(_xlfn.MINIFS('BASE SQL PLANTIO'!E:E,'BASE SQL PLANTIO'!B:B,VOOS!A1668)=0/1/1900,"",_xlfn.MINIFS('BASE SQL PLANTIO'!E:E,'BASE SQL PLANTIO'!B:B,VOOS!A1668))</f>
        <v/>
      </c>
      <c r="J1668" s="26"/>
      <c r="K1668" s="34" t="str">
        <f t="shared" si="76"/>
        <v/>
      </c>
      <c r="L1668" s="35" t="str">
        <f t="shared" si="77"/>
        <v/>
      </c>
      <c r="M1668" s="14"/>
      <c r="N1668" s="16"/>
    </row>
    <row r="1669" spans="1:14" ht="15.6" x14ac:dyDescent="0.3">
      <c r="A1669" s="13" t="str">
        <f t="shared" ref="A1669:A1732" si="78">CONCATENATE(B1669,"-",E1669)</f>
        <v>-</v>
      </c>
      <c r="B1669" s="25"/>
      <c r="C1669" s="25"/>
      <c r="D1669" s="25"/>
      <c r="E1669" s="25"/>
      <c r="F1669" s="31"/>
      <c r="G1669" s="34">
        <f>SUMIFS('BASE EXEC. Q.L'!N:N,'BASE EXEC. Q.L'!B:B,VOOS!A1669)</f>
        <v>0</v>
      </c>
      <c r="H1669" s="15" t="str">
        <f>IFERROR(_xlfn.XLOOKUP(A1669,'BASE SQL PLANTIO'!B:B,'BASE SQL PLANTIO'!T:T,"verificar",0),"")</f>
        <v/>
      </c>
      <c r="I1669" s="77" t="str">
        <f>IF(_xlfn.MINIFS('BASE SQL PLANTIO'!E:E,'BASE SQL PLANTIO'!B:B,VOOS!A1669)=0/1/1900,"",_xlfn.MINIFS('BASE SQL PLANTIO'!E:E,'BASE SQL PLANTIO'!B:B,VOOS!A1669))</f>
        <v/>
      </c>
      <c r="J1669" s="26"/>
      <c r="K1669" s="34" t="str">
        <f t="shared" ref="K1669:K1732" si="79">IF(I1669="","",$K$3-I1669)</f>
        <v/>
      </c>
      <c r="L1669" s="35" t="str">
        <f t="shared" ref="L1669:L1732" si="80">K1669</f>
        <v/>
      </c>
      <c r="M1669" s="14"/>
      <c r="N1669" s="16"/>
    </row>
    <row r="1670" spans="1:14" ht="15.6" x14ac:dyDescent="0.3">
      <c r="A1670" s="13" t="str">
        <f t="shared" si="78"/>
        <v>-</v>
      </c>
      <c r="B1670" s="25"/>
      <c r="C1670" s="25"/>
      <c r="D1670" s="25"/>
      <c r="E1670" s="25"/>
      <c r="F1670" s="31"/>
      <c r="G1670" s="34">
        <f>SUMIFS('BASE EXEC. Q.L'!N:N,'BASE EXEC. Q.L'!B:B,VOOS!A1670)</f>
        <v>0</v>
      </c>
      <c r="H1670" s="15" t="str">
        <f>IFERROR(_xlfn.XLOOKUP(A1670,'BASE SQL PLANTIO'!B:B,'BASE SQL PLANTIO'!T:T,"verificar",0),"")</f>
        <v/>
      </c>
      <c r="I1670" s="77" t="str">
        <f>IF(_xlfn.MINIFS('BASE SQL PLANTIO'!E:E,'BASE SQL PLANTIO'!B:B,VOOS!A1670)=0/1/1900,"",_xlfn.MINIFS('BASE SQL PLANTIO'!E:E,'BASE SQL PLANTIO'!B:B,VOOS!A1670))</f>
        <v/>
      </c>
      <c r="J1670" s="26"/>
      <c r="K1670" s="34" t="str">
        <f t="shared" si="79"/>
        <v/>
      </c>
      <c r="L1670" s="35" t="str">
        <f t="shared" si="80"/>
        <v/>
      </c>
      <c r="M1670" s="14"/>
      <c r="N1670" s="16"/>
    </row>
    <row r="1671" spans="1:14" ht="15.6" x14ac:dyDescent="0.3">
      <c r="A1671" s="13" t="str">
        <f t="shared" si="78"/>
        <v>-</v>
      </c>
      <c r="B1671" s="25"/>
      <c r="C1671" s="25"/>
      <c r="D1671" s="25"/>
      <c r="E1671" s="25"/>
      <c r="F1671" s="31"/>
      <c r="G1671" s="34">
        <f>SUMIFS('BASE EXEC. Q.L'!N:N,'BASE EXEC. Q.L'!B:B,VOOS!A1671)</f>
        <v>0</v>
      </c>
      <c r="H1671" s="15" t="str">
        <f>IFERROR(_xlfn.XLOOKUP(A1671,'BASE SQL PLANTIO'!B:B,'BASE SQL PLANTIO'!T:T,"verificar",0),"")</f>
        <v/>
      </c>
      <c r="I1671" s="77" t="str">
        <f>IF(_xlfn.MINIFS('BASE SQL PLANTIO'!E:E,'BASE SQL PLANTIO'!B:B,VOOS!A1671)=0/1/1900,"",_xlfn.MINIFS('BASE SQL PLANTIO'!E:E,'BASE SQL PLANTIO'!B:B,VOOS!A1671))</f>
        <v/>
      </c>
      <c r="J1671" s="26"/>
      <c r="K1671" s="34" t="str">
        <f t="shared" si="79"/>
        <v/>
      </c>
      <c r="L1671" s="35" t="str">
        <f t="shared" si="80"/>
        <v/>
      </c>
      <c r="M1671" s="14"/>
      <c r="N1671" s="15"/>
    </row>
    <row r="1672" spans="1:14" ht="15.6" x14ac:dyDescent="0.3">
      <c r="A1672" s="13" t="str">
        <f t="shared" si="78"/>
        <v>-</v>
      </c>
      <c r="B1672" s="27"/>
      <c r="C1672" s="26"/>
      <c r="D1672" s="26"/>
      <c r="E1672" s="26"/>
      <c r="F1672" s="26"/>
      <c r="G1672" s="34">
        <f>SUMIFS('BASE EXEC. Q.L'!N:N,'BASE EXEC. Q.L'!B:B,VOOS!A1672)</f>
        <v>0</v>
      </c>
      <c r="H1672" s="15" t="str">
        <f>IFERROR(_xlfn.XLOOKUP(A1672,'BASE SQL PLANTIO'!B:B,'BASE SQL PLANTIO'!T:T,"verificar",0),"")</f>
        <v/>
      </c>
      <c r="I1672" s="77" t="str">
        <f>IF(_xlfn.MINIFS('BASE SQL PLANTIO'!E:E,'BASE SQL PLANTIO'!B:B,VOOS!A1672)=0/1/1900,"",_xlfn.MINIFS('BASE SQL PLANTIO'!E:E,'BASE SQL PLANTIO'!B:B,VOOS!A1672))</f>
        <v/>
      </c>
      <c r="J1672" s="26"/>
      <c r="K1672" s="34" t="str">
        <f t="shared" si="79"/>
        <v/>
      </c>
      <c r="L1672" s="35" t="str">
        <f t="shared" si="80"/>
        <v/>
      </c>
      <c r="M1672" s="14"/>
      <c r="N1672" s="16"/>
    </row>
    <row r="1673" spans="1:14" ht="15.6" x14ac:dyDescent="0.3">
      <c r="A1673" s="13" t="str">
        <f t="shared" si="78"/>
        <v>-</v>
      </c>
      <c r="B1673" s="27"/>
      <c r="C1673" s="26"/>
      <c r="D1673" s="26"/>
      <c r="E1673" s="26"/>
      <c r="F1673" s="26"/>
      <c r="G1673" s="34">
        <f>SUMIFS('BASE EXEC. Q.L'!N:N,'BASE EXEC. Q.L'!B:B,VOOS!A1673)</f>
        <v>0</v>
      </c>
      <c r="H1673" s="15" t="str">
        <f>IFERROR(_xlfn.XLOOKUP(A1673,'BASE SQL PLANTIO'!B:B,'BASE SQL PLANTIO'!T:T,"verificar",0),"")</f>
        <v/>
      </c>
      <c r="I1673" s="77" t="str">
        <f>IF(_xlfn.MINIFS('BASE SQL PLANTIO'!E:E,'BASE SQL PLANTIO'!B:B,VOOS!A1673)=0/1/1900,"",_xlfn.MINIFS('BASE SQL PLANTIO'!E:E,'BASE SQL PLANTIO'!B:B,VOOS!A1673))</f>
        <v/>
      </c>
      <c r="J1673" s="26"/>
      <c r="K1673" s="34" t="str">
        <f t="shared" si="79"/>
        <v/>
      </c>
      <c r="L1673" s="35" t="str">
        <f t="shared" si="80"/>
        <v/>
      </c>
      <c r="M1673" s="14"/>
      <c r="N1673" s="16"/>
    </row>
    <row r="1674" spans="1:14" ht="15.6" x14ac:dyDescent="0.3">
      <c r="A1674" s="13" t="str">
        <f t="shared" si="78"/>
        <v>-</v>
      </c>
      <c r="B1674" s="25"/>
      <c r="C1674" s="25"/>
      <c r="D1674" s="25"/>
      <c r="E1674" s="25"/>
      <c r="F1674" s="31"/>
      <c r="G1674" s="34">
        <f>SUMIFS('BASE EXEC. Q.L'!N:N,'BASE EXEC. Q.L'!B:B,VOOS!A1674)</f>
        <v>0</v>
      </c>
      <c r="H1674" s="15" t="str">
        <f>IFERROR(_xlfn.XLOOKUP(A1674,'BASE SQL PLANTIO'!B:B,'BASE SQL PLANTIO'!T:T,"verificar",0),"")</f>
        <v/>
      </c>
      <c r="I1674" s="77" t="str">
        <f>IF(_xlfn.MINIFS('BASE SQL PLANTIO'!E:E,'BASE SQL PLANTIO'!B:B,VOOS!A1674)=0/1/1900,"",_xlfn.MINIFS('BASE SQL PLANTIO'!E:E,'BASE SQL PLANTIO'!B:B,VOOS!A1674))</f>
        <v/>
      </c>
      <c r="J1674" s="26"/>
      <c r="K1674" s="34" t="str">
        <f t="shared" si="79"/>
        <v/>
      </c>
      <c r="L1674" s="35" t="str">
        <f t="shared" si="80"/>
        <v/>
      </c>
      <c r="M1674" s="14"/>
      <c r="N1674" s="16"/>
    </row>
    <row r="1675" spans="1:14" ht="15.6" x14ac:dyDescent="0.3">
      <c r="A1675" s="13" t="str">
        <f t="shared" si="78"/>
        <v>-</v>
      </c>
      <c r="B1675" s="25"/>
      <c r="C1675" s="25"/>
      <c r="D1675" s="25"/>
      <c r="E1675" s="25"/>
      <c r="F1675" s="31"/>
      <c r="G1675" s="34">
        <f>SUMIFS('BASE EXEC. Q.L'!N:N,'BASE EXEC. Q.L'!B:B,VOOS!A1675)</f>
        <v>0</v>
      </c>
      <c r="H1675" s="15" t="str">
        <f>IFERROR(_xlfn.XLOOKUP(A1675,'BASE SQL PLANTIO'!B:B,'BASE SQL PLANTIO'!T:T,"verificar",0),"")</f>
        <v/>
      </c>
      <c r="I1675" s="77" t="str">
        <f>IF(_xlfn.MINIFS('BASE SQL PLANTIO'!E:E,'BASE SQL PLANTIO'!B:B,VOOS!A1675)=0/1/1900,"",_xlfn.MINIFS('BASE SQL PLANTIO'!E:E,'BASE SQL PLANTIO'!B:B,VOOS!A1675))</f>
        <v/>
      </c>
      <c r="J1675" s="26"/>
      <c r="K1675" s="34" t="str">
        <f t="shared" si="79"/>
        <v/>
      </c>
      <c r="L1675" s="35" t="str">
        <f t="shared" si="80"/>
        <v/>
      </c>
      <c r="M1675" s="14"/>
      <c r="N1675" s="16"/>
    </row>
    <row r="1676" spans="1:14" ht="15.6" x14ac:dyDescent="0.3">
      <c r="A1676" s="13" t="str">
        <f t="shared" si="78"/>
        <v>-</v>
      </c>
      <c r="B1676" s="25"/>
      <c r="C1676" s="25"/>
      <c r="D1676" s="25"/>
      <c r="E1676" s="25"/>
      <c r="F1676" s="31"/>
      <c r="G1676" s="34">
        <f>SUMIFS('BASE EXEC. Q.L'!N:N,'BASE EXEC. Q.L'!B:B,VOOS!A1676)</f>
        <v>0</v>
      </c>
      <c r="H1676" s="15" t="str">
        <f>IFERROR(_xlfn.XLOOKUP(A1676,'BASE SQL PLANTIO'!B:B,'BASE SQL PLANTIO'!T:T,"verificar",0),"")</f>
        <v/>
      </c>
      <c r="I1676" s="77" t="str">
        <f>IF(_xlfn.MINIFS('BASE SQL PLANTIO'!E:E,'BASE SQL PLANTIO'!B:B,VOOS!A1676)=0/1/1900,"",_xlfn.MINIFS('BASE SQL PLANTIO'!E:E,'BASE SQL PLANTIO'!B:B,VOOS!A1676))</f>
        <v/>
      </c>
      <c r="J1676" s="26"/>
      <c r="K1676" s="34" t="str">
        <f t="shared" si="79"/>
        <v/>
      </c>
      <c r="L1676" s="35" t="str">
        <f t="shared" si="80"/>
        <v/>
      </c>
      <c r="M1676" s="14"/>
      <c r="N1676" s="15"/>
    </row>
    <row r="1677" spans="1:14" ht="15.6" x14ac:dyDescent="0.3">
      <c r="A1677" s="13" t="str">
        <f t="shared" si="78"/>
        <v>-</v>
      </c>
      <c r="B1677" s="25"/>
      <c r="C1677" s="25"/>
      <c r="D1677" s="25"/>
      <c r="E1677" s="25"/>
      <c r="F1677" s="31"/>
      <c r="G1677" s="34">
        <f>SUMIFS('BASE EXEC. Q.L'!N:N,'BASE EXEC. Q.L'!B:B,VOOS!A1677)</f>
        <v>0</v>
      </c>
      <c r="H1677" s="15" t="str">
        <f>IFERROR(_xlfn.XLOOKUP(A1677,'BASE SQL PLANTIO'!B:B,'BASE SQL PLANTIO'!T:T,"verificar",0),"")</f>
        <v/>
      </c>
      <c r="I1677" s="77" t="str">
        <f>IF(_xlfn.MINIFS('BASE SQL PLANTIO'!E:E,'BASE SQL PLANTIO'!B:B,VOOS!A1677)=0/1/1900,"",_xlfn.MINIFS('BASE SQL PLANTIO'!E:E,'BASE SQL PLANTIO'!B:B,VOOS!A1677))</f>
        <v/>
      </c>
      <c r="J1677" s="26"/>
      <c r="K1677" s="34" t="str">
        <f t="shared" si="79"/>
        <v/>
      </c>
      <c r="L1677" s="35" t="str">
        <f t="shared" si="80"/>
        <v/>
      </c>
      <c r="M1677" s="14"/>
      <c r="N1677" s="16"/>
    </row>
    <row r="1678" spans="1:14" ht="15.6" x14ac:dyDescent="0.3">
      <c r="A1678" s="13" t="str">
        <f t="shared" si="78"/>
        <v>-</v>
      </c>
      <c r="B1678" s="25"/>
      <c r="C1678" s="25"/>
      <c r="D1678" s="25"/>
      <c r="E1678" s="25"/>
      <c r="F1678" s="31"/>
      <c r="G1678" s="34">
        <f>SUMIFS('BASE EXEC. Q.L'!N:N,'BASE EXEC. Q.L'!B:B,VOOS!A1678)</f>
        <v>0</v>
      </c>
      <c r="H1678" s="15" t="str">
        <f>IFERROR(_xlfn.XLOOKUP(A1678,'BASE SQL PLANTIO'!B:B,'BASE SQL PLANTIO'!T:T,"verificar",0),"")</f>
        <v/>
      </c>
      <c r="I1678" s="77" t="str">
        <f>IF(_xlfn.MINIFS('BASE SQL PLANTIO'!E:E,'BASE SQL PLANTIO'!B:B,VOOS!A1678)=0/1/1900,"",_xlfn.MINIFS('BASE SQL PLANTIO'!E:E,'BASE SQL PLANTIO'!B:B,VOOS!A1678))</f>
        <v/>
      </c>
      <c r="J1678" s="26"/>
      <c r="K1678" s="34" t="str">
        <f t="shared" si="79"/>
        <v/>
      </c>
      <c r="L1678" s="35" t="str">
        <f t="shared" si="80"/>
        <v/>
      </c>
      <c r="M1678" s="14"/>
      <c r="N1678" s="16"/>
    </row>
    <row r="1679" spans="1:14" ht="15.6" x14ac:dyDescent="0.3">
      <c r="A1679" s="13" t="str">
        <f t="shared" si="78"/>
        <v>-</v>
      </c>
      <c r="B1679" s="27"/>
      <c r="C1679" s="26"/>
      <c r="D1679" s="26"/>
      <c r="E1679" s="26"/>
      <c r="F1679" s="26"/>
      <c r="G1679" s="34">
        <f>SUMIFS('BASE EXEC. Q.L'!N:N,'BASE EXEC. Q.L'!B:B,VOOS!A1679)</f>
        <v>0</v>
      </c>
      <c r="H1679" s="15" t="str">
        <f>IFERROR(_xlfn.XLOOKUP(A1679,'BASE SQL PLANTIO'!B:B,'BASE SQL PLANTIO'!T:T,"verificar",0),"")</f>
        <v/>
      </c>
      <c r="I1679" s="77" t="str">
        <f>IF(_xlfn.MINIFS('BASE SQL PLANTIO'!E:E,'BASE SQL PLANTIO'!B:B,VOOS!A1679)=0/1/1900,"",_xlfn.MINIFS('BASE SQL PLANTIO'!E:E,'BASE SQL PLANTIO'!B:B,VOOS!A1679))</f>
        <v/>
      </c>
      <c r="J1679" s="26"/>
      <c r="K1679" s="34" t="str">
        <f t="shared" si="79"/>
        <v/>
      </c>
      <c r="L1679" s="35" t="str">
        <f t="shared" si="80"/>
        <v/>
      </c>
      <c r="M1679" s="14"/>
      <c r="N1679" s="16"/>
    </row>
    <row r="1680" spans="1:14" ht="15.6" x14ac:dyDescent="0.3">
      <c r="A1680" s="13" t="str">
        <f t="shared" si="78"/>
        <v>-</v>
      </c>
      <c r="B1680" s="27"/>
      <c r="C1680" s="26"/>
      <c r="D1680" s="26"/>
      <c r="E1680" s="26"/>
      <c r="F1680" s="26"/>
      <c r="G1680" s="34">
        <f>SUMIFS('BASE EXEC. Q.L'!N:N,'BASE EXEC. Q.L'!B:B,VOOS!A1680)</f>
        <v>0</v>
      </c>
      <c r="H1680" s="15" t="str">
        <f>IFERROR(_xlfn.XLOOKUP(A1680,'BASE SQL PLANTIO'!B:B,'BASE SQL PLANTIO'!T:T,"verificar",0),"")</f>
        <v/>
      </c>
      <c r="I1680" s="77" t="str">
        <f>IF(_xlfn.MINIFS('BASE SQL PLANTIO'!E:E,'BASE SQL PLANTIO'!B:B,VOOS!A1680)=0/1/1900,"",_xlfn.MINIFS('BASE SQL PLANTIO'!E:E,'BASE SQL PLANTIO'!B:B,VOOS!A1680))</f>
        <v/>
      </c>
      <c r="J1680" s="26"/>
      <c r="K1680" s="34" t="str">
        <f t="shared" si="79"/>
        <v/>
      </c>
      <c r="L1680" s="35" t="str">
        <f t="shared" si="80"/>
        <v/>
      </c>
      <c r="M1680" s="14"/>
      <c r="N1680" s="16"/>
    </row>
    <row r="1681" spans="1:14" ht="15.6" x14ac:dyDescent="0.3">
      <c r="A1681" s="13" t="str">
        <f t="shared" si="78"/>
        <v>-</v>
      </c>
      <c r="B1681" s="25"/>
      <c r="C1681" s="25"/>
      <c r="D1681" s="25"/>
      <c r="E1681" s="25"/>
      <c r="F1681" s="31"/>
      <c r="G1681" s="34">
        <f>SUMIFS('BASE EXEC. Q.L'!N:N,'BASE EXEC. Q.L'!B:B,VOOS!A1681)</f>
        <v>0</v>
      </c>
      <c r="H1681" s="15" t="str">
        <f>IFERROR(_xlfn.XLOOKUP(A1681,'BASE SQL PLANTIO'!B:B,'BASE SQL PLANTIO'!T:T,"verificar",0),"")</f>
        <v/>
      </c>
      <c r="I1681" s="77" t="str">
        <f>IF(_xlfn.MINIFS('BASE SQL PLANTIO'!E:E,'BASE SQL PLANTIO'!B:B,VOOS!A1681)=0/1/1900,"",_xlfn.MINIFS('BASE SQL PLANTIO'!E:E,'BASE SQL PLANTIO'!B:B,VOOS!A1681))</f>
        <v/>
      </c>
      <c r="J1681" s="26"/>
      <c r="K1681" s="34" t="str">
        <f t="shared" si="79"/>
        <v/>
      </c>
      <c r="L1681" s="35" t="str">
        <f t="shared" si="80"/>
        <v/>
      </c>
      <c r="M1681" s="14"/>
      <c r="N1681" s="15"/>
    </row>
    <row r="1682" spans="1:14" ht="15.6" x14ac:dyDescent="0.3">
      <c r="A1682" s="13" t="str">
        <f t="shared" si="78"/>
        <v>-</v>
      </c>
      <c r="B1682" s="25"/>
      <c r="C1682" s="25"/>
      <c r="D1682" s="25"/>
      <c r="E1682" s="25"/>
      <c r="F1682" s="31"/>
      <c r="G1682" s="34">
        <f>SUMIFS('BASE EXEC. Q.L'!N:N,'BASE EXEC. Q.L'!B:B,VOOS!A1682)</f>
        <v>0</v>
      </c>
      <c r="H1682" s="15" t="str">
        <f>IFERROR(_xlfn.XLOOKUP(A1682,'BASE SQL PLANTIO'!B:B,'BASE SQL PLANTIO'!T:T,"verificar",0),"")</f>
        <v/>
      </c>
      <c r="I1682" s="77" t="str">
        <f>IF(_xlfn.MINIFS('BASE SQL PLANTIO'!E:E,'BASE SQL PLANTIO'!B:B,VOOS!A1682)=0/1/1900,"",_xlfn.MINIFS('BASE SQL PLANTIO'!E:E,'BASE SQL PLANTIO'!B:B,VOOS!A1682))</f>
        <v/>
      </c>
      <c r="J1682" s="26"/>
      <c r="K1682" s="34" t="str">
        <f t="shared" si="79"/>
        <v/>
      </c>
      <c r="L1682" s="35" t="str">
        <f t="shared" si="80"/>
        <v/>
      </c>
      <c r="M1682" s="14"/>
      <c r="N1682" s="16"/>
    </row>
    <row r="1683" spans="1:14" ht="15.6" x14ac:dyDescent="0.3">
      <c r="A1683" s="13" t="str">
        <f t="shared" si="78"/>
        <v>-</v>
      </c>
      <c r="B1683" s="25"/>
      <c r="C1683" s="25"/>
      <c r="D1683" s="25"/>
      <c r="E1683" s="25"/>
      <c r="F1683" s="31"/>
      <c r="G1683" s="34">
        <f>SUMIFS('BASE EXEC. Q.L'!N:N,'BASE EXEC. Q.L'!B:B,VOOS!A1683)</f>
        <v>0</v>
      </c>
      <c r="H1683" s="15" t="str">
        <f>IFERROR(_xlfn.XLOOKUP(A1683,'BASE SQL PLANTIO'!B:B,'BASE SQL PLANTIO'!T:T,"verificar",0),"")</f>
        <v/>
      </c>
      <c r="I1683" s="77" t="str">
        <f>IF(_xlfn.MINIFS('BASE SQL PLANTIO'!E:E,'BASE SQL PLANTIO'!B:B,VOOS!A1683)=0/1/1900,"",_xlfn.MINIFS('BASE SQL PLANTIO'!E:E,'BASE SQL PLANTIO'!B:B,VOOS!A1683))</f>
        <v/>
      </c>
      <c r="J1683" s="26"/>
      <c r="K1683" s="34" t="str">
        <f t="shared" si="79"/>
        <v/>
      </c>
      <c r="L1683" s="35" t="str">
        <f t="shared" si="80"/>
        <v/>
      </c>
      <c r="M1683" s="14"/>
      <c r="N1683" s="16"/>
    </row>
    <row r="1684" spans="1:14" ht="15.6" x14ac:dyDescent="0.3">
      <c r="A1684" s="13" t="str">
        <f t="shared" si="78"/>
        <v>-</v>
      </c>
      <c r="B1684" s="27"/>
      <c r="C1684" s="26"/>
      <c r="D1684" s="26"/>
      <c r="E1684" s="26"/>
      <c r="F1684" s="26"/>
      <c r="G1684" s="34">
        <f>SUMIFS('BASE EXEC. Q.L'!N:N,'BASE EXEC. Q.L'!B:B,VOOS!A1684)</f>
        <v>0</v>
      </c>
      <c r="H1684" s="15" t="str">
        <f>IFERROR(_xlfn.XLOOKUP(A1684,'BASE SQL PLANTIO'!B:B,'BASE SQL PLANTIO'!T:T,"verificar",0),"")</f>
        <v/>
      </c>
      <c r="I1684" s="77" t="str">
        <f>IF(_xlfn.MINIFS('BASE SQL PLANTIO'!E:E,'BASE SQL PLANTIO'!B:B,VOOS!A1684)=0/1/1900,"",_xlfn.MINIFS('BASE SQL PLANTIO'!E:E,'BASE SQL PLANTIO'!B:B,VOOS!A1684))</f>
        <v/>
      </c>
      <c r="J1684" s="26"/>
      <c r="K1684" s="34" t="str">
        <f t="shared" si="79"/>
        <v/>
      </c>
      <c r="L1684" s="35" t="str">
        <f t="shared" si="80"/>
        <v/>
      </c>
      <c r="M1684" s="14"/>
      <c r="N1684" s="16"/>
    </row>
    <row r="1685" spans="1:14" ht="15.6" x14ac:dyDescent="0.3">
      <c r="A1685" s="13" t="str">
        <f t="shared" si="78"/>
        <v>-</v>
      </c>
      <c r="B1685" s="27"/>
      <c r="C1685" s="26"/>
      <c r="D1685" s="26"/>
      <c r="E1685" s="26"/>
      <c r="F1685" s="26"/>
      <c r="G1685" s="34">
        <f>SUMIFS('BASE EXEC. Q.L'!N:N,'BASE EXEC. Q.L'!B:B,VOOS!A1685)</f>
        <v>0</v>
      </c>
      <c r="H1685" s="15" t="str">
        <f>IFERROR(_xlfn.XLOOKUP(A1685,'BASE SQL PLANTIO'!B:B,'BASE SQL PLANTIO'!T:T,"verificar",0),"")</f>
        <v/>
      </c>
      <c r="I1685" s="77" t="str">
        <f>IF(_xlfn.MINIFS('BASE SQL PLANTIO'!E:E,'BASE SQL PLANTIO'!B:B,VOOS!A1685)=0/1/1900,"",_xlfn.MINIFS('BASE SQL PLANTIO'!E:E,'BASE SQL PLANTIO'!B:B,VOOS!A1685))</f>
        <v/>
      </c>
      <c r="J1685" s="26"/>
      <c r="K1685" s="34" t="str">
        <f t="shared" si="79"/>
        <v/>
      </c>
      <c r="L1685" s="35" t="str">
        <f t="shared" si="80"/>
        <v/>
      </c>
      <c r="M1685" s="14"/>
      <c r="N1685" s="16"/>
    </row>
    <row r="1686" spans="1:14" ht="15.6" x14ac:dyDescent="0.3">
      <c r="A1686" s="13" t="str">
        <f t="shared" si="78"/>
        <v>-</v>
      </c>
      <c r="B1686" s="25"/>
      <c r="C1686" s="25"/>
      <c r="D1686" s="25"/>
      <c r="E1686" s="25"/>
      <c r="F1686" s="31"/>
      <c r="G1686" s="34">
        <f>SUMIFS('BASE EXEC. Q.L'!N:N,'BASE EXEC. Q.L'!B:B,VOOS!A1686)</f>
        <v>0</v>
      </c>
      <c r="H1686" s="15" t="str">
        <f>IFERROR(_xlfn.XLOOKUP(A1686,'BASE SQL PLANTIO'!B:B,'BASE SQL PLANTIO'!T:T,"verificar",0),"")</f>
        <v/>
      </c>
      <c r="I1686" s="77" t="str">
        <f>IF(_xlfn.MINIFS('BASE SQL PLANTIO'!E:E,'BASE SQL PLANTIO'!B:B,VOOS!A1686)=0/1/1900,"",_xlfn.MINIFS('BASE SQL PLANTIO'!E:E,'BASE SQL PLANTIO'!B:B,VOOS!A1686))</f>
        <v/>
      </c>
      <c r="J1686" s="26"/>
      <c r="K1686" s="34" t="str">
        <f t="shared" si="79"/>
        <v/>
      </c>
      <c r="L1686" s="35" t="str">
        <f t="shared" si="80"/>
        <v/>
      </c>
      <c r="M1686" s="14"/>
      <c r="N1686" s="15"/>
    </row>
    <row r="1687" spans="1:14" ht="15.6" x14ac:dyDescent="0.3">
      <c r="A1687" s="13" t="str">
        <f t="shared" si="78"/>
        <v>-</v>
      </c>
      <c r="B1687" s="25"/>
      <c r="C1687" s="25"/>
      <c r="D1687" s="25"/>
      <c r="E1687" s="25"/>
      <c r="F1687" s="31"/>
      <c r="G1687" s="34">
        <f>SUMIFS('BASE EXEC. Q.L'!N:N,'BASE EXEC. Q.L'!B:B,VOOS!A1687)</f>
        <v>0</v>
      </c>
      <c r="H1687" s="15" t="str">
        <f>IFERROR(_xlfn.XLOOKUP(A1687,'BASE SQL PLANTIO'!B:B,'BASE SQL PLANTIO'!T:T,"verificar",0),"")</f>
        <v/>
      </c>
      <c r="I1687" s="77" t="str">
        <f>IF(_xlfn.MINIFS('BASE SQL PLANTIO'!E:E,'BASE SQL PLANTIO'!B:B,VOOS!A1687)=0/1/1900,"",_xlfn.MINIFS('BASE SQL PLANTIO'!E:E,'BASE SQL PLANTIO'!B:B,VOOS!A1687))</f>
        <v/>
      </c>
      <c r="J1687" s="26"/>
      <c r="K1687" s="34" t="str">
        <f t="shared" si="79"/>
        <v/>
      </c>
      <c r="L1687" s="35" t="str">
        <f t="shared" si="80"/>
        <v/>
      </c>
      <c r="M1687" s="14"/>
      <c r="N1687" s="16"/>
    </row>
    <row r="1688" spans="1:14" ht="15.6" x14ac:dyDescent="0.3">
      <c r="A1688" s="13" t="str">
        <f t="shared" si="78"/>
        <v>-</v>
      </c>
      <c r="B1688" s="25"/>
      <c r="C1688" s="25"/>
      <c r="D1688" s="25"/>
      <c r="E1688" s="25"/>
      <c r="F1688" s="31"/>
      <c r="G1688" s="34">
        <f>SUMIFS('BASE EXEC. Q.L'!N:N,'BASE EXEC. Q.L'!B:B,VOOS!A1688)</f>
        <v>0</v>
      </c>
      <c r="H1688" s="15" t="str">
        <f>IFERROR(_xlfn.XLOOKUP(A1688,'BASE SQL PLANTIO'!B:B,'BASE SQL PLANTIO'!T:T,"verificar",0),"")</f>
        <v/>
      </c>
      <c r="I1688" s="77" t="str">
        <f>IF(_xlfn.MINIFS('BASE SQL PLANTIO'!E:E,'BASE SQL PLANTIO'!B:B,VOOS!A1688)=0/1/1900,"",_xlfn.MINIFS('BASE SQL PLANTIO'!E:E,'BASE SQL PLANTIO'!B:B,VOOS!A1688))</f>
        <v/>
      </c>
      <c r="J1688" s="26"/>
      <c r="K1688" s="34" t="str">
        <f t="shared" si="79"/>
        <v/>
      </c>
      <c r="L1688" s="35" t="str">
        <f t="shared" si="80"/>
        <v/>
      </c>
      <c r="M1688" s="14"/>
      <c r="N1688" s="16"/>
    </row>
    <row r="1689" spans="1:14" ht="15.6" x14ac:dyDescent="0.3">
      <c r="A1689" s="13" t="str">
        <f t="shared" si="78"/>
        <v>-</v>
      </c>
      <c r="B1689" s="27"/>
      <c r="C1689" s="26"/>
      <c r="D1689" s="26"/>
      <c r="E1689" s="26"/>
      <c r="F1689" s="26"/>
      <c r="G1689" s="34">
        <f>SUMIFS('BASE EXEC. Q.L'!N:N,'BASE EXEC. Q.L'!B:B,VOOS!A1689)</f>
        <v>0</v>
      </c>
      <c r="H1689" s="15" t="str">
        <f>IFERROR(_xlfn.XLOOKUP(A1689,'BASE SQL PLANTIO'!B:B,'BASE SQL PLANTIO'!T:T,"verificar",0),"")</f>
        <v/>
      </c>
      <c r="I1689" s="77" t="str">
        <f>IF(_xlfn.MINIFS('BASE SQL PLANTIO'!E:E,'BASE SQL PLANTIO'!B:B,VOOS!A1689)=0/1/1900,"",_xlfn.MINIFS('BASE SQL PLANTIO'!E:E,'BASE SQL PLANTIO'!B:B,VOOS!A1689))</f>
        <v/>
      </c>
      <c r="J1689" s="26"/>
      <c r="K1689" s="34" t="str">
        <f t="shared" si="79"/>
        <v/>
      </c>
      <c r="L1689" s="35" t="str">
        <f t="shared" si="80"/>
        <v/>
      </c>
      <c r="M1689" s="14"/>
      <c r="N1689" s="16"/>
    </row>
    <row r="1690" spans="1:14" ht="15.6" x14ac:dyDescent="0.3">
      <c r="A1690" s="13" t="str">
        <f t="shared" si="78"/>
        <v>-</v>
      </c>
      <c r="B1690" s="27"/>
      <c r="C1690" s="26"/>
      <c r="D1690" s="26"/>
      <c r="E1690" s="26"/>
      <c r="F1690" s="26"/>
      <c r="G1690" s="34">
        <f>SUMIFS('BASE EXEC. Q.L'!N:N,'BASE EXEC. Q.L'!B:B,VOOS!A1690)</f>
        <v>0</v>
      </c>
      <c r="H1690" s="15" t="str">
        <f>IFERROR(_xlfn.XLOOKUP(A1690,'BASE SQL PLANTIO'!B:B,'BASE SQL PLANTIO'!T:T,"verificar",0),"")</f>
        <v/>
      </c>
      <c r="I1690" s="77" t="str">
        <f>IF(_xlfn.MINIFS('BASE SQL PLANTIO'!E:E,'BASE SQL PLANTIO'!B:B,VOOS!A1690)=0/1/1900,"",_xlfn.MINIFS('BASE SQL PLANTIO'!E:E,'BASE SQL PLANTIO'!B:B,VOOS!A1690))</f>
        <v/>
      </c>
      <c r="J1690" s="26"/>
      <c r="K1690" s="34" t="str">
        <f t="shared" si="79"/>
        <v/>
      </c>
      <c r="L1690" s="35" t="str">
        <f t="shared" si="80"/>
        <v/>
      </c>
      <c r="M1690" s="14"/>
      <c r="N1690" s="16"/>
    </row>
    <row r="1691" spans="1:14" ht="15.6" x14ac:dyDescent="0.3">
      <c r="A1691" s="13" t="str">
        <f t="shared" si="78"/>
        <v>-</v>
      </c>
      <c r="B1691" s="27"/>
      <c r="C1691" s="26"/>
      <c r="D1691" s="26"/>
      <c r="E1691" s="26"/>
      <c r="F1691" s="26"/>
      <c r="G1691" s="34">
        <f>SUMIFS('BASE EXEC. Q.L'!N:N,'BASE EXEC. Q.L'!B:B,VOOS!A1691)</f>
        <v>0</v>
      </c>
      <c r="H1691" s="15" t="str">
        <f>IFERROR(_xlfn.XLOOKUP(A1691,'BASE SQL PLANTIO'!B:B,'BASE SQL PLANTIO'!T:T,"verificar",0),"")</f>
        <v/>
      </c>
      <c r="I1691" s="77" t="str">
        <f>IF(_xlfn.MINIFS('BASE SQL PLANTIO'!E:E,'BASE SQL PLANTIO'!B:B,VOOS!A1691)=0/1/1900,"",_xlfn.MINIFS('BASE SQL PLANTIO'!E:E,'BASE SQL PLANTIO'!B:B,VOOS!A1691))</f>
        <v/>
      </c>
      <c r="J1691" s="26"/>
      <c r="K1691" s="34" t="str">
        <f t="shared" si="79"/>
        <v/>
      </c>
      <c r="L1691" s="35" t="str">
        <f t="shared" si="80"/>
        <v/>
      </c>
      <c r="M1691" s="14"/>
      <c r="N1691" s="15"/>
    </row>
    <row r="1692" spans="1:14" ht="15.6" x14ac:dyDescent="0.3">
      <c r="A1692" s="13" t="str">
        <f t="shared" si="78"/>
        <v>-</v>
      </c>
      <c r="B1692" s="27"/>
      <c r="C1692" s="26"/>
      <c r="D1692" s="26"/>
      <c r="E1692" s="26"/>
      <c r="F1692" s="26"/>
      <c r="G1692" s="34">
        <f>SUMIFS('BASE EXEC. Q.L'!N:N,'BASE EXEC. Q.L'!B:B,VOOS!A1692)</f>
        <v>0</v>
      </c>
      <c r="H1692" s="15" t="str">
        <f>IFERROR(_xlfn.XLOOKUP(A1692,'BASE SQL PLANTIO'!B:B,'BASE SQL PLANTIO'!T:T,"verificar",0),"")</f>
        <v/>
      </c>
      <c r="I1692" s="77" t="str">
        <f>IF(_xlfn.MINIFS('BASE SQL PLANTIO'!E:E,'BASE SQL PLANTIO'!B:B,VOOS!A1692)=0/1/1900,"",_xlfn.MINIFS('BASE SQL PLANTIO'!E:E,'BASE SQL PLANTIO'!B:B,VOOS!A1692))</f>
        <v/>
      </c>
      <c r="J1692" s="26"/>
      <c r="K1692" s="34" t="str">
        <f t="shared" si="79"/>
        <v/>
      </c>
      <c r="L1692" s="35" t="str">
        <f t="shared" si="80"/>
        <v/>
      </c>
      <c r="M1692" s="14"/>
      <c r="N1692" s="16"/>
    </row>
    <row r="1693" spans="1:14" ht="15.6" x14ac:dyDescent="0.3">
      <c r="A1693" s="13" t="str">
        <f t="shared" si="78"/>
        <v>-</v>
      </c>
      <c r="B1693" s="27"/>
      <c r="C1693" s="26"/>
      <c r="D1693" s="26"/>
      <c r="E1693" s="26"/>
      <c r="F1693" s="26"/>
      <c r="G1693" s="34">
        <f>SUMIFS('BASE EXEC. Q.L'!N:N,'BASE EXEC. Q.L'!B:B,VOOS!A1693)</f>
        <v>0</v>
      </c>
      <c r="H1693" s="15" t="str">
        <f>IFERROR(_xlfn.XLOOKUP(A1693,'BASE SQL PLANTIO'!B:B,'BASE SQL PLANTIO'!T:T,"verificar",0),"")</f>
        <v/>
      </c>
      <c r="I1693" s="77" t="str">
        <f>IF(_xlfn.MINIFS('BASE SQL PLANTIO'!E:E,'BASE SQL PLANTIO'!B:B,VOOS!A1693)=0/1/1900,"",_xlfn.MINIFS('BASE SQL PLANTIO'!E:E,'BASE SQL PLANTIO'!B:B,VOOS!A1693))</f>
        <v/>
      </c>
      <c r="J1693" s="26"/>
      <c r="K1693" s="34" t="str">
        <f t="shared" si="79"/>
        <v/>
      </c>
      <c r="L1693" s="35" t="str">
        <f t="shared" si="80"/>
        <v/>
      </c>
      <c r="M1693" s="14"/>
      <c r="N1693" s="16"/>
    </row>
    <row r="1694" spans="1:14" ht="15.6" x14ac:dyDescent="0.3">
      <c r="A1694" s="13" t="str">
        <f t="shared" si="78"/>
        <v>-</v>
      </c>
      <c r="B1694" s="25"/>
      <c r="C1694" s="25"/>
      <c r="D1694" s="25"/>
      <c r="E1694" s="25"/>
      <c r="F1694" s="31"/>
      <c r="G1694" s="34">
        <f>SUMIFS('BASE EXEC. Q.L'!N:N,'BASE EXEC. Q.L'!B:B,VOOS!A1694)</f>
        <v>0</v>
      </c>
      <c r="H1694" s="15" t="str">
        <f>IFERROR(_xlfn.XLOOKUP(A1694,'BASE SQL PLANTIO'!B:B,'BASE SQL PLANTIO'!T:T,"verificar",0),"")</f>
        <v/>
      </c>
      <c r="I1694" s="77" t="str">
        <f>IF(_xlfn.MINIFS('BASE SQL PLANTIO'!E:E,'BASE SQL PLANTIO'!B:B,VOOS!A1694)=0/1/1900,"",_xlfn.MINIFS('BASE SQL PLANTIO'!E:E,'BASE SQL PLANTIO'!B:B,VOOS!A1694))</f>
        <v/>
      </c>
      <c r="J1694" s="26"/>
      <c r="K1694" s="34" t="str">
        <f t="shared" si="79"/>
        <v/>
      </c>
      <c r="L1694" s="35" t="str">
        <f t="shared" si="80"/>
        <v/>
      </c>
      <c r="M1694" s="14"/>
      <c r="N1694" s="16"/>
    </row>
    <row r="1695" spans="1:14" ht="15.6" x14ac:dyDescent="0.3">
      <c r="A1695" s="13" t="str">
        <f t="shared" si="78"/>
        <v>-</v>
      </c>
      <c r="B1695" s="25"/>
      <c r="C1695" s="25"/>
      <c r="D1695" s="25"/>
      <c r="E1695" s="25"/>
      <c r="F1695" s="31"/>
      <c r="G1695" s="34">
        <f>SUMIFS('BASE EXEC. Q.L'!N:N,'BASE EXEC. Q.L'!B:B,VOOS!A1695)</f>
        <v>0</v>
      </c>
      <c r="H1695" s="15" t="str">
        <f>IFERROR(_xlfn.XLOOKUP(A1695,'BASE SQL PLANTIO'!B:B,'BASE SQL PLANTIO'!T:T,"verificar",0),"")</f>
        <v/>
      </c>
      <c r="I1695" s="77" t="str">
        <f>IF(_xlfn.MINIFS('BASE SQL PLANTIO'!E:E,'BASE SQL PLANTIO'!B:B,VOOS!A1695)=0/1/1900,"",_xlfn.MINIFS('BASE SQL PLANTIO'!E:E,'BASE SQL PLANTIO'!B:B,VOOS!A1695))</f>
        <v/>
      </c>
      <c r="J1695" s="26"/>
      <c r="K1695" s="34" t="str">
        <f t="shared" si="79"/>
        <v/>
      </c>
      <c r="L1695" s="35" t="str">
        <f t="shared" si="80"/>
        <v/>
      </c>
      <c r="M1695" s="14"/>
      <c r="N1695" s="16"/>
    </row>
    <row r="1696" spans="1:14" ht="15.6" x14ac:dyDescent="0.3">
      <c r="A1696" s="13" t="str">
        <f t="shared" si="78"/>
        <v>-</v>
      </c>
      <c r="B1696" s="25"/>
      <c r="C1696" s="25"/>
      <c r="D1696" s="25"/>
      <c r="E1696" s="25"/>
      <c r="F1696" s="31"/>
      <c r="G1696" s="34">
        <f>SUMIFS('BASE EXEC. Q.L'!N:N,'BASE EXEC. Q.L'!B:B,VOOS!A1696)</f>
        <v>0</v>
      </c>
      <c r="H1696" s="15" t="str">
        <f>IFERROR(_xlfn.XLOOKUP(A1696,'BASE SQL PLANTIO'!B:B,'BASE SQL PLANTIO'!T:T,"verificar",0),"")</f>
        <v/>
      </c>
      <c r="I1696" s="77" t="str">
        <f>IF(_xlfn.MINIFS('BASE SQL PLANTIO'!E:E,'BASE SQL PLANTIO'!B:B,VOOS!A1696)=0/1/1900,"",_xlfn.MINIFS('BASE SQL PLANTIO'!E:E,'BASE SQL PLANTIO'!B:B,VOOS!A1696))</f>
        <v/>
      </c>
      <c r="J1696" s="26"/>
      <c r="K1696" s="34" t="str">
        <f t="shared" si="79"/>
        <v/>
      </c>
      <c r="L1696" s="35" t="str">
        <f t="shared" si="80"/>
        <v/>
      </c>
      <c r="M1696" s="14"/>
      <c r="N1696" s="15"/>
    </row>
    <row r="1697" spans="1:14" ht="15.6" x14ac:dyDescent="0.3">
      <c r="A1697" s="13" t="str">
        <f t="shared" si="78"/>
        <v>-</v>
      </c>
      <c r="B1697" s="27"/>
      <c r="C1697" s="26"/>
      <c r="D1697" s="26"/>
      <c r="E1697" s="26"/>
      <c r="F1697" s="26"/>
      <c r="G1697" s="34">
        <f>SUMIFS('BASE EXEC. Q.L'!N:N,'BASE EXEC. Q.L'!B:B,VOOS!A1697)</f>
        <v>0</v>
      </c>
      <c r="H1697" s="15" t="str">
        <f>IFERROR(_xlfn.XLOOKUP(A1697,'BASE SQL PLANTIO'!B:B,'BASE SQL PLANTIO'!T:T,"verificar",0),"")</f>
        <v/>
      </c>
      <c r="I1697" s="77" t="str">
        <f>IF(_xlfn.MINIFS('BASE SQL PLANTIO'!E:E,'BASE SQL PLANTIO'!B:B,VOOS!A1697)=0/1/1900,"",_xlfn.MINIFS('BASE SQL PLANTIO'!E:E,'BASE SQL PLANTIO'!B:B,VOOS!A1697))</f>
        <v/>
      </c>
      <c r="J1697" s="26"/>
      <c r="K1697" s="34" t="str">
        <f t="shared" si="79"/>
        <v/>
      </c>
      <c r="L1697" s="35" t="str">
        <f t="shared" si="80"/>
        <v/>
      </c>
      <c r="M1697" s="14"/>
      <c r="N1697" s="16"/>
    </row>
    <row r="1698" spans="1:14" ht="15.6" x14ac:dyDescent="0.3">
      <c r="A1698" s="13" t="str">
        <f t="shared" si="78"/>
        <v>-</v>
      </c>
      <c r="B1698" s="27"/>
      <c r="C1698" s="26"/>
      <c r="D1698" s="26"/>
      <c r="E1698" s="26"/>
      <c r="F1698" s="26"/>
      <c r="G1698" s="34">
        <f>SUMIFS('BASE EXEC. Q.L'!N:N,'BASE EXEC. Q.L'!B:B,VOOS!A1698)</f>
        <v>0</v>
      </c>
      <c r="H1698" s="15" t="str">
        <f>IFERROR(_xlfn.XLOOKUP(A1698,'BASE SQL PLANTIO'!B:B,'BASE SQL PLANTIO'!T:T,"verificar",0),"")</f>
        <v/>
      </c>
      <c r="I1698" s="77" t="str">
        <f>IF(_xlfn.MINIFS('BASE SQL PLANTIO'!E:E,'BASE SQL PLANTIO'!B:B,VOOS!A1698)=0/1/1900,"",_xlfn.MINIFS('BASE SQL PLANTIO'!E:E,'BASE SQL PLANTIO'!B:B,VOOS!A1698))</f>
        <v/>
      </c>
      <c r="J1698" s="26"/>
      <c r="K1698" s="34" t="str">
        <f t="shared" si="79"/>
        <v/>
      </c>
      <c r="L1698" s="35" t="str">
        <f t="shared" si="80"/>
        <v/>
      </c>
      <c r="M1698" s="14"/>
      <c r="N1698" s="16"/>
    </row>
    <row r="1699" spans="1:14" ht="15.6" x14ac:dyDescent="0.3">
      <c r="A1699" s="13" t="str">
        <f t="shared" si="78"/>
        <v>-</v>
      </c>
      <c r="B1699" s="25"/>
      <c r="C1699" s="25"/>
      <c r="D1699" s="25"/>
      <c r="E1699" s="25"/>
      <c r="F1699" s="31"/>
      <c r="G1699" s="34">
        <f>SUMIFS('BASE EXEC. Q.L'!N:N,'BASE EXEC. Q.L'!B:B,VOOS!A1699)</f>
        <v>0</v>
      </c>
      <c r="H1699" s="15" t="str">
        <f>IFERROR(_xlfn.XLOOKUP(A1699,'BASE SQL PLANTIO'!B:B,'BASE SQL PLANTIO'!T:T,"verificar",0),"")</f>
        <v/>
      </c>
      <c r="I1699" s="77" t="str">
        <f>IF(_xlfn.MINIFS('BASE SQL PLANTIO'!E:E,'BASE SQL PLANTIO'!B:B,VOOS!A1699)=0/1/1900,"",_xlfn.MINIFS('BASE SQL PLANTIO'!E:E,'BASE SQL PLANTIO'!B:B,VOOS!A1699))</f>
        <v/>
      </c>
      <c r="J1699" s="26"/>
      <c r="K1699" s="34" t="str">
        <f t="shared" si="79"/>
        <v/>
      </c>
      <c r="L1699" s="35" t="str">
        <f t="shared" si="80"/>
        <v/>
      </c>
      <c r="M1699" s="14"/>
      <c r="N1699" s="16"/>
    </row>
    <row r="1700" spans="1:14" ht="15.6" x14ac:dyDescent="0.3">
      <c r="A1700" s="13" t="str">
        <f t="shared" si="78"/>
        <v>-</v>
      </c>
      <c r="B1700" s="25"/>
      <c r="C1700" s="25"/>
      <c r="D1700" s="25"/>
      <c r="E1700" s="25"/>
      <c r="F1700" s="31"/>
      <c r="G1700" s="34">
        <f>SUMIFS('BASE EXEC. Q.L'!N:N,'BASE EXEC. Q.L'!B:B,VOOS!A1700)</f>
        <v>0</v>
      </c>
      <c r="H1700" s="15" t="str">
        <f>IFERROR(_xlfn.XLOOKUP(A1700,'BASE SQL PLANTIO'!B:B,'BASE SQL PLANTIO'!T:T,"verificar",0),"")</f>
        <v/>
      </c>
      <c r="I1700" s="77" t="str">
        <f>IF(_xlfn.MINIFS('BASE SQL PLANTIO'!E:E,'BASE SQL PLANTIO'!B:B,VOOS!A1700)=0/1/1900,"",_xlfn.MINIFS('BASE SQL PLANTIO'!E:E,'BASE SQL PLANTIO'!B:B,VOOS!A1700))</f>
        <v/>
      </c>
      <c r="J1700" s="26"/>
      <c r="K1700" s="34" t="str">
        <f t="shared" si="79"/>
        <v/>
      </c>
      <c r="L1700" s="35" t="str">
        <f t="shared" si="80"/>
        <v/>
      </c>
      <c r="M1700" s="14"/>
      <c r="N1700" s="16"/>
    </row>
    <row r="1701" spans="1:14" ht="15.6" x14ac:dyDescent="0.3">
      <c r="A1701" s="13" t="str">
        <f t="shared" si="78"/>
        <v>-</v>
      </c>
      <c r="B1701" s="25"/>
      <c r="C1701" s="25"/>
      <c r="D1701" s="25"/>
      <c r="E1701" s="25"/>
      <c r="F1701" s="31"/>
      <c r="G1701" s="34">
        <f>SUMIFS('BASE EXEC. Q.L'!N:N,'BASE EXEC. Q.L'!B:B,VOOS!A1701)</f>
        <v>0</v>
      </c>
      <c r="H1701" s="15" t="str">
        <f>IFERROR(_xlfn.XLOOKUP(A1701,'BASE SQL PLANTIO'!B:B,'BASE SQL PLANTIO'!T:T,"verificar",0),"")</f>
        <v/>
      </c>
      <c r="I1701" s="77" t="str">
        <f>IF(_xlfn.MINIFS('BASE SQL PLANTIO'!E:E,'BASE SQL PLANTIO'!B:B,VOOS!A1701)=0/1/1900,"",_xlfn.MINIFS('BASE SQL PLANTIO'!E:E,'BASE SQL PLANTIO'!B:B,VOOS!A1701))</f>
        <v/>
      </c>
      <c r="J1701" s="26"/>
      <c r="K1701" s="34" t="str">
        <f t="shared" si="79"/>
        <v/>
      </c>
      <c r="L1701" s="35" t="str">
        <f t="shared" si="80"/>
        <v/>
      </c>
      <c r="M1701" s="14"/>
      <c r="N1701" s="15"/>
    </row>
    <row r="1702" spans="1:14" ht="15.6" x14ac:dyDescent="0.3">
      <c r="A1702" s="13" t="str">
        <f t="shared" si="78"/>
        <v>-</v>
      </c>
      <c r="B1702" s="27"/>
      <c r="C1702" s="26"/>
      <c r="D1702" s="26"/>
      <c r="E1702" s="26"/>
      <c r="F1702" s="26"/>
      <c r="G1702" s="34">
        <f>SUMIFS('BASE EXEC. Q.L'!N:N,'BASE EXEC. Q.L'!B:B,VOOS!A1702)</f>
        <v>0</v>
      </c>
      <c r="H1702" s="15" t="str">
        <f>IFERROR(_xlfn.XLOOKUP(A1702,'BASE SQL PLANTIO'!B:B,'BASE SQL PLANTIO'!T:T,"verificar",0),"")</f>
        <v/>
      </c>
      <c r="I1702" s="77" t="str">
        <f>IF(_xlfn.MINIFS('BASE SQL PLANTIO'!E:E,'BASE SQL PLANTIO'!B:B,VOOS!A1702)=0/1/1900,"",_xlfn.MINIFS('BASE SQL PLANTIO'!E:E,'BASE SQL PLANTIO'!B:B,VOOS!A1702))</f>
        <v/>
      </c>
      <c r="J1702" s="26"/>
      <c r="K1702" s="34" t="str">
        <f t="shared" si="79"/>
        <v/>
      </c>
      <c r="L1702" s="35" t="str">
        <f t="shared" si="80"/>
        <v/>
      </c>
      <c r="M1702" s="14"/>
      <c r="N1702" s="16"/>
    </row>
    <row r="1703" spans="1:14" ht="15.6" x14ac:dyDescent="0.3">
      <c r="A1703" s="13" t="str">
        <f t="shared" si="78"/>
        <v>-</v>
      </c>
      <c r="B1703" s="27"/>
      <c r="C1703" s="26"/>
      <c r="D1703" s="26"/>
      <c r="E1703" s="26"/>
      <c r="F1703" s="26"/>
      <c r="G1703" s="34">
        <f>SUMIFS('BASE EXEC. Q.L'!N:N,'BASE EXEC. Q.L'!B:B,VOOS!A1703)</f>
        <v>0</v>
      </c>
      <c r="H1703" s="15" t="str">
        <f>IFERROR(_xlfn.XLOOKUP(A1703,'BASE SQL PLANTIO'!B:B,'BASE SQL PLANTIO'!T:T,"verificar",0),"")</f>
        <v/>
      </c>
      <c r="I1703" s="77" t="str">
        <f>IF(_xlfn.MINIFS('BASE SQL PLANTIO'!E:E,'BASE SQL PLANTIO'!B:B,VOOS!A1703)=0/1/1900,"",_xlfn.MINIFS('BASE SQL PLANTIO'!E:E,'BASE SQL PLANTIO'!B:B,VOOS!A1703))</f>
        <v/>
      </c>
      <c r="J1703" s="26"/>
      <c r="K1703" s="34" t="str">
        <f t="shared" si="79"/>
        <v/>
      </c>
      <c r="L1703" s="35" t="str">
        <f t="shared" si="80"/>
        <v/>
      </c>
      <c r="M1703" s="14"/>
      <c r="N1703" s="16"/>
    </row>
    <row r="1704" spans="1:14" ht="15.6" x14ac:dyDescent="0.3">
      <c r="A1704" s="13" t="str">
        <f t="shared" si="78"/>
        <v>-</v>
      </c>
      <c r="B1704" s="25"/>
      <c r="C1704" s="25"/>
      <c r="D1704" s="25"/>
      <c r="E1704" s="25"/>
      <c r="F1704" s="31"/>
      <c r="G1704" s="34">
        <f>SUMIFS('BASE EXEC. Q.L'!N:N,'BASE EXEC. Q.L'!B:B,VOOS!A1704)</f>
        <v>0</v>
      </c>
      <c r="H1704" s="15" t="str">
        <f>IFERROR(_xlfn.XLOOKUP(A1704,'BASE SQL PLANTIO'!B:B,'BASE SQL PLANTIO'!T:T,"verificar",0),"")</f>
        <v/>
      </c>
      <c r="I1704" s="77" t="str">
        <f>IF(_xlfn.MINIFS('BASE SQL PLANTIO'!E:E,'BASE SQL PLANTIO'!B:B,VOOS!A1704)=0/1/1900,"",_xlfn.MINIFS('BASE SQL PLANTIO'!E:E,'BASE SQL PLANTIO'!B:B,VOOS!A1704))</f>
        <v/>
      </c>
      <c r="J1704" s="26"/>
      <c r="K1704" s="34" t="str">
        <f t="shared" si="79"/>
        <v/>
      </c>
      <c r="L1704" s="35" t="str">
        <f t="shared" si="80"/>
        <v/>
      </c>
      <c r="M1704" s="14"/>
      <c r="N1704" s="16"/>
    </row>
    <row r="1705" spans="1:14" ht="15.6" x14ac:dyDescent="0.3">
      <c r="A1705" s="13" t="str">
        <f t="shared" si="78"/>
        <v>-</v>
      </c>
      <c r="B1705" s="25"/>
      <c r="C1705" s="25"/>
      <c r="D1705" s="25"/>
      <c r="E1705" s="25"/>
      <c r="F1705" s="31"/>
      <c r="G1705" s="34">
        <f>SUMIFS('BASE EXEC. Q.L'!N:N,'BASE EXEC. Q.L'!B:B,VOOS!A1705)</f>
        <v>0</v>
      </c>
      <c r="H1705" s="15" t="str">
        <f>IFERROR(_xlfn.XLOOKUP(A1705,'BASE SQL PLANTIO'!B:B,'BASE SQL PLANTIO'!T:T,"verificar",0),"")</f>
        <v/>
      </c>
      <c r="I1705" s="77" t="str">
        <f>IF(_xlfn.MINIFS('BASE SQL PLANTIO'!E:E,'BASE SQL PLANTIO'!B:B,VOOS!A1705)=0/1/1900,"",_xlfn.MINIFS('BASE SQL PLANTIO'!E:E,'BASE SQL PLANTIO'!B:B,VOOS!A1705))</f>
        <v/>
      </c>
      <c r="J1705" s="26"/>
      <c r="K1705" s="34" t="str">
        <f t="shared" si="79"/>
        <v/>
      </c>
      <c r="L1705" s="35" t="str">
        <f t="shared" si="80"/>
        <v/>
      </c>
      <c r="M1705" s="14"/>
      <c r="N1705" s="16"/>
    </row>
    <row r="1706" spans="1:14" ht="15.6" x14ac:dyDescent="0.3">
      <c r="A1706" s="13" t="str">
        <f t="shared" si="78"/>
        <v>-</v>
      </c>
      <c r="B1706" s="25"/>
      <c r="C1706" s="25"/>
      <c r="D1706" s="25"/>
      <c r="E1706" s="25"/>
      <c r="F1706" s="31"/>
      <c r="G1706" s="34">
        <f>SUMIFS('BASE EXEC. Q.L'!N:N,'BASE EXEC. Q.L'!B:B,VOOS!A1706)</f>
        <v>0</v>
      </c>
      <c r="H1706" s="15" t="str">
        <f>IFERROR(_xlfn.XLOOKUP(A1706,'BASE SQL PLANTIO'!B:B,'BASE SQL PLANTIO'!T:T,"verificar",0),"")</f>
        <v/>
      </c>
      <c r="I1706" s="77" t="str">
        <f>IF(_xlfn.MINIFS('BASE SQL PLANTIO'!E:E,'BASE SQL PLANTIO'!B:B,VOOS!A1706)=0/1/1900,"",_xlfn.MINIFS('BASE SQL PLANTIO'!E:E,'BASE SQL PLANTIO'!B:B,VOOS!A1706))</f>
        <v/>
      </c>
      <c r="J1706" s="26"/>
      <c r="K1706" s="34" t="str">
        <f t="shared" si="79"/>
        <v/>
      </c>
      <c r="L1706" s="35" t="str">
        <f t="shared" si="80"/>
        <v/>
      </c>
      <c r="M1706" s="14"/>
      <c r="N1706" s="15"/>
    </row>
    <row r="1707" spans="1:14" ht="15.6" x14ac:dyDescent="0.3">
      <c r="A1707" s="13" t="str">
        <f t="shared" si="78"/>
        <v>-</v>
      </c>
      <c r="B1707" s="27"/>
      <c r="C1707" s="26"/>
      <c r="D1707" s="26"/>
      <c r="E1707" s="26"/>
      <c r="F1707" s="26"/>
      <c r="G1707" s="34">
        <f>SUMIFS('BASE EXEC. Q.L'!N:N,'BASE EXEC. Q.L'!B:B,VOOS!A1707)</f>
        <v>0</v>
      </c>
      <c r="H1707" s="15" t="str">
        <f>IFERROR(_xlfn.XLOOKUP(A1707,'BASE SQL PLANTIO'!B:B,'BASE SQL PLANTIO'!T:T,"verificar",0),"")</f>
        <v/>
      </c>
      <c r="I1707" s="77" t="str">
        <f>IF(_xlfn.MINIFS('BASE SQL PLANTIO'!E:E,'BASE SQL PLANTIO'!B:B,VOOS!A1707)=0/1/1900,"",_xlfn.MINIFS('BASE SQL PLANTIO'!E:E,'BASE SQL PLANTIO'!B:B,VOOS!A1707))</f>
        <v/>
      </c>
      <c r="J1707" s="26"/>
      <c r="K1707" s="34" t="str">
        <f t="shared" si="79"/>
        <v/>
      </c>
      <c r="L1707" s="35" t="str">
        <f t="shared" si="80"/>
        <v/>
      </c>
      <c r="M1707" s="14"/>
      <c r="N1707" s="16"/>
    </row>
    <row r="1708" spans="1:14" ht="15.6" x14ac:dyDescent="0.3">
      <c r="A1708" s="13" t="str">
        <f t="shared" si="78"/>
        <v>-</v>
      </c>
      <c r="B1708" s="27"/>
      <c r="C1708" s="26"/>
      <c r="D1708" s="26"/>
      <c r="E1708" s="26"/>
      <c r="F1708" s="26"/>
      <c r="G1708" s="34">
        <f>SUMIFS('BASE EXEC. Q.L'!N:N,'BASE EXEC. Q.L'!B:B,VOOS!A1708)</f>
        <v>0</v>
      </c>
      <c r="H1708" s="15" t="str">
        <f>IFERROR(_xlfn.XLOOKUP(A1708,'BASE SQL PLANTIO'!B:B,'BASE SQL PLANTIO'!T:T,"verificar",0),"")</f>
        <v/>
      </c>
      <c r="I1708" s="77" t="str">
        <f>IF(_xlfn.MINIFS('BASE SQL PLANTIO'!E:E,'BASE SQL PLANTIO'!B:B,VOOS!A1708)=0/1/1900,"",_xlfn.MINIFS('BASE SQL PLANTIO'!E:E,'BASE SQL PLANTIO'!B:B,VOOS!A1708))</f>
        <v/>
      </c>
      <c r="J1708" s="26"/>
      <c r="K1708" s="34" t="str">
        <f t="shared" si="79"/>
        <v/>
      </c>
      <c r="L1708" s="35" t="str">
        <f t="shared" si="80"/>
        <v/>
      </c>
      <c r="M1708" s="14"/>
      <c r="N1708" s="16"/>
    </row>
    <row r="1709" spans="1:14" ht="15.6" x14ac:dyDescent="0.3">
      <c r="A1709" s="13" t="str">
        <f t="shared" si="78"/>
        <v>-</v>
      </c>
      <c r="B1709" s="25"/>
      <c r="C1709" s="25"/>
      <c r="D1709" s="25"/>
      <c r="E1709" s="25"/>
      <c r="F1709" s="31"/>
      <c r="G1709" s="34">
        <f>SUMIFS('BASE EXEC. Q.L'!N:N,'BASE EXEC. Q.L'!B:B,VOOS!A1709)</f>
        <v>0</v>
      </c>
      <c r="H1709" s="15" t="str">
        <f>IFERROR(_xlfn.XLOOKUP(A1709,'BASE SQL PLANTIO'!B:B,'BASE SQL PLANTIO'!T:T,"verificar",0),"")</f>
        <v/>
      </c>
      <c r="I1709" s="77" t="str">
        <f>IF(_xlfn.MINIFS('BASE SQL PLANTIO'!E:E,'BASE SQL PLANTIO'!B:B,VOOS!A1709)=0/1/1900,"",_xlfn.MINIFS('BASE SQL PLANTIO'!E:E,'BASE SQL PLANTIO'!B:B,VOOS!A1709))</f>
        <v/>
      </c>
      <c r="J1709" s="26"/>
      <c r="K1709" s="34" t="str">
        <f t="shared" si="79"/>
        <v/>
      </c>
      <c r="L1709" s="35" t="str">
        <f t="shared" si="80"/>
        <v/>
      </c>
      <c r="M1709" s="14"/>
      <c r="N1709" s="16"/>
    </row>
    <row r="1710" spans="1:14" ht="15.6" x14ac:dyDescent="0.3">
      <c r="A1710" s="13" t="str">
        <f t="shared" si="78"/>
        <v>-</v>
      </c>
      <c r="B1710" s="25"/>
      <c r="C1710" s="25"/>
      <c r="D1710" s="25"/>
      <c r="E1710" s="25"/>
      <c r="F1710" s="31"/>
      <c r="G1710" s="34">
        <f>SUMIFS('BASE EXEC. Q.L'!N:N,'BASE EXEC. Q.L'!B:B,VOOS!A1710)</f>
        <v>0</v>
      </c>
      <c r="H1710" s="15" t="str">
        <f>IFERROR(_xlfn.XLOOKUP(A1710,'BASE SQL PLANTIO'!B:B,'BASE SQL PLANTIO'!T:T,"verificar",0),"")</f>
        <v/>
      </c>
      <c r="I1710" s="77" t="str">
        <f>IF(_xlfn.MINIFS('BASE SQL PLANTIO'!E:E,'BASE SQL PLANTIO'!B:B,VOOS!A1710)=0/1/1900,"",_xlfn.MINIFS('BASE SQL PLANTIO'!E:E,'BASE SQL PLANTIO'!B:B,VOOS!A1710))</f>
        <v/>
      </c>
      <c r="J1710" s="26"/>
      <c r="K1710" s="34" t="str">
        <f t="shared" si="79"/>
        <v/>
      </c>
      <c r="L1710" s="35" t="str">
        <f t="shared" si="80"/>
        <v/>
      </c>
      <c r="M1710" s="14"/>
      <c r="N1710" s="16"/>
    </row>
    <row r="1711" spans="1:14" ht="15.6" x14ac:dyDescent="0.3">
      <c r="A1711" s="13" t="str">
        <f t="shared" si="78"/>
        <v>-</v>
      </c>
      <c r="B1711" s="25"/>
      <c r="C1711" s="25"/>
      <c r="D1711" s="25"/>
      <c r="E1711" s="25"/>
      <c r="F1711" s="31"/>
      <c r="G1711" s="34">
        <f>SUMIFS('BASE EXEC. Q.L'!N:N,'BASE EXEC. Q.L'!B:B,VOOS!A1711)</f>
        <v>0</v>
      </c>
      <c r="H1711" s="15" t="str">
        <f>IFERROR(_xlfn.XLOOKUP(A1711,'BASE SQL PLANTIO'!B:B,'BASE SQL PLANTIO'!T:T,"verificar",0),"")</f>
        <v/>
      </c>
      <c r="I1711" s="77" t="str">
        <f>IF(_xlfn.MINIFS('BASE SQL PLANTIO'!E:E,'BASE SQL PLANTIO'!B:B,VOOS!A1711)=0/1/1900,"",_xlfn.MINIFS('BASE SQL PLANTIO'!E:E,'BASE SQL PLANTIO'!B:B,VOOS!A1711))</f>
        <v/>
      </c>
      <c r="J1711" s="26"/>
      <c r="K1711" s="34" t="str">
        <f t="shared" si="79"/>
        <v/>
      </c>
      <c r="L1711" s="35" t="str">
        <f t="shared" si="80"/>
        <v/>
      </c>
      <c r="M1711" s="14"/>
      <c r="N1711" s="15"/>
    </row>
    <row r="1712" spans="1:14" ht="15.6" x14ac:dyDescent="0.3">
      <c r="A1712" s="13" t="str">
        <f t="shared" si="78"/>
        <v>-</v>
      </c>
      <c r="B1712" s="27"/>
      <c r="C1712" s="26"/>
      <c r="D1712" s="26"/>
      <c r="E1712" s="26"/>
      <c r="F1712" s="26"/>
      <c r="G1712" s="34">
        <f>SUMIFS('BASE EXEC. Q.L'!N:N,'BASE EXEC. Q.L'!B:B,VOOS!A1712)</f>
        <v>0</v>
      </c>
      <c r="H1712" s="15" t="str">
        <f>IFERROR(_xlfn.XLOOKUP(A1712,'BASE SQL PLANTIO'!B:B,'BASE SQL PLANTIO'!T:T,"verificar",0),"")</f>
        <v/>
      </c>
      <c r="I1712" s="77" t="str">
        <f>IF(_xlfn.MINIFS('BASE SQL PLANTIO'!E:E,'BASE SQL PLANTIO'!B:B,VOOS!A1712)=0/1/1900,"",_xlfn.MINIFS('BASE SQL PLANTIO'!E:E,'BASE SQL PLANTIO'!B:B,VOOS!A1712))</f>
        <v/>
      </c>
      <c r="J1712" s="26"/>
      <c r="K1712" s="34" t="str">
        <f t="shared" si="79"/>
        <v/>
      </c>
      <c r="L1712" s="35" t="str">
        <f t="shared" si="80"/>
        <v/>
      </c>
      <c r="M1712" s="14"/>
      <c r="N1712" s="16"/>
    </row>
    <row r="1713" spans="1:14" ht="15.6" x14ac:dyDescent="0.3">
      <c r="A1713" s="13" t="str">
        <f t="shared" si="78"/>
        <v>-</v>
      </c>
      <c r="B1713" s="27"/>
      <c r="C1713" s="26"/>
      <c r="D1713" s="26"/>
      <c r="E1713" s="26"/>
      <c r="F1713" s="26"/>
      <c r="G1713" s="34">
        <f>SUMIFS('BASE EXEC. Q.L'!N:N,'BASE EXEC. Q.L'!B:B,VOOS!A1713)</f>
        <v>0</v>
      </c>
      <c r="H1713" s="15" t="str">
        <f>IFERROR(_xlfn.XLOOKUP(A1713,'BASE SQL PLANTIO'!B:B,'BASE SQL PLANTIO'!T:T,"verificar",0),"")</f>
        <v/>
      </c>
      <c r="I1713" s="77" t="str">
        <f>IF(_xlfn.MINIFS('BASE SQL PLANTIO'!E:E,'BASE SQL PLANTIO'!B:B,VOOS!A1713)=0/1/1900,"",_xlfn.MINIFS('BASE SQL PLANTIO'!E:E,'BASE SQL PLANTIO'!B:B,VOOS!A1713))</f>
        <v/>
      </c>
      <c r="J1713" s="26"/>
      <c r="K1713" s="34" t="str">
        <f t="shared" si="79"/>
        <v/>
      </c>
      <c r="L1713" s="35" t="str">
        <f t="shared" si="80"/>
        <v/>
      </c>
      <c r="M1713" s="14"/>
      <c r="N1713" s="16"/>
    </row>
    <row r="1714" spans="1:14" ht="15.6" x14ac:dyDescent="0.3">
      <c r="A1714" s="13" t="str">
        <f t="shared" si="78"/>
        <v>-</v>
      </c>
      <c r="B1714" s="25"/>
      <c r="C1714" s="25"/>
      <c r="D1714" s="25"/>
      <c r="E1714" s="25"/>
      <c r="F1714" s="31"/>
      <c r="G1714" s="34">
        <f>SUMIFS('BASE EXEC. Q.L'!N:N,'BASE EXEC. Q.L'!B:B,VOOS!A1714)</f>
        <v>0</v>
      </c>
      <c r="H1714" s="15" t="str">
        <f>IFERROR(_xlfn.XLOOKUP(A1714,'BASE SQL PLANTIO'!B:B,'BASE SQL PLANTIO'!T:T,"verificar",0),"")</f>
        <v/>
      </c>
      <c r="I1714" s="77" t="str">
        <f>IF(_xlfn.MINIFS('BASE SQL PLANTIO'!E:E,'BASE SQL PLANTIO'!B:B,VOOS!A1714)=0/1/1900,"",_xlfn.MINIFS('BASE SQL PLANTIO'!E:E,'BASE SQL PLANTIO'!B:B,VOOS!A1714))</f>
        <v/>
      </c>
      <c r="J1714" s="26"/>
      <c r="K1714" s="34" t="str">
        <f t="shared" si="79"/>
        <v/>
      </c>
      <c r="L1714" s="35" t="str">
        <f t="shared" si="80"/>
        <v/>
      </c>
      <c r="M1714" s="14"/>
      <c r="N1714" s="16"/>
    </row>
    <row r="1715" spans="1:14" ht="15.6" x14ac:dyDescent="0.3">
      <c r="A1715" s="13" t="str">
        <f t="shared" si="78"/>
        <v>-</v>
      </c>
      <c r="B1715" s="25"/>
      <c r="C1715" s="25"/>
      <c r="D1715" s="25"/>
      <c r="E1715" s="25"/>
      <c r="F1715" s="31"/>
      <c r="G1715" s="34">
        <f>SUMIFS('BASE EXEC. Q.L'!N:N,'BASE EXEC. Q.L'!B:B,VOOS!A1715)</f>
        <v>0</v>
      </c>
      <c r="H1715" s="15" t="str">
        <f>IFERROR(_xlfn.XLOOKUP(A1715,'BASE SQL PLANTIO'!B:B,'BASE SQL PLANTIO'!T:T,"verificar",0),"")</f>
        <v/>
      </c>
      <c r="I1715" s="77" t="str">
        <f>IF(_xlfn.MINIFS('BASE SQL PLANTIO'!E:E,'BASE SQL PLANTIO'!B:B,VOOS!A1715)=0/1/1900,"",_xlfn.MINIFS('BASE SQL PLANTIO'!E:E,'BASE SQL PLANTIO'!B:B,VOOS!A1715))</f>
        <v/>
      </c>
      <c r="J1715" s="26"/>
      <c r="K1715" s="34" t="str">
        <f t="shared" si="79"/>
        <v/>
      </c>
      <c r="L1715" s="35" t="str">
        <f t="shared" si="80"/>
        <v/>
      </c>
      <c r="M1715" s="14"/>
      <c r="N1715" s="16"/>
    </row>
    <row r="1716" spans="1:14" ht="15.6" x14ac:dyDescent="0.3">
      <c r="A1716" s="13" t="str">
        <f t="shared" si="78"/>
        <v>-</v>
      </c>
      <c r="B1716" s="25"/>
      <c r="C1716" s="25"/>
      <c r="D1716" s="25"/>
      <c r="E1716" s="25"/>
      <c r="F1716" s="31"/>
      <c r="G1716" s="34">
        <f>SUMIFS('BASE EXEC. Q.L'!N:N,'BASE EXEC. Q.L'!B:B,VOOS!A1716)</f>
        <v>0</v>
      </c>
      <c r="H1716" s="15" t="str">
        <f>IFERROR(_xlfn.XLOOKUP(A1716,'BASE SQL PLANTIO'!B:B,'BASE SQL PLANTIO'!T:T,"verificar",0),"")</f>
        <v/>
      </c>
      <c r="I1716" s="77" t="str">
        <f>IF(_xlfn.MINIFS('BASE SQL PLANTIO'!E:E,'BASE SQL PLANTIO'!B:B,VOOS!A1716)=0/1/1900,"",_xlfn.MINIFS('BASE SQL PLANTIO'!E:E,'BASE SQL PLANTIO'!B:B,VOOS!A1716))</f>
        <v/>
      </c>
      <c r="J1716" s="26"/>
      <c r="K1716" s="34" t="str">
        <f t="shared" si="79"/>
        <v/>
      </c>
      <c r="L1716" s="35" t="str">
        <f t="shared" si="80"/>
        <v/>
      </c>
      <c r="M1716" s="14"/>
      <c r="N1716" s="15"/>
    </row>
    <row r="1717" spans="1:14" ht="15.6" x14ac:dyDescent="0.3">
      <c r="A1717" s="13" t="str">
        <f t="shared" si="78"/>
        <v>-</v>
      </c>
      <c r="B1717" s="27"/>
      <c r="C1717" s="26"/>
      <c r="D1717" s="26"/>
      <c r="E1717" s="26"/>
      <c r="F1717" s="26"/>
      <c r="G1717" s="34">
        <f>SUMIFS('BASE EXEC. Q.L'!N:N,'BASE EXEC. Q.L'!B:B,VOOS!A1717)</f>
        <v>0</v>
      </c>
      <c r="H1717" s="15" t="str">
        <f>IFERROR(_xlfn.XLOOKUP(A1717,'BASE SQL PLANTIO'!B:B,'BASE SQL PLANTIO'!T:T,"verificar",0),"")</f>
        <v/>
      </c>
      <c r="I1717" s="77" t="str">
        <f>IF(_xlfn.MINIFS('BASE SQL PLANTIO'!E:E,'BASE SQL PLANTIO'!B:B,VOOS!A1717)=0/1/1900,"",_xlfn.MINIFS('BASE SQL PLANTIO'!E:E,'BASE SQL PLANTIO'!B:B,VOOS!A1717))</f>
        <v/>
      </c>
      <c r="J1717" s="26"/>
      <c r="K1717" s="34" t="str">
        <f t="shared" si="79"/>
        <v/>
      </c>
      <c r="L1717" s="35" t="str">
        <f t="shared" si="80"/>
        <v/>
      </c>
      <c r="M1717" s="14"/>
      <c r="N1717" s="16"/>
    </row>
    <row r="1718" spans="1:14" ht="15.6" x14ac:dyDescent="0.3">
      <c r="A1718" s="13" t="str">
        <f t="shared" si="78"/>
        <v>-</v>
      </c>
      <c r="B1718" s="27"/>
      <c r="C1718" s="26"/>
      <c r="D1718" s="26"/>
      <c r="E1718" s="26"/>
      <c r="F1718" s="26"/>
      <c r="G1718" s="34">
        <f>SUMIFS('BASE EXEC. Q.L'!N:N,'BASE EXEC. Q.L'!B:B,VOOS!A1718)</f>
        <v>0</v>
      </c>
      <c r="H1718" s="15" t="str">
        <f>IFERROR(_xlfn.XLOOKUP(A1718,'BASE SQL PLANTIO'!B:B,'BASE SQL PLANTIO'!T:T,"verificar",0),"")</f>
        <v/>
      </c>
      <c r="I1718" s="77" t="str">
        <f>IF(_xlfn.MINIFS('BASE SQL PLANTIO'!E:E,'BASE SQL PLANTIO'!B:B,VOOS!A1718)=0/1/1900,"",_xlfn.MINIFS('BASE SQL PLANTIO'!E:E,'BASE SQL PLANTIO'!B:B,VOOS!A1718))</f>
        <v/>
      </c>
      <c r="J1718" s="26"/>
      <c r="K1718" s="34" t="str">
        <f t="shared" si="79"/>
        <v/>
      </c>
      <c r="L1718" s="35" t="str">
        <f t="shared" si="80"/>
        <v/>
      </c>
      <c r="M1718" s="14"/>
      <c r="N1718" s="16"/>
    </row>
    <row r="1719" spans="1:14" ht="15.6" x14ac:dyDescent="0.3">
      <c r="A1719" s="13" t="str">
        <f t="shared" si="78"/>
        <v>-</v>
      </c>
      <c r="B1719" s="25"/>
      <c r="C1719" s="25"/>
      <c r="D1719" s="25"/>
      <c r="E1719" s="25"/>
      <c r="F1719" s="31"/>
      <c r="G1719" s="34">
        <f>SUMIFS('BASE EXEC. Q.L'!N:N,'BASE EXEC. Q.L'!B:B,VOOS!A1719)</f>
        <v>0</v>
      </c>
      <c r="H1719" s="15" t="str">
        <f>IFERROR(_xlfn.XLOOKUP(A1719,'BASE SQL PLANTIO'!B:B,'BASE SQL PLANTIO'!T:T,"verificar",0),"")</f>
        <v/>
      </c>
      <c r="I1719" s="77" t="str">
        <f>IF(_xlfn.MINIFS('BASE SQL PLANTIO'!E:E,'BASE SQL PLANTIO'!B:B,VOOS!A1719)=0/1/1900,"",_xlfn.MINIFS('BASE SQL PLANTIO'!E:E,'BASE SQL PLANTIO'!B:B,VOOS!A1719))</f>
        <v/>
      </c>
      <c r="J1719" s="26"/>
      <c r="K1719" s="34" t="str">
        <f t="shared" si="79"/>
        <v/>
      </c>
      <c r="L1719" s="35" t="str">
        <f t="shared" si="80"/>
        <v/>
      </c>
      <c r="M1719" s="14"/>
      <c r="N1719" s="16"/>
    </row>
    <row r="1720" spans="1:14" ht="15.6" x14ac:dyDescent="0.3">
      <c r="A1720" s="13" t="str">
        <f t="shared" si="78"/>
        <v>-</v>
      </c>
      <c r="B1720" s="25"/>
      <c r="C1720" s="25"/>
      <c r="D1720" s="25"/>
      <c r="E1720" s="25"/>
      <c r="F1720" s="31"/>
      <c r="G1720" s="34">
        <f>SUMIFS('BASE EXEC. Q.L'!N:N,'BASE EXEC. Q.L'!B:B,VOOS!A1720)</f>
        <v>0</v>
      </c>
      <c r="H1720" s="15" t="str">
        <f>IFERROR(_xlfn.XLOOKUP(A1720,'BASE SQL PLANTIO'!B:B,'BASE SQL PLANTIO'!T:T,"verificar",0),"")</f>
        <v/>
      </c>
      <c r="I1720" s="77" t="str">
        <f>IF(_xlfn.MINIFS('BASE SQL PLANTIO'!E:E,'BASE SQL PLANTIO'!B:B,VOOS!A1720)=0/1/1900,"",_xlfn.MINIFS('BASE SQL PLANTIO'!E:E,'BASE SQL PLANTIO'!B:B,VOOS!A1720))</f>
        <v/>
      </c>
      <c r="J1720" s="26"/>
      <c r="K1720" s="34" t="str">
        <f t="shared" si="79"/>
        <v/>
      </c>
      <c r="L1720" s="35" t="str">
        <f t="shared" si="80"/>
        <v/>
      </c>
      <c r="M1720" s="14"/>
      <c r="N1720" s="16"/>
    </row>
    <row r="1721" spans="1:14" ht="15.6" x14ac:dyDescent="0.3">
      <c r="A1721" s="13" t="str">
        <f t="shared" si="78"/>
        <v>-</v>
      </c>
      <c r="B1721" s="25"/>
      <c r="C1721" s="25"/>
      <c r="D1721" s="25"/>
      <c r="E1721" s="25"/>
      <c r="F1721" s="31"/>
      <c r="G1721" s="34">
        <f>SUMIFS('BASE EXEC. Q.L'!N:N,'BASE EXEC. Q.L'!B:B,VOOS!A1721)</f>
        <v>0</v>
      </c>
      <c r="H1721" s="15" t="str">
        <f>IFERROR(_xlfn.XLOOKUP(A1721,'BASE SQL PLANTIO'!B:B,'BASE SQL PLANTIO'!T:T,"verificar",0),"")</f>
        <v/>
      </c>
      <c r="I1721" s="77" t="str">
        <f>IF(_xlfn.MINIFS('BASE SQL PLANTIO'!E:E,'BASE SQL PLANTIO'!B:B,VOOS!A1721)=0/1/1900,"",_xlfn.MINIFS('BASE SQL PLANTIO'!E:E,'BASE SQL PLANTIO'!B:B,VOOS!A1721))</f>
        <v/>
      </c>
      <c r="J1721" s="26"/>
      <c r="K1721" s="34" t="str">
        <f t="shared" si="79"/>
        <v/>
      </c>
      <c r="L1721" s="35" t="str">
        <f t="shared" si="80"/>
        <v/>
      </c>
      <c r="M1721" s="14"/>
      <c r="N1721" s="15"/>
    </row>
    <row r="1722" spans="1:14" ht="15.6" x14ac:dyDescent="0.3">
      <c r="A1722" s="13" t="str">
        <f t="shared" si="78"/>
        <v>-</v>
      </c>
      <c r="B1722" s="27"/>
      <c r="C1722" s="26"/>
      <c r="D1722" s="26"/>
      <c r="E1722" s="26"/>
      <c r="F1722" s="26"/>
      <c r="G1722" s="34">
        <f>SUMIFS('BASE EXEC. Q.L'!N:N,'BASE EXEC. Q.L'!B:B,VOOS!A1722)</f>
        <v>0</v>
      </c>
      <c r="H1722" s="15" t="str">
        <f>IFERROR(_xlfn.XLOOKUP(A1722,'BASE SQL PLANTIO'!B:B,'BASE SQL PLANTIO'!T:T,"verificar",0),"")</f>
        <v/>
      </c>
      <c r="I1722" s="77" t="str">
        <f>IF(_xlfn.MINIFS('BASE SQL PLANTIO'!E:E,'BASE SQL PLANTIO'!B:B,VOOS!A1722)=0/1/1900,"",_xlfn.MINIFS('BASE SQL PLANTIO'!E:E,'BASE SQL PLANTIO'!B:B,VOOS!A1722))</f>
        <v/>
      </c>
      <c r="J1722" s="26"/>
      <c r="K1722" s="34" t="str">
        <f t="shared" si="79"/>
        <v/>
      </c>
      <c r="L1722" s="35" t="str">
        <f t="shared" si="80"/>
        <v/>
      </c>
      <c r="M1722" s="14"/>
      <c r="N1722" s="16"/>
    </row>
    <row r="1723" spans="1:14" ht="15.6" x14ac:dyDescent="0.3">
      <c r="A1723" s="13" t="str">
        <f t="shared" si="78"/>
        <v>-</v>
      </c>
      <c r="B1723" s="27"/>
      <c r="C1723" s="26"/>
      <c r="D1723" s="26"/>
      <c r="E1723" s="26"/>
      <c r="F1723" s="26"/>
      <c r="G1723" s="34">
        <f>SUMIFS('BASE EXEC. Q.L'!N:N,'BASE EXEC. Q.L'!B:B,VOOS!A1723)</f>
        <v>0</v>
      </c>
      <c r="H1723" s="15" t="str">
        <f>IFERROR(_xlfn.XLOOKUP(A1723,'BASE SQL PLANTIO'!B:B,'BASE SQL PLANTIO'!T:T,"verificar",0),"")</f>
        <v/>
      </c>
      <c r="I1723" s="77" t="str">
        <f>IF(_xlfn.MINIFS('BASE SQL PLANTIO'!E:E,'BASE SQL PLANTIO'!B:B,VOOS!A1723)=0/1/1900,"",_xlfn.MINIFS('BASE SQL PLANTIO'!E:E,'BASE SQL PLANTIO'!B:B,VOOS!A1723))</f>
        <v/>
      </c>
      <c r="J1723" s="26"/>
      <c r="K1723" s="34" t="str">
        <f t="shared" si="79"/>
        <v/>
      </c>
      <c r="L1723" s="35" t="str">
        <f t="shared" si="80"/>
        <v/>
      </c>
      <c r="M1723" s="14"/>
      <c r="N1723" s="16"/>
    </row>
    <row r="1724" spans="1:14" ht="15.6" x14ac:dyDescent="0.3">
      <c r="A1724" s="13" t="str">
        <f t="shared" si="78"/>
        <v>-</v>
      </c>
      <c r="B1724" s="25"/>
      <c r="C1724" s="25"/>
      <c r="D1724" s="25"/>
      <c r="E1724" s="25"/>
      <c r="F1724" s="31"/>
      <c r="G1724" s="34">
        <f>SUMIFS('BASE EXEC. Q.L'!N:N,'BASE EXEC. Q.L'!B:B,VOOS!A1724)</f>
        <v>0</v>
      </c>
      <c r="H1724" s="15" t="str">
        <f>IFERROR(_xlfn.XLOOKUP(A1724,'BASE SQL PLANTIO'!B:B,'BASE SQL PLANTIO'!T:T,"verificar",0),"")</f>
        <v/>
      </c>
      <c r="I1724" s="77" t="str">
        <f>IF(_xlfn.MINIFS('BASE SQL PLANTIO'!E:E,'BASE SQL PLANTIO'!B:B,VOOS!A1724)=0/1/1900,"",_xlfn.MINIFS('BASE SQL PLANTIO'!E:E,'BASE SQL PLANTIO'!B:B,VOOS!A1724))</f>
        <v/>
      </c>
      <c r="J1724" s="26"/>
      <c r="K1724" s="34" t="str">
        <f t="shared" si="79"/>
        <v/>
      </c>
      <c r="L1724" s="35" t="str">
        <f t="shared" si="80"/>
        <v/>
      </c>
      <c r="M1724" s="14"/>
      <c r="N1724" s="16"/>
    </row>
    <row r="1725" spans="1:14" ht="15.6" x14ac:dyDescent="0.3">
      <c r="A1725" s="13" t="str">
        <f t="shared" si="78"/>
        <v>-</v>
      </c>
      <c r="B1725" s="25"/>
      <c r="C1725" s="25"/>
      <c r="D1725" s="25"/>
      <c r="E1725" s="25"/>
      <c r="F1725" s="31"/>
      <c r="G1725" s="34">
        <f>SUMIFS('BASE EXEC. Q.L'!N:N,'BASE EXEC. Q.L'!B:B,VOOS!A1725)</f>
        <v>0</v>
      </c>
      <c r="H1725" s="15" t="str">
        <f>IFERROR(_xlfn.XLOOKUP(A1725,'BASE SQL PLANTIO'!B:B,'BASE SQL PLANTIO'!T:T,"verificar",0),"")</f>
        <v/>
      </c>
      <c r="I1725" s="77" t="str">
        <f>IF(_xlfn.MINIFS('BASE SQL PLANTIO'!E:E,'BASE SQL PLANTIO'!B:B,VOOS!A1725)=0/1/1900,"",_xlfn.MINIFS('BASE SQL PLANTIO'!E:E,'BASE SQL PLANTIO'!B:B,VOOS!A1725))</f>
        <v/>
      </c>
      <c r="J1725" s="26"/>
      <c r="K1725" s="34" t="str">
        <f t="shared" si="79"/>
        <v/>
      </c>
      <c r="L1725" s="35" t="str">
        <f t="shared" si="80"/>
        <v/>
      </c>
      <c r="M1725" s="14"/>
      <c r="N1725" s="16"/>
    </row>
    <row r="1726" spans="1:14" ht="15.6" x14ac:dyDescent="0.3">
      <c r="A1726" s="13" t="str">
        <f t="shared" si="78"/>
        <v>-</v>
      </c>
      <c r="B1726" s="25"/>
      <c r="C1726" s="25"/>
      <c r="D1726" s="25"/>
      <c r="E1726" s="25"/>
      <c r="F1726" s="31"/>
      <c r="G1726" s="34">
        <f>SUMIFS('BASE EXEC. Q.L'!N:N,'BASE EXEC. Q.L'!B:B,VOOS!A1726)</f>
        <v>0</v>
      </c>
      <c r="H1726" s="15" t="str">
        <f>IFERROR(_xlfn.XLOOKUP(A1726,'BASE SQL PLANTIO'!B:B,'BASE SQL PLANTIO'!T:T,"verificar",0),"")</f>
        <v/>
      </c>
      <c r="I1726" s="77" t="str">
        <f>IF(_xlfn.MINIFS('BASE SQL PLANTIO'!E:E,'BASE SQL PLANTIO'!B:B,VOOS!A1726)=0/1/1900,"",_xlfn.MINIFS('BASE SQL PLANTIO'!E:E,'BASE SQL PLANTIO'!B:B,VOOS!A1726))</f>
        <v/>
      </c>
      <c r="J1726" s="26"/>
      <c r="K1726" s="34" t="str">
        <f t="shared" si="79"/>
        <v/>
      </c>
      <c r="L1726" s="35" t="str">
        <f t="shared" si="80"/>
        <v/>
      </c>
      <c r="M1726" s="14"/>
      <c r="N1726" s="15"/>
    </row>
    <row r="1727" spans="1:14" ht="15.6" x14ac:dyDescent="0.3">
      <c r="A1727" s="13" t="str">
        <f t="shared" si="78"/>
        <v>-</v>
      </c>
      <c r="B1727" s="27"/>
      <c r="C1727" s="26"/>
      <c r="D1727" s="26"/>
      <c r="E1727" s="26"/>
      <c r="F1727" s="26"/>
      <c r="G1727" s="34">
        <f>SUMIFS('BASE EXEC. Q.L'!N:N,'BASE EXEC. Q.L'!B:B,VOOS!A1727)</f>
        <v>0</v>
      </c>
      <c r="H1727" s="15" t="str">
        <f>IFERROR(_xlfn.XLOOKUP(A1727,'BASE SQL PLANTIO'!B:B,'BASE SQL PLANTIO'!T:T,"verificar",0),"")</f>
        <v/>
      </c>
      <c r="I1727" s="77" t="str">
        <f>IF(_xlfn.MINIFS('BASE SQL PLANTIO'!E:E,'BASE SQL PLANTIO'!B:B,VOOS!A1727)=0/1/1900,"",_xlfn.MINIFS('BASE SQL PLANTIO'!E:E,'BASE SQL PLANTIO'!B:B,VOOS!A1727))</f>
        <v/>
      </c>
      <c r="J1727" s="26"/>
      <c r="K1727" s="34" t="str">
        <f t="shared" si="79"/>
        <v/>
      </c>
      <c r="L1727" s="35" t="str">
        <f t="shared" si="80"/>
        <v/>
      </c>
      <c r="M1727" s="14"/>
      <c r="N1727" s="16"/>
    </row>
    <row r="1728" spans="1:14" ht="15.6" x14ac:dyDescent="0.3">
      <c r="A1728" s="13" t="str">
        <f t="shared" si="78"/>
        <v>-</v>
      </c>
      <c r="B1728" s="27"/>
      <c r="C1728" s="26"/>
      <c r="D1728" s="26"/>
      <c r="E1728" s="26"/>
      <c r="F1728" s="26"/>
      <c r="G1728" s="34">
        <f>SUMIFS('BASE EXEC. Q.L'!N:N,'BASE EXEC. Q.L'!B:B,VOOS!A1728)</f>
        <v>0</v>
      </c>
      <c r="H1728" s="15" t="str">
        <f>IFERROR(_xlfn.XLOOKUP(A1728,'BASE SQL PLANTIO'!B:B,'BASE SQL PLANTIO'!T:T,"verificar",0),"")</f>
        <v/>
      </c>
      <c r="I1728" s="77" t="str">
        <f>IF(_xlfn.MINIFS('BASE SQL PLANTIO'!E:E,'BASE SQL PLANTIO'!B:B,VOOS!A1728)=0/1/1900,"",_xlfn.MINIFS('BASE SQL PLANTIO'!E:E,'BASE SQL PLANTIO'!B:B,VOOS!A1728))</f>
        <v/>
      </c>
      <c r="J1728" s="26"/>
      <c r="K1728" s="34" t="str">
        <f t="shared" si="79"/>
        <v/>
      </c>
      <c r="L1728" s="35" t="str">
        <f t="shared" si="80"/>
        <v/>
      </c>
      <c r="M1728" s="14"/>
      <c r="N1728" s="16"/>
    </row>
    <row r="1729" spans="1:14" ht="15.6" x14ac:dyDescent="0.3">
      <c r="A1729" s="13" t="str">
        <f t="shared" si="78"/>
        <v>-</v>
      </c>
      <c r="B1729" s="25"/>
      <c r="C1729" s="25"/>
      <c r="D1729" s="25"/>
      <c r="E1729" s="25"/>
      <c r="F1729" s="31"/>
      <c r="G1729" s="34">
        <f>SUMIFS('BASE EXEC. Q.L'!N:N,'BASE EXEC. Q.L'!B:B,VOOS!A1729)</f>
        <v>0</v>
      </c>
      <c r="H1729" s="15" t="str">
        <f>IFERROR(_xlfn.XLOOKUP(A1729,'BASE SQL PLANTIO'!B:B,'BASE SQL PLANTIO'!T:T,"verificar",0),"")</f>
        <v/>
      </c>
      <c r="I1729" s="77" t="str">
        <f>IF(_xlfn.MINIFS('BASE SQL PLANTIO'!E:E,'BASE SQL PLANTIO'!B:B,VOOS!A1729)=0/1/1900,"",_xlfn.MINIFS('BASE SQL PLANTIO'!E:E,'BASE SQL PLANTIO'!B:B,VOOS!A1729))</f>
        <v/>
      </c>
      <c r="J1729" s="26"/>
      <c r="K1729" s="34" t="str">
        <f t="shared" si="79"/>
        <v/>
      </c>
      <c r="L1729" s="35" t="str">
        <f t="shared" si="80"/>
        <v/>
      </c>
      <c r="M1729" s="14"/>
      <c r="N1729" s="16"/>
    </row>
    <row r="1730" spans="1:14" ht="15.6" x14ac:dyDescent="0.3">
      <c r="A1730" s="13" t="str">
        <f t="shared" si="78"/>
        <v>-</v>
      </c>
      <c r="B1730" s="25"/>
      <c r="C1730" s="25"/>
      <c r="D1730" s="25"/>
      <c r="E1730" s="25"/>
      <c r="F1730" s="31"/>
      <c r="G1730" s="34">
        <f>SUMIFS('BASE EXEC. Q.L'!N:N,'BASE EXEC. Q.L'!B:B,VOOS!A1730)</f>
        <v>0</v>
      </c>
      <c r="H1730" s="15" t="str">
        <f>IFERROR(_xlfn.XLOOKUP(A1730,'BASE SQL PLANTIO'!B:B,'BASE SQL PLANTIO'!T:T,"verificar",0),"")</f>
        <v/>
      </c>
      <c r="I1730" s="77" t="str">
        <f>IF(_xlfn.MINIFS('BASE SQL PLANTIO'!E:E,'BASE SQL PLANTIO'!B:B,VOOS!A1730)=0/1/1900,"",_xlfn.MINIFS('BASE SQL PLANTIO'!E:E,'BASE SQL PLANTIO'!B:B,VOOS!A1730))</f>
        <v/>
      </c>
      <c r="J1730" s="26"/>
      <c r="K1730" s="34" t="str">
        <f t="shared" si="79"/>
        <v/>
      </c>
      <c r="L1730" s="35" t="str">
        <f t="shared" si="80"/>
        <v/>
      </c>
      <c r="M1730" s="14"/>
      <c r="N1730" s="16"/>
    </row>
    <row r="1731" spans="1:14" ht="15.6" x14ac:dyDescent="0.3">
      <c r="A1731" s="13" t="str">
        <f t="shared" si="78"/>
        <v>-</v>
      </c>
      <c r="B1731" s="25"/>
      <c r="C1731" s="25"/>
      <c r="D1731" s="25"/>
      <c r="E1731" s="25"/>
      <c r="F1731" s="31"/>
      <c r="G1731" s="34">
        <f>SUMIFS('BASE EXEC. Q.L'!N:N,'BASE EXEC. Q.L'!B:B,VOOS!A1731)</f>
        <v>0</v>
      </c>
      <c r="H1731" s="15" t="str">
        <f>IFERROR(_xlfn.XLOOKUP(A1731,'BASE SQL PLANTIO'!B:B,'BASE SQL PLANTIO'!T:T,"verificar",0),"")</f>
        <v/>
      </c>
      <c r="I1731" s="77" t="str">
        <f>IF(_xlfn.MINIFS('BASE SQL PLANTIO'!E:E,'BASE SQL PLANTIO'!B:B,VOOS!A1731)=0/1/1900,"",_xlfn.MINIFS('BASE SQL PLANTIO'!E:E,'BASE SQL PLANTIO'!B:B,VOOS!A1731))</f>
        <v/>
      </c>
      <c r="J1731" s="26"/>
      <c r="K1731" s="34" t="str">
        <f t="shared" si="79"/>
        <v/>
      </c>
      <c r="L1731" s="35" t="str">
        <f t="shared" si="80"/>
        <v/>
      </c>
      <c r="M1731" s="14"/>
      <c r="N1731" s="15"/>
    </row>
    <row r="1732" spans="1:14" ht="15.6" x14ac:dyDescent="0.3">
      <c r="A1732" s="13" t="str">
        <f t="shared" si="78"/>
        <v>-</v>
      </c>
      <c r="B1732" s="27"/>
      <c r="C1732" s="26"/>
      <c r="D1732" s="26"/>
      <c r="E1732" s="26"/>
      <c r="F1732" s="26"/>
      <c r="G1732" s="34">
        <f>SUMIFS('BASE EXEC. Q.L'!N:N,'BASE EXEC. Q.L'!B:B,VOOS!A1732)</f>
        <v>0</v>
      </c>
      <c r="H1732" s="15" t="str">
        <f>IFERROR(_xlfn.XLOOKUP(A1732,'BASE SQL PLANTIO'!B:B,'BASE SQL PLANTIO'!T:T,"verificar",0),"")</f>
        <v/>
      </c>
      <c r="I1732" s="77" t="str">
        <f>IF(_xlfn.MINIFS('BASE SQL PLANTIO'!E:E,'BASE SQL PLANTIO'!B:B,VOOS!A1732)=0/1/1900,"",_xlfn.MINIFS('BASE SQL PLANTIO'!E:E,'BASE SQL PLANTIO'!B:B,VOOS!A1732))</f>
        <v/>
      </c>
      <c r="J1732" s="26"/>
      <c r="K1732" s="34" t="str">
        <f t="shared" si="79"/>
        <v/>
      </c>
      <c r="L1732" s="35" t="str">
        <f t="shared" si="80"/>
        <v/>
      </c>
      <c r="M1732" s="14"/>
      <c r="N1732" s="16"/>
    </row>
    <row r="1733" spans="1:14" ht="15.6" x14ac:dyDescent="0.3">
      <c r="A1733" s="13" t="str">
        <f t="shared" ref="A1733:A1796" si="81">CONCATENATE(B1733,"-",E1733)</f>
        <v>-</v>
      </c>
      <c r="B1733" s="27"/>
      <c r="C1733" s="26"/>
      <c r="D1733" s="26"/>
      <c r="E1733" s="26"/>
      <c r="F1733" s="26"/>
      <c r="G1733" s="34">
        <f>SUMIFS('BASE EXEC. Q.L'!N:N,'BASE EXEC. Q.L'!B:B,VOOS!A1733)</f>
        <v>0</v>
      </c>
      <c r="H1733" s="15" t="str">
        <f>IFERROR(_xlfn.XLOOKUP(A1733,'BASE SQL PLANTIO'!B:B,'BASE SQL PLANTIO'!T:T,"verificar",0),"")</f>
        <v/>
      </c>
      <c r="I1733" s="77" t="str">
        <f>IF(_xlfn.MINIFS('BASE SQL PLANTIO'!E:E,'BASE SQL PLANTIO'!B:B,VOOS!A1733)=0/1/1900,"",_xlfn.MINIFS('BASE SQL PLANTIO'!E:E,'BASE SQL PLANTIO'!B:B,VOOS!A1733))</f>
        <v/>
      </c>
      <c r="J1733" s="26"/>
      <c r="K1733" s="34" t="str">
        <f t="shared" ref="K1733:K1742" si="82">IF(I1733="","",$K$3-I1733)</f>
        <v/>
      </c>
      <c r="L1733" s="35" t="str">
        <f t="shared" ref="L1733:L1796" si="83">K1733</f>
        <v/>
      </c>
      <c r="M1733" s="14"/>
      <c r="N1733" s="16"/>
    </row>
    <row r="1734" spans="1:14" ht="15.6" x14ac:dyDescent="0.3">
      <c r="A1734" s="13" t="str">
        <f t="shared" si="81"/>
        <v>-</v>
      </c>
      <c r="B1734" s="25"/>
      <c r="C1734" s="25"/>
      <c r="D1734" s="25"/>
      <c r="E1734" s="25"/>
      <c r="F1734" s="31"/>
      <c r="G1734" s="34">
        <f>SUMIFS('BASE EXEC. Q.L'!N:N,'BASE EXEC. Q.L'!B:B,VOOS!A1734)</f>
        <v>0</v>
      </c>
      <c r="H1734" s="15" t="str">
        <f>IFERROR(_xlfn.XLOOKUP(A1734,'BASE SQL PLANTIO'!B:B,'BASE SQL PLANTIO'!T:T,"verificar",0),"")</f>
        <v/>
      </c>
      <c r="I1734" s="77" t="str">
        <f>IF(_xlfn.MINIFS('BASE SQL PLANTIO'!E:E,'BASE SQL PLANTIO'!B:B,VOOS!A1734)=0/1/1900,"",_xlfn.MINIFS('BASE SQL PLANTIO'!E:E,'BASE SQL PLANTIO'!B:B,VOOS!A1734))</f>
        <v/>
      </c>
      <c r="J1734" s="26"/>
      <c r="K1734" s="34" t="str">
        <f t="shared" si="82"/>
        <v/>
      </c>
      <c r="L1734" s="35" t="str">
        <f t="shared" si="83"/>
        <v/>
      </c>
      <c r="M1734" s="14"/>
      <c r="N1734" s="16"/>
    </row>
    <row r="1735" spans="1:14" ht="15.6" x14ac:dyDescent="0.3">
      <c r="A1735" s="13" t="str">
        <f t="shared" si="81"/>
        <v>-</v>
      </c>
      <c r="B1735" s="25"/>
      <c r="C1735" s="25"/>
      <c r="D1735" s="25"/>
      <c r="E1735" s="25"/>
      <c r="F1735" s="31"/>
      <c r="G1735" s="34">
        <f>SUMIFS('BASE EXEC. Q.L'!N:N,'BASE EXEC. Q.L'!B:B,VOOS!A1735)</f>
        <v>0</v>
      </c>
      <c r="H1735" s="15" t="str">
        <f>IFERROR(_xlfn.XLOOKUP(A1735,'BASE SQL PLANTIO'!B:B,'BASE SQL PLANTIO'!T:T,"verificar",0),"")</f>
        <v/>
      </c>
      <c r="I1735" s="77" t="str">
        <f>IF(_xlfn.MINIFS('BASE SQL PLANTIO'!E:E,'BASE SQL PLANTIO'!B:B,VOOS!A1735)=0/1/1900,"",_xlfn.MINIFS('BASE SQL PLANTIO'!E:E,'BASE SQL PLANTIO'!B:B,VOOS!A1735))</f>
        <v/>
      </c>
      <c r="J1735" s="26"/>
      <c r="K1735" s="34" t="str">
        <f t="shared" si="82"/>
        <v/>
      </c>
      <c r="L1735" s="35" t="str">
        <f t="shared" si="83"/>
        <v/>
      </c>
      <c r="M1735" s="14"/>
      <c r="N1735" s="16"/>
    </row>
    <row r="1736" spans="1:14" ht="15.6" x14ac:dyDescent="0.3">
      <c r="A1736" s="13" t="str">
        <f t="shared" si="81"/>
        <v>-</v>
      </c>
      <c r="B1736" s="25"/>
      <c r="C1736" s="25"/>
      <c r="D1736" s="25"/>
      <c r="E1736" s="25"/>
      <c r="F1736" s="31"/>
      <c r="G1736" s="34">
        <f>SUMIFS('BASE EXEC. Q.L'!N:N,'BASE EXEC. Q.L'!B:B,VOOS!A1736)</f>
        <v>0</v>
      </c>
      <c r="H1736" s="15" t="str">
        <f>IFERROR(_xlfn.XLOOKUP(A1736,'BASE SQL PLANTIO'!B:B,'BASE SQL PLANTIO'!T:T,"verificar",0),"")</f>
        <v/>
      </c>
      <c r="I1736" s="77" t="str">
        <f>IF(_xlfn.MINIFS('BASE SQL PLANTIO'!E:E,'BASE SQL PLANTIO'!B:B,VOOS!A1736)=0/1/1900,"",_xlfn.MINIFS('BASE SQL PLANTIO'!E:E,'BASE SQL PLANTIO'!B:B,VOOS!A1736))</f>
        <v/>
      </c>
      <c r="J1736" s="26"/>
      <c r="K1736" s="34" t="str">
        <f t="shared" si="82"/>
        <v/>
      </c>
      <c r="L1736" s="35" t="str">
        <f t="shared" si="83"/>
        <v/>
      </c>
      <c r="M1736" s="14"/>
      <c r="N1736" s="15"/>
    </row>
    <row r="1737" spans="1:14" ht="15.6" x14ac:dyDescent="0.3">
      <c r="A1737" s="13" t="str">
        <f t="shared" si="81"/>
        <v>-</v>
      </c>
      <c r="B1737" s="27"/>
      <c r="C1737" s="26"/>
      <c r="D1737" s="26"/>
      <c r="E1737" s="26"/>
      <c r="F1737" s="26"/>
      <c r="G1737" s="34">
        <f>SUMIFS('BASE EXEC. Q.L'!N:N,'BASE EXEC. Q.L'!B:B,VOOS!A1737)</f>
        <v>0</v>
      </c>
      <c r="H1737" s="15" t="str">
        <f>IFERROR(_xlfn.XLOOKUP(A1737,'BASE SQL PLANTIO'!B:B,'BASE SQL PLANTIO'!T:T,"verificar",0),"")</f>
        <v/>
      </c>
      <c r="I1737" s="77" t="str">
        <f>IF(_xlfn.MINIFS('BASE SQL PLANTIO'!E:E,'BASE SQL PLANTIO'!B:B,VOOS!A1737)=0/1/1900,"",_xlfn.MINIFS('BASE SQL PLANTIO'!E:E,'BASE SQL PLANTIO'!B:B,VOOS!A1737))</f>
        <v/>
      </c>
      <c r="J1737" s="26"/>
      <c r="K1737" s="34" t="str">
        <f t="shared" si="82"/>
        <v/>
      </c>
      <c r="L1737" s="35" t="str">
        <f t="shared" si="83"/>
        <v/>
      </c>
      <c r="M1737" s="14"/>
      <c r="N1737" s="16"/>
    </row>
    <row r="1738" spans="1:14" ht="15.6" x14ac:dyDescent="0.3">
      <c r="A1738" s="13" t="str">
        <f t="shared" si="81"/>
        <v>-</v>
      </c>
      <c r="B1738" s="27"/>
      <c r="C1738" s="26"/>
      <c r="D1738" s="26"/>
      <c r="E1738" s="26"/>
      <c r="F1738" s="26"/>
      <c r="G1738" s="34">
        <f>SUMIFS('BASE EXEC. Q.L'!N:N,'BASE EXEC. Q.L'!B:B,VOOS!A1738)</f>
        <v>0</v>
      </c>
      <c r="H1738" s="15" t="str">
        <f>IFERROR(_xlfn.XLOOKUP(A1738,'BASE SQL PLANTIO'!B:B,'BASE SQL PLANTIO'!T:T,"verificar",0),"")</f>
        <v/>
      </c>
      <c r="I1738" s="77" t="str">
        <f>IF(_xlfn.MINIFS('BASE SQL PLANTIO'!E:E,'BASE SQL PLANTIO'!B:B,VOOS!A1738)=0/1/1900,"",_xlfn.MINIFS('BASE SQL PLANTIO'!E:E,'BASE SQL PLANTIO'!B:B,VOOS!A1738))</f>
        <v/>
      </c>
      <c r="J1738" s="26"/>
      <c r="K1738" s="34" t="str">
        <f t="shared" si="82"/>
        <v/>
      </c>
      <c r="L1738" s="35" t="str">
        <f t="shared" si="83"/>
        <v/>
      </c>
      <c r="M1738" s="14"/>
      <c r="N1738" s="16"/>
    </row>
    <row r="1739" spans="1:14" ht="15.6" x14ac:dyDescent="0.3">
      <c r="A1739" s="13" t="str">
        <f t="shared" si="81"/>
        <v>-</v>
      </c>
      <c r="B1739" s="27"/>
      <c r="C1739" s="26"/>
      <c r="D1739" s="26"/>
      <c r="E1739" s="26"/>
      <c r="F1739" s="26"/>
      <c r="G1739" s="34">
        <f>SUMIFS('BASE EXEC. Q.L'!N:N,'BASE EXEC. Q.L'!B:B,VOOS!A1739)</f>
        <v>0</v>
      </c>
      <c r="H1739" s="15" t="str">
        <f>IFERROR(_xlfn.XLOOKUP(A1739,'BASE SQL PLANTIO'!B:B,'BASE SQL PLANTIO'!T:T,"verificar",0),"")</f>
        <v/>
      </c>
      <c r="I1739" s="77" t="str">
        <f>IF(_xlfn.MINIFS('BASE SQL PLANTIO'!E:E,'BASE SQL PLANTIO'!B:B,VOOS!A1739)=0/1/1900,"",_xlfn.MINIFS('BASE SQL PLANTIO'!E:E,'BASE SQL PLANTIO'!B:B,VOOS!A1739))</f>
        <v/>
      </c>
      <c r="J1739" s="26"/>
      <c r="K1739" s="34" t="str">
        <f t="shared" si="82"/>
        <v/>
      </c>
      <c r="L1739" s="35" t="str">
        <f t="shared" si="83"/>
        <v/>
      </c>
      <c r="M1739" s="14"/>
      <c r="N1739" s="16"/>
    </row>
    <row r="1740" spans="1:14" ht="15.6" x14ac:dyDescent="0.3">
      <c r="A1740" s="13" t="str">
        <f t="shared" si="81"/>
        <v>-</v>
      </c>
      <c r="B1740" s="27"/>
      <c r="C1740" s="26"/>
      <c r="D1740" s="26"/>
      <c r="E1740" s="26"/>
      <c r="F1740" s="26"/>
      <c r="G1740" s="34">
        <f>SUMIFS('BASE EXEC. Q.L'!N:N,'BASE EXEC. Q.L'!B:B,VOOS!A1740)</f>
        <v>0</v>
      </c>
      <c r="H1740" s="15" t="str">
        <f>IFERROR(_xlfn.XLOOKUP(A1740,'BASE SQL PLANTIO'!B:B,'BASE SQL PLANTIO'!T:T,"verificar",0),"")</f>
        <v/>
      </c>
      <c r="I1740" s="77" t="str">
        <f>IF(_xlfn.MINIFS('BASE SQL PLANTIO'!E:E,'BASE SQL PLANTIO'!B:B,VOOS!A1740)=0/1/1900,"",_xlfn.MINIFS('BASE SQL PLANTIO'!E:E,'BASE SQL PLANTIO'!B:B,VOOS!A1740))</f>
        <v/>
      </c>
      <c r="J1740" s="26"/>
      <c r="K1740" s="34" t="str">
        <f t="shared" si="82"/>
        <v/>
      </c>
      <c r="L1740" s="35" t="str">
        <f t="shared" si="83"/>
        <v/>
      </c>
      <c r="M1740" s="14"/>
      <c r="N1740" s="15"/>
    </row>
    <row r="1741" spans="1:14" ht="15.6" x14ac:dyDescent="0.3">
      <c r="A1741" s="13" t="str">
        <f t="shared" si="81"/>
        <v>-</v>
      </c>
      <c r="B1741" s="25"/>
      <c r="C1741" s="25"/>
      <c r="D1741" s="25"/>
      <c r="E1741" s="25"/>
      <c r="F1741" s="31"/>
      <c r="G1741" s="34">
        <f>SUMIFS('BASE EXEC. Q.L'!N:N,'BASE EXEC. Q.L'!B:B,VOOS!A1741)</f>
        <v>0</v>
      </c>
      <c r="H1741" s="15" t="str">
        <f>IFERROR(_xlfn.XLOOKUP(A1741,'BASE SQL PLANTIO'!B:B,'BASE SQL PLANTIO'!T:T,"verificar",0),"")</f>
        <v/>
      </c>
      <c r="I1741" s="77" t="str">
        <f>IF(_xlfn.MINIFS('BASE SQL PLANTIO'!E:E,'BASE SQL PLANTIO'!B:B,VOOS!A1741)=0/1/1900,"",_xlfn.MINIFS('BASE SQL PLANTIO'!E:E,'BASE SQL PLANTIO'!B:B,VOOS!A1741))</f>
        <v/>
      </c>
      <c r="J1741" s="26"/>
      <c r="K1741" s="34" t="str">
        <f t="shared" si="82"/>
        <v/>
      </c>
      <c r="L1741" s="35" t="str">
        <f t="shared" si="83"/>
        <v/>
      </c>
      <c r="M1741" s="14"/>
      <c r="N1741" s="15"/>
    </row>
    <row r="1742" spans="1:14" ht="15.6" x14ac:dyDescent="0.3">
      <c r="A1742" s="13" t="str">
        <f t="shared" si="81"/>
        <v>-</v>
      </c>
      <c r="B1742" s="27"/>
      <c r="C1742" s="26"/>
      <c r="D1742" s="26"/>
      <c r="E1742" s="26"/>
      <c r="F1742" s="26"/>
      <c r="G1742" s="34">
        <f>SUMIFS('BASE EXEC. Q.L'!N:N,'BASE EXEC. Q.L'!B:B,VOOS!A1742)</f>
        <v>0</v>
      </c>
      <c r="H1742" s="15" t="str">
        <f>IFERROR(_xlfn.XLOOKUP(A1742,'BASE SQL PLANTIO'!B:B,'BASE SQL PLANTIO'!T:T,"verificar",0),"")</f>
        <v/>
      </c>
      <c r="I1742" s="77" t="str">
        <f>IF(_xlfn.MINIFS('BASE SQL PLANTIO'!E:E,'BASE SQL PLANTIO'!B:B,VOOS!A1742)=0/1/1900,"",_xlfn.MINIFS('BASE SQL PLANTIO'!E:E,'BASE SQL PLANTIO'!B:B,VOOS!A1742))</f>
        <v/>
      </c>
      <c r="J1742" s="26"/>
      <c r="K1742" s="34" t="str">
        <f t="shared" si="82"/>
        <v/>
      </c>
      <c r="L1742" s="35" t="str">
        <f t="shared" si="83"/>
        <v/>
      </c>
      <c r="M1742" s="14"/>
      <c r="N1742" s="16"/>
    </row>
  </sheetData>
  <autoFilter ref="A4:N1742" xr:uid="{00000000-0009-0000-0000-000000000000}"/>
  <sortState xmlns:xlrd2="http://schemas.microsoft.com/office/spreadsheetml/2017/richdata2" ref="A5:N1852">
    <sortCondition ref="B5:B1852"/>
    <sortCondition ref="E5:E1852"/>
  </sortState>
  <mergeCells count="2">
    <mergeCell ref="M3:N3"/>
    <mergeCell ref="C1:J3"/>
  </mergeCells>
  <conditionalFormatting sqref="G5:G1742">
    <cfRule type="dataBar" priority="1">
      <dataBar>
        <cfvo type="num" val="0"/>
        <cfvo type="num" val="120"/>
        <color rgb="FF92D050"/>
      </dataBar>
      <extLst>
        <ext xmlns:x14="http://schemas.microsoft.com/office/spreadsheetml/2009/9/main" uri="{B025F937-C7B1-47D3-B67F-A62EFF666E3E}">
          <x14:id>{C2731A47-0B11-41BB-9DE9-6CA3143F0B4E}</x14:id>
        </ext>
      </extLst>
    </cfRule>
  </conditionalFormatting>
  <conditionalFormatting sqref="K5:K1742">
    <cfRule type="dataBar" priority="12">
      <dataBar>
        <cfvo type="num" val="0"/>
        <cfvo type="num" val="120"/>
        <color rgb="FF92D050"/>
      </dataBar>
      <extLst>
        <ext xmlns:x14="http://schemas.microsoft.com/office/spreadsheetml/2009/9/main" uri="{B025F937-C7B1-47D3-B67F-A62EFF666E3E}">
          <x14:id>{7D81A270-40EE-4C31-A498-7F0248EB5D3F}</x14:id>
        </ext>
      </extLst>
    </cfRule>
  </conditionalFormatting>
  <pageMargins left="0.51181102362204722" right="0.51181102362204722" top="0.78740157480314965" bottom="0.78740157480314965" header="0.31496062992125984" footer="0.31496062992125984"/>
  <pageSetup paperSize="9" scale="55" orientation="landscape" r:id="rId1"/>
  <rowBreaks count="1" manualBreakCount="1">
    <brk id="33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731A47-0B11-41BB-9DE9-6CA3143F0B4E}">
            <x14:dataBar minLength="0" maxLength="100" gradient="0" direction="leftToRight">
              <x14:cfvo type="num">
                <xm:f>0</xm:f>
              </x14:cfvo>
              <x14:cfvo type="num">
                <xm:f>120</xm:f>
              </x14:cfvo>
              <x14:negativeFillColor rgb="FFFF0000"/>
              <x14:axisColor rgb="FF000000"/>
            </x14:dataBar>
          </x14:cfRule>
          <xm:sqref>G5:G1742</xm:sqref>
        </x14:conditionalFormatting>
        <x14:conditionalFormatting xmlns:xm="http://schemas.microsoft.com/office/excel/2006/main">
          <x14:cfRule type="dataBar" id="{7D81A270-40EE-4C31-A498-7F0248EB5D3F}">
            <x14:dataBar minLength="0" maxLength="100" gradient="0" direction="leftToRight">
              <x14:cfvo type="num">
                <xm:f>0</xm:f>
              </x14:cfvo>
              <x14:cfvo type="num">
                <xm:f>120</xm:f>
              </x14:cfvo>
              <x14:negativeFillColor rgb="FFFF0000"/>
              <x14:axisColor rgb="FF000000"/>
            </x14:dataBar>
          </x14:cfRule>
          <xm:sqref>K5:K1742</xm:sqref>
        </x14:conditionalFormatting>
        <x14:conditionalFormatting xmlns:xm="http://schemas.microsoft.com/office/excel/2006/main">
          <x14:cfRule type="iconSet" priority="229" id="{1B469E73-7717-416E-910A-5698299E0217}">
            <x14:iconSet iconSet="3Arrows" showValue="0" custom="1">
              <x14:cfvo type="percent">
                <xm:f>0</xm:f>
              </x14:cfvo>
              <x14:cfvo type="num" gte="0">
                <xm:f>60</xm:f>
              </x14:cfvo>
              <x14:cfvo type="num">
                <xm:f>90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L5:L935</xm:sqref>
        </x14:conditionalFormatting>
        <x14:conditionalFormatting xmlns:xm="http://schemas.microsoft.com/office/excel/2006/main">
          <x14:cfRule type="iconSet" priority="70" id="{E5392DF7-A6FD-493D-B3C1-A3D76DF51213}">
            <x14:iconSet iconSet="3Arrows" showValue="0" custom="1">
              <x14:cfvo type="percent">
                <xm:f>0</xm:f>
              </x14:cfvo>
              <x14:cfvo type="num" gte="0">
                <xm:f>60</xm:f>
              </x14:cfvo>
              <x14:cfvo type="num">
                <xm:f>90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L936:L1742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2910-3CDF-4DB6-83F5-5E947FBD4376}">
  <dimension ref="A3:H292"/>
  <sheetViews>
    <sheetView showGridLines="0" topLeftCell="A86" workbookViewId="0">
      <selection activeCell="B121" sqref="B121"/>
    </sheetView>
  </sheetViews>
  <sheetFormatPr defaultRowHeight="14.4" x14ac:dyDescent="0.3"/>
  <cols>
    <col min="1" max="1" width="15" style="1" bestFit="1" customWidth="1"/>
    <col min="2" max="2" width="36.33203125" bestFit="1" customWidth="1"/>
    <col min="3" max="3" width="12.6640625" style="1" bestFit="1" customWidth="1"/>
    <col min="4" max="6" width="17.44140625" style="1" bestFit="1" customWidth="1"/>
    <col min="7" max="7" width="17.44140625" style="75" bestFit="1" customWidth="1"/>
    <col min="8" max="8" width="17.44140625" style="1" bestFit="1" customWidth="1"/>
  </cols>
  <sheetData>
    <row r="3" spans="1:8" s="74" customFormat="1" ht="40.5" customHeight="1" x14ac:dyDescent="0.3">
      <c r="A3" s="73" t="s">
        <v>20</v>
      </c>
      <c r="B3" s="73" t="s">
        <v>21</v>
      </c>
      <c r="C3" s="73" t="s">
        <v>2</v>
      </c>
      <c r="D3" s="76" t="s">
        <v>93</v>
      </c>
      <c r="E3"/>
      <c r="F3"/>
      <c r="G3"/>
      <c r="H3"/>
    </row>
    <row r="4" spans="1:8" x14ac:dyDescent="0.3">
      <c r="A4" s="1">
        <v>200509</v>
      </c>
      <c r="B4" t="s">
        <v>29</v>
      </c>
      <c r="C4">
        <v>1</v>
      </c>
      <c r="D4" s="1">
        <v>17.119999999999997</v>
      </c>
      <c r="E4"/>
      <c r="F4"/>
      <c r="G4"/>
      <c r="H4"/>
    </row>
    <row r="5" spans="1:8" x14ac:dyDescent="0.3">
      <c r="A5" s="1">
        <v>200509</v>
      </c>
      <c r="B5" t="s">
        <v>29</v>
      </c>
      <c r="C5">
        <v>2</v>
      </c>
      <c r="D5" s="1">
        <v>0.6</v>
      </c>
      <c r="E5"/>
      <c r="F5"/>
      <c r="G5"/>
      <c r="H5"/>
    </row>
    <row r="6" spans="1:8" x14ac:dyDescent="0.3">
      <c r="A6" s="1">
        <v>200509</v>
      </c>
      <c r="B6" t="s">
        <v>29</v>
      </c>
      <c r="C6">
        <v>3</v>
      </c>
      <c r="D6" s="1">
        <v>21.19</v>
      </c>
      <c r="E6"/>
      <c r="F6"/>
      <c r="G6"/>
      <c r="H6"/>
    </row>
    <row r="7" spans="1:8" x14ac:dyDescent="0.3">
      <c r="A7" s="1">
        <v>200518</v>
      </c>
      <c r="B7" t="s">
        <v>31</v>
      </c>
      <c r="C7">
        <v>1</v>
      </c>
      <c r="D7" s="1">
        <v>32.25</v>
      </c>
      <c r="E7"/>
      <c r="F7"/>
      <c r="G7"/>
      <c r="H7"/>
    </row>
    <row r="8" spans="1:8" x14ac:dyDescent="0.3">
      <c r="A8" s="1">
        <v>200518</v>
      </c>
      <c r="B8" t="s">
        <v>31</v>
      </c>
      <c r="C8">
        <v>2</v>
      </c>
      <c r="D8" s="1">
        <v>35.269999999999996</v>
      </c>
      <c r="E8"/>
      <c r="F8"/>
      <c r="G8"/>
      <c r="H8"/>
    </row>
    <row r="9" spans="1:8" x14ac:dyDescent="0.3">
      <c r="A9" s="1">
        <v>200518</v>
      </c>
      <c r="B9" t="s">
        <v>31</v>
      </c>
      <c r="C9">
        <v>3</v>
      </c>
      <c r="D9" s="1">
        <v>38.11999999999999</v>
      </c>
      <c r="E9"/>
      <c r="F9"/>
      <c r="G9"/>
      <c r="H9"/>
    </row>
    <row r="10" spans="1:8" x14ac:dyDescent="0.3">
      <c r="A10" s="1">
        <v>200518</v>
      </c>
      <c r="B10" t="s">
        <v>31</v>
      </c>
      <c r="C10">
        <v>4</v>
      </c>
      <c r="D10" s="1">
        <v>31.71</v>
      </c>
      <c r="E10"/>
      <c r="F10"/>
      <c r="G10"/>
      <c r="H10"/>
    </row>
    <row r="11" spans="1:8" x14ac:dyDescent="0.3">
      <c r="A11" s="1">
        <v>200518</v>
      </c>
      <c r="B11" t="s">
        <v>31</v>
      </c>
      <c r="C11">
        <v>5</v>
      </c>
      <c r="D11" s="1">
        <v>32.07</v>
      </c>
      <c r="E11"/>
      <c r="F11"/>
      <c r="G11"/>
      <c r="H11"/>
    </row>
    <row r="12" spans="1:8" x14ac:dyDescent="0.3">
      <c r="A12" s="1">
        <v>200518</v>
      </c>
      <c r="B12" t="s">
        <v>31</v>
      </c>
      <c r="C12">
        <v>6</v>
      </c>
      <c r="D12" s="1">
        <v>22.139999999999997</v>
      </c>
      <c r="E12"/>
      <c r="F12"/>
      <c r="G12"/>
      <c r="H12"/>
    </row>
    <row r="13" spans="1:8" x14ac:dyDescent="0.3">
      <c r="A13" s="1">
        <v>200518</v>
      </c>
      <c r="B13" t="s">
        <v>31</v>
      </c>
      <c r="C13">
        <v>7</v>
      </c>
      <c r="D13" s="1">
        <v>19.440000000000001</v>
      </c>
      <c r="E13"/>
      <c r="F13"/>
      <c r="G13"/>
      <c r="H13"/>
    </row>
    <row r="14" spans="1:8" x14ac:dyDescent="0.3">
      <c r="A14" s="1">
        <v>200518</v>
      </c>
      <c r="B14" t="s">
        <v>31</v>
      </c>
      <c r="C14">
        <v>8</v>
      </c>
      <c r="D14" s="1">
        <v>6.18</v>
      </c>
      <c r="E14"/>
      <c r="F14"/>
      <c r="G14"/>
      <c r="H14"/>
    </row>
    <row r="15" spans="1:8" x14ac:dyDescent="0.3">
      <c r="A15" s="1">
        <v>200518</v>
      </c>
      <c r="B15" t="s">
        <v>31</v>
      </c>
      <c r="C15">
        <v>9</v>
      </c>
      <c r="D15" s="1">
        <v>22.840000000000003</v>
      </c>
      <c r="E15"/>
      <c r="F15"/>
      <c r="G15"/>
      <c r="H15"/>
    </row>
    <row r="16" spans="1:8" x14ac:dyDescent="0.3">
      <c r="A16" s="1">
        <v>200518</v>
      </c>
      <c r="B16" t="s">
        <v>31</v>
      </c>
      <c r="C16">
        <v>10</v>
      </c>
      <c r="D16" s="1">
        <v>37.549999999999997</v>
      </c>
      <c r="E16"/>
      <c r="F16"/>
      <c r="G16"/>
      <c r="H16"/>
    </row>
    <row r="17" spans="1:8" x14ac:dyDescent="0.3">
      <c r="A17" s="1">
        <v>200518</v>
      </c>
      <c r="B17" t="s">
        <v>31</v>
      </c>
      <c r="C17">
        <v>11</v>
      </c>
      <c r="D17" s="1">
        <v>26.67</v>
      </c>
      <c r="E17"/>
      <c r="F17"/>
      <c r="G17"/>
      <c r="H17"/>
    </row>
    <row r="18" spans="1:8" x14ac:dyDescent="0.3">
      <c r="A18" s="1">
        <v>200518</v>
      </c>
      <c r="B18" t="s">
        <v>31</v>
      </c>
      <c r="C18">
        <v>12</v>
      </c>
      <c r="D18" s="1">
        <v>22.43</v>
      </c>
      <c r="E18"/>
      <c r="F18"/>
      <c r="G18"/>
      <c r="H18"/>
    </row>
    <row r="19" spans="1:8" x14ac:dyDescent="0.3">
      <c r="A19" s="1">
        <v>200518</v>
      </c>
      <c r="B19" t="s">
        <v>31</v>
      </c>
      <c r="C19">
        <v>13</v>
      </c>
      <c r="D19" s="1">
        <v>16.650000000000002</v>
      </c>
      <c r="E19"/>
      <c r="F19"/>
      <c r="G19"/>
      <c r="H19"/>
    </row>
    <row r="20" spans="1:8" x14ac:dyDescent="0.3">
      <c r="A20" s="1">
        <v>200518</v>
      </c>
      <c r="B20" t="s">
        <v>31</v>
      </c>
      <c r="C20">
        <v>14</v>
      </c>
      <c r="D20" s="1">
        <v>32.510000000000005</v>
      </c>
      <c r="E20"/>
      <c r="F20"/>
      <c r="G20"/>
      <c r="H20"/>
    </row>
    <row r="21" spans="1:8" x14ac:dyDescent="0.3">
      <c r="A21" s="1">
        <v>200518</v>
      </c>
      <c r="B21" t="s">
        <v>31</v>
      </c>
      <c r="C21">
        <v>25</v>
      </c>
      <c r="D21" s="1">
        <v>35.21</v>
      </c>
      <c r="E21"/>
      <c r="F21"/>
      <c r="G21"/>
      <c r="H21"/>
    </row>
    <row r="22" spans="1:8" x14ac:dyDescent="0.3">
      <c r="A22" s="1">
        <v>200518</v>
      </c>
      <c r="B22" t="s">
        <v>31</v>
      </c>
      <c r="C22">
        <v>26</v>
      </c>
      <c r="D22" s="1">
        <v>31.470000000000002</v>
      </c>
      <c r="E22"/>
      <c r="F22"/>
      <c r="G22"/>
      <c r="H22"/>
    </row>
    <row r="23" spans="1:8" x14ac:dyDescent="0.3">
      <c r="A23" s="1">
        <v>200518</v>
      </c>
      <c r="B23" t="s">
        <v>31</v>
      </c>
      <c r="C23">
        <v>27</v>
      </c>
      <c r="D23" s="1">
        <v>22.83</v>
      </c>
      <c r="E23"/>
      <c r="F23"/>
      <c r="G23"/>
      <c r="H23"/>
    </row>
    <row r="24" spans="1:8" x14ac:dyDescent="0.3">
      <c r="A24" s="1">
        <v>200518</v>
      </c>
      <c r="B24" t="s">
        <v>31</v>
      </c>
      <c r="C24">
        <v>29</v>
      </c>
      <c r="D24" s="1">
        <v>27.68</v>
      </c>
      <c r="E24"/>
      <c r="F24"/>
      <c r="G24"/>
      <c r="H24"/>
    </row>
    <row r="25" spans="1:8" x14ac:dyDescent="0.3">
      <c r="A25" s="1">
        <v>200518</v>
      </c>
      <c r="B25" t="s">
        <v>31</v>
      </c>
      <c r="C25">
        <v>34</v>
      </c>
      <c r="D25" s="1">
        <v>17.350000000000001</v>
      </c>
      <c r="E25"/>
      <c r="F25"/>
      <c r="G25"/>
      <c r="H25"/>
    </row>
    <row r="26" spans="1:8" x14ac:dyDescent="0.3">
      <c r="A26" s="1">
        <v>200518</v>
      </c>
      <c r="B26" t="s">
        <v>31</v>
      </c>
      <c r="C26">
        <v>35</v>
      </c>
      <c r="D26" s="1">
        <v>19.420000000000002</v>
      </c>
      <c r="E26"/>
      <c r="F26"/>
      <c r="G26"/>
      <c r="H26"/>
    </row>
    <row r="27" spans="1:8" x14ac:dyDescent="0.3">
      <c r="A27" s="1">
        <v>200518</v>
      </c>
      <c r="B27" t="s">
        <v>31</v>
      </c>
      <c r="C27">
        <v>36</v>
      </c>
      <c r="D27" s="1">
        <v>22.27</v>
      </c>
      <c r="E27"/>
      <c r="F27"/>
      <c r="G27"/>
      <c r="H27"/>
    </row>
    <row r="28" spans="1:8" x14ac:dyDescent="0.3">
      <c r="A28" s="1">
        <v>200560</v>
      </c>
      <c r="B28" t="s">
        <v>33</v>
      </c>
      <c r="C28">
        <v>6</v>
      </c>
      <c r="D28" s="1">
        <v>26.07</v>
      </c>
      <c r="E28"/>
      <c r="F28"/>
      <c r="G28"/>
      <c r="H28"/>
    </row>
    <row r="29" spans="1:8" x14ac:dyDescent="0.3">
      <c r="A29" s="1">
        <v>200560</v>
      </c>
      <c r="B29" t="s">
        <v>33</v>
      </c>
      <c r="C29">
        <v>9</v>
      </c>
      <c r="D29" s="1">
        <v>11.65</v>
      </c>
      <c r="E29"/>
      <c r="F29"/>
      <c r="G29"/>
      <c r="H29"/>
    </row>
    <row r="30" spans="1:8" x14ac:dyDescent="0.3">
      <c r="A30" s="1">
        <v>201276</v>
      </c>
      <c r="B30" t="s">
        <v>35</v>
      </c>
      <c r="C30">
        <v>1</v>
      </c>
      <c r="D30" s="1">
        <v>1.1499999999999999</v>
      </c>
      <c r="E30"/>
      <c r="F30"/>
      <c r="G30"/>
      <c r="H30"/>
    </row>
    <row r="31" spans="1:8" x14ac:dyDescent="0.3">
      <c r="A31" s="1">
        <v>201276</v>
      </c>
      <c r="B31" t="s">
        <v>35</v>
      </c>
      <c r="C31">
        <v>2</v>
      </c>
      <c r="D31" s="1">
        <v>4.08</v>
      </c>
      <c r="E31"/>
      <c r="F31"/>
      <c r="G31"/>
      <c r="H31"/>
    </row>
    <row r="32" spans="1:8" x14ac:dyDescent="0.3">
      <c r="A32" s="1">
        <v>201276</v>
      </c>
      <c r="B32" t="s">
        <v>35</v>
      </c>
      <c r="C32">
        <v>3</v>
      </c>
      <c r="D32" s="1">
        <v>5.17</v>
      </c>
      <c r="E32"/>
      <c r="F32"/>
      <c r="G32"/>
      <c r="H32"/>
    </row>
    <row r="33" spans="1:8" x14ac:dyDescent="0.3">
      <c r="A33" s="1">
        <v>202001</v>
      </c>
      <c r="B33" t="s">
        <v>36</v>
      </c>
      <c r="C33">
        <v>1</v>
      </c>
      <c r="D33" s="1">
        <v>2.17</v>
      </c>
      <c r="E33"/>
      <c r="F33"/>
      <c r="G33"/>
      <c r="H33"/>
    </row>
    <row r="34" spans="1:8" x14ac:dyDescent="0.3">
      <c r="A34" s="1">
        <v>202303</v>
      </c>
      <c r="B34" t="s">
        <v>37</v>
      </c>
      <c r="C34">
        <v>1</v>
      </c>
      <c r="D34" s="1">
        <v>10.09</v>
      </c>
      <c r="E34"/>
      <c r="F34"/>
      <c r="G34"/>
      <c r="H34"/>
    </row>
    <row r="35" spans="1:8" x14ac:dyDescent="0.3">
      <c r="A35" s="1">
        <v>202714</v>
      </c>
      <c r="B35" t="s">
        <v>38</v>
      </c>
      <c r="C35">
        <v>1</v>
      </c>
      <c r="D35" s="1">
        <v>47.04</v>
      </c>
      <c r="E35"/>
      <c r="F35"/>
      <c r="G35"/>
      <c r="H35"/>
    </row>
    <row r="36" spans="1:8" x14ac:dyDescent="0.3">
      <c r="A36" s="1">
        <v>202714</v>
      </c>
      <c r="B36" t="s">
        <v>38</v>
      </c>
      <c r="C36">
        <v>2</v>
      </c>
      <c r="D36" s="1">
        <v>31.22</v>
      </c>
      <c r="E36"/>
      <c r="F36"/>
      <c r="G36"/>
      <c r="H36"/>
    </row>
    <row r="37" spans="1:8" x14ac:dyDescent="0.3">
      <c r="A37" s="1">
        <v>202806</v>
      </c>
      <c r="B37" t="s">
        <v>39</v>
      </c>
      <c r="C37">
        <v>10</v>
      </c>
      <c r="D37" s="1">
        <v>44.019999999999996</v>
      </c>
      <c r="E37"/>
      <c r="F37"/>
      <c r="G37"/>
      <c r="H37"/>
    </row>
    <row r="38" spans="1:8" x14ac:dyDescent="0.3">
      <c r="A38" s="1">
        <v>202806</v>
      </c>
      <c r="B38" t="s">
        <v>39</v>
      </c>
      <c r="C38">
        <v>11</v>
      </c>
      <c r="D38" s="1">
        <v>52.059999999999995</v>
      </c>
      <c r="E38"/>
      <c r="F38"/>
      <c r="G38"/>
      <c r="H38"/>
    </row>
    <row r="39" spans="1:8" x14ac:dyDescent="0.3">
      <c r="A39" s="1">
        <v>202806</v>
      </c>
      <c r="B39" t="s">
        <v>39</v>
      </c>
      <c r="C39">
        <v>12</v>
      </c>
      <c r="D39" s="1">
        <v>60.000000000000007</v>
      </c>
      <c r="E39"/>
      <c r="F39"/>
      <c r="G39"/>
      <c r="H39"/>
    </row>
    <row r="40" spans="1:8" x14ac:dyDescent="0.3">
      <c r="A40" s="1">
        <v>202806</v>
      </c>
      <c r="B40" t="s">
        <v>39</v>
      </c>
      <c r="C40">
        <v>13</v>
      </c>
      <c r="D40" s="1">
        <v>35.450000000000003</v>
      </c>
      <c r="E40"/>
      <c r="F40"/>
      <c r="G40"/>
      <c r="H40"/>
    </row>
    <row r="41" spans="1:8" x14ac:dyDescent="0.3">
      <c r="A41" s="1">
        <v>202806</v>
      </c>
      <c r="B41" t="s">
        <v>39</v>
      </c>
      <c r="C41">
        <v>14</v>
      </c>
      <c r="D41" s="1">
        <v>35.270000000000003</v>
      </c>
      <c r="E41"/>
      <c r="F41"/>
      <c r="G41"/>
      <c r="H41"/>
    </row>
    <row r="42" spans="1:8" x14ac:dyDescent="0.3">
      <c r="A42" s="1">
        <v>202806</v>
      </c>
      <c r="B42" t="s">
        <v>39</v>
      </c>
      <c r="C42">
        <v>15</v>
      </c>
      <c r="D42" s="1">
        <v>42.03</v>
      </c>
      <c r="E42"/>
      <c r="F42"/>
      <c r="G42"/>
      <c r="H42"/>
    </row>
    <row r="43" spans="1:8" x14ac:dyDescent="0.3">
      <c r="A43" s="1">
        <v>202806</v>
      </c>
      <c r="B43" t="s">
        <v>39</v>
      </c>
      <c r="C43">
        <v>16</v>
      </c>
      <c r="D43" s="1">
        <v>39.75</v>
      </c>
      <c r="E43"/>
      <c r="F43"/>
      <c r="G43"/>
      <c r="H43"/>
    </row>
    <row r="44" spans="1:8" x14ac:dyDescent="0.3">
      <c r="A44" s="1">
        <v>202806</v>
      </c>
      <c r="B44" t="s">
        <v>39</v>
      </c>
      <c r="C44">
        <v>17</v>
      </c>
      <c r="D44" s="1">
        <v>47.949999999999996</v>
      </c>
      <c r="E44"/>
      <c r="F44"/>
      <c r="G44"/>
      <c r="H44"/>
    </row>
    <row r="45" spans="1:8" x14ac:dyDescent="0.3">
      <c r="A45" s="1">
        <v>202807</v>
      </c>
      <c r="B45" t="s">
        <v>42</v>
      </c>
      <c r="C45">
        <v>10</v>
      </c>
      <c r="D45" s="1">
        <v>43.28</v>
      </c>
      <c r="E45"/>
      <c r="F45"/>
      <c r="G45"/>
      <c r="H45"/>
    </row>
    <row r="46" spans="1:8" x14ac:dyDescent="0.3">
      <c r="A46" s="1">
        <v>202807</v>
      </c>
      <c r="B46" t="s">
        <v>42</v>
      </c>
      <c r="C46">
        <v>20</v>
      </c>
      <c r="D46" s="1">
        <v>7.72</v>
      </c>
      <c r="E46"/>
      <c r="F46"/>
      <c r="G46"/>
      <c r="H46"/>
    </row>
    <row r="47" spans="1:8" x14ac:dyDescent="0.3">
      <c r="A47" s="1">
        <v>202807</v>
      </c>
      <c r="B47" t="s">
        <v>42</v>
      </c>
      <c r="C47">
        <v>21</v>
      </c>
      <c r="D47" s="1">
        <v>35.21</v>
      </c>
      <c r="E47"/>
      <c r="F47"/>
      <c r="G47"/>
      <c r="H47"/>
    </row>
    <row r="48" spans="1:8" x14ac:dyDescent="0.3">
      <c r="A48" s="1">
        <v>207749</v>
      </c>
      <c r="B48" t="s">
        <v>45</v>
      </c>
      <c r="C48">
        <v>1</v>
      </c>
      <c r="D48" s="1">
        <v>43.32</v>
      </c>
      <c r="E48"/>
      <c r="F48"/>
      <c r="G48"/>
      <c r="H48"/>
    </row>
    <row r="49" spans="1:8" x14ac:dyDescent="0.3">
      <c r="A49" s="1">
        <v>207749</v>
      </c>
      <c r="B49" t="s">
        <v>45</v>
      </c>
      <c r="C49">
        <v>2</v>
      </c>
      <c r="D49" s="1">
        <v>33</v>
      </c>
      <c r="E49"/>
      <c r="F49"/>
      <c r="G49"/>
      <c r="H49"/>
    </row>
    <row r="50" spans="1:8" x14ac:dyDescent="0.3">
      <c r="A50" s="1">
        <v>207749</v>
      </c>
      <c r="B50" t="s">
        <v>45</v>
      </c>
      <c r="C50">
        <v>3</v>
      </c>
      <c r="D50" s="1">
        <v>45.459999999999994</v>
      </c>
      <c r="E50"/>
      <c r="F50"/>
      <c r="G50"/>
      <c r="H50"/>
    </row>
    <row r="51" spans="1:8" x14ac:dyDescent="0.3">
      <c r="A51" s="1">
        <v>207749</v>
      </c>
      <c r="B51" t="s">
        <v>45</v>
      </c>
      <c r="C51">
        <v>4</v>
      </c>
      <c r="D51" s="1">
        <v>35.019999999999996</v>
      </c>
      <c r="E51"/>
      <c r="F51"/>
      <c r="G51"/>
      <c r="H51"/>
    </row>
    <row r="52" spans="1:8" x14ac:dyDescent="0.3">
      <c r="A52" s="1">
        <v>207749</v>
      </c>
      <c r="B52" t="s">
        <v>45</v>
      </c>
      <c r="C52">
        <v>5</v>
      </c>
      <c r="D52" s="1">
        <v>27.439999999999998</v>
      </c>
      <c r="E52"/>
      <c r="F52"/>
      <c r="G52"/>
      <c r="H52"/>
    </row>
    <row r="53" spans="1:8" x14ac:dyDescent="0.3">
      <c r="A53" s="1">
        <v>207870</v>
      </c>
      <c r="B53" t="s">
        <v>47</v>
      </c>
      <c r="C53">
        <v>1</v>
      </c>
      <c r="D53" s="1">
        <v>25.79</v>
      </c>
      <c r="E53"/>
      <c r="F53"/>
      <c r="G53"/>
      <c r="H53"/>
    </row>
    <row r="54" spans="1:8" x14ac:dyDescent="0.3">
      <c r="A54" s="1">
        <v>207870</v>
      </c>
      <c r="B54" t="s">
        <v>47</v>
      </c>
      <c r="C54">
        <v>3</v>
      </c>
      <c r="D54" s="1">
        <v>23.75</v>
      </c>
      <c r="E54"/>
      <c r="F54"/>
      <c r="G54"/>
      <c r="H54"/>
    </row>
    <row r="55" spans="1:8" x14ac:dyDescent="0.3">
      <c r="A55" s="1">
        <v>207870</v>
      </c>
      <c r="B55" t="s">
        <v>47</v>
      </c>
      <c r="C55">
        <v>4</v>
      </c>
      <c r="D55" s="1">
        <v>10.029999999999999</v>
      </c>
      <c r="E55"/>
      <c r="F55"/>
      <c r="G55"/>
      <c r="H55"/>
    </row>
    <row r="56" spans="1:8" x14ac:dyDescent="0.3">
      <c r="A56" s="1">
        <v>207870</v>
      </c>
      <c r="B56" t="s">
        <v>47</v>
      </c>
      <c r="C56">
        <v>6</v>
      </c>
      <c r="D56" s="1">
        <v>28.51</v>
      </c>
      <c r="E56"/>
      <c r="F56"/>
      <c r="G56"/>
      <c r="H56"/>
    </row>
    <row r="57" spans="1:8" x14ac:dyDescent="0.3">
      <c r="A57" s="1">
        <v>207870</v>
      </c>
      <c r="B57" t="s">
        <v>47</v>
      </c>
      <c r="C57">
        <v>7</v>
      </c>
      <c r="D57" s="1">
        <v>19.57</v>
      </c>
      <c r="E57"/>
      <c r="F57"/>
      <c r="G57"/>
      <c r="H57"/>
    </row>
    <row r="58" spans="1:8" x14ac:dyDescent="0.3">
      <c r="A58" s="1">
        <v>207870</v>
      </c>
      <c r="B58" t="s">
        <v>47</v>
      </c>
      <c r="C58">
        <v>8</v>
      </c>
      <c r="D58" s="1">
        <v>24.220000000000002</v>
      </c>
      <c r="E58"/>
      <c r="F58"/>
      <c r="G58"/>
      <c r="H58"/>
    </row>
    <row r="59" spans="1:8" x14ac:dyDescent="0.3">
      <c r="A59" s="1">
        <v>207870</v>
      </c>
      <c r="B59" t="s">
        <v>47</v>
      </c>
      <c r="C59">
        <v>9</v>
      </c>
      <c r="D59" s="1">
        <v>36.92</v>
      </c>
      <c r="E59"/>
      <c r="F59"/>
      <c r="G59"/>
      <c r="H59"/>
    </row>
    <row r="60" spans="1:8" x14ac:dyDescent="0.3">
      <c r="A60" s="1">
        <v>207870</v>
      </c>
      <c r="B60" t="s">
        <v>47</v>
      </c>
      <c r="C60">
        <v>10</v>
      </c>
      <c r="D60" s="1">
        <v>17.2</v>
      </c>
      <c r="E60"/>
      <c r="F60"/>
      <c r="G60"/>
      <c r="H60"/>
    </row>
    <row r="61" spans="1:8" x14ac:dyDescent="0.3">
      <c r="A61" s="1">
        <v>207870</v>
      </c>
      <c r="B61" t="s">
        <v>47</v>
      </c>
      <c r="C61">
        <v>11</v>
      </c>
      <c r="D61" s="1">
        <v>28.07</v>
      </c>
      <c r="E61"/>
      <c r="F61"/>
      <c r="G61"/>
      <c r="H61"/>
    </row>
    <row r="62" spans="1:8" x14ac:dyDescent="0.3">
      <c r="A62" s="1">
        <v>207870</v>
      </c>
      <c r="B62" t="s">
        <v>47</v>
      </c>
      <c r="C62">
        <v>12</v>
      </c>
      <c r="D62" s="1">
        <v>33.910000000000004</v>
      </c>
      <c r="E62"/>
      <c r="F62"/>
      <c r="G62"/>
      <c r="H62"/>
    </row>
    <row r="63" spans="1:8" x14ac:dyDescent="0.3">
      <c r="A63" s="1">
        <v>207870</v>
      </c>
      <c r="B63" t="s">
        <v>47</v>
      </c>
      <c r="C63">
        <v>13</v>
      </c>
      <c r="D63" s="1">
        <v>40.489999999999995</v>
      </c>
      <c r="E63"/>
      <c r="F63"/>
      <c r="G63"/>
      <c r="H63"/>
    </row>
    <row r="64" spans="1:8" x14ac:dyDescent="0.3">
      <c r="A64" s="1">
        <v>207870</v>
      </c>
      <c r="B64" t="s">
        <v>47</v>
      </c>
      <c r="C64">
        <v>14</v>
      </c>
      <c r="D64" s="1">
        <v>29.16</v>
      </c>
      <c r="E64"/>
      <c r="F64"/>
      <c r="G64"/>
      <c r="H64"/>
    </row>
    <row r="65" spans="1:8" x14ac:dyDescent="0.3">
      <c r="A65" s="1">
        <v>207870</v>
      </c>
      <c r="B65" t="s">
        <v>47</v>
      </c>
      <c r="C65">
        <v>15</v>
      </c>
      <c r="D65" s="1">
        <v>22.73</v>
      </c>
      <c r="E65"/>
      <c r="F65"/>
      <c r="G65"/>
      <c r="H65"/>
    </row>
    <row r="66" spans="1:8" x14ac:dyDescent="0.3">
      <c r="A66" s="1">
        <v>207870</v>
      </c>
      <c r="B66" t="s">
        <v>47</v>
      </c>
      <c r="C66">
        <v>16</v>
      </c>
      <c r="D66" s="1">
        <v>4.7</v>
      </c>
      <c r="E66"/>
      <c r="F66"/>
      <c r="G66"/>
      <c r="H66"/>
    </row>
    <row r="67" spans="1:8" x14ac:dyDescent="0.3">
      <c r="A67" s="1">
        <v>207875</v>
      </c>
      <c r="B67" t="s">
        <v>49</v>
      </c>
      <c r="C67">
        <v>1</v>
      </c>
      <c r="D67" s="1">
        <v>4.3600000000000003</v>
      </c>
      <c r="E67"/>
      <c r="F67"/>
      <c r="G67"/>
      <c r="H67"/>
    </row>
    <row r="68" spans="1:8" x14ac:dyDescent="0.3">
      <c r="A68" s="1">
        <v>207875</v>
      </c>
      <c r="B68" t="s">
        <v>49</v>
      </c>
      <c r="C68">
        <v>2</v>
      </c>
      <c r="D68" s="1">
        <v>19.61</v>
      </c>
      <c r="E68"/>
      <c r="F68"/>
      <c r="G68"/>
      <c r="H68"/>
    </row>
    <row r="69" spans="1:8" x14ac:dyDescent="0.3">
      <c r="A69" s="1">
        <v>207875</v>
      </c>
      <c r="B69" t="s">
        <v>49</v>
      </c>
      <c r="C69">
        <v>3</v>
      </c>
      <c r="D69" s="1">
        <v>11</v>
      </c>
      <c r="E69"/>
      <c r="F69"/>
      <c r="G69"/>
      <c r="H69"/>
    </row>
    <row r="70" spans="1:8" x14ac:dyDescent="0.3">
      <c r="A70" s="1">
        <v>207875</v>
      </c>
      <c r="B70" t="s">
        <v>49</v>
      </c>
      <c r="C70">
        <v>4</v>
      </c>
      <c r="D70" s="1">
        <v>12.97</v>
      </c>
      <c r="E70"/>
      <c r="F70"/>
      <c r="G70"/>
      <c r="H70"/>
    </row>
    <row r="71" spans="1:8" x14ac:dyDescent="0.3">
      <c r="A71" s="1">
        <v>207968</v>
      </c>
      <c r="B71" t="s">
        <v>45</v>
      </c>
      <c r="C71">
        <v>3</v>
      </c>
      <c r="D71" s="1">
        <v>39.17</v>
      </c>
      <c r="E71"/>
      <c r="F71"/>
      <c r="G71"/>
      <c r="H71"/>
    </row>
    <row r="72" spans="1:8" x14ac:dyDescent="0.3">
      <c r="A72" s="1">
        <v>207968</v>
      </c>
      <c r="B72" t="s">
        <v>45</v>
      </c>
      <c r="C72">
        <v>4</v>
      </c>
      <c r="D72" s="1">
        <v>33.879999999999995</v>
      </c>
      <c r="E72"/>
      <c r="F72"/>
      <c r="G72"/>
      <c r="H72"/>
    </row>
    <row r="73" spans="1:8" x14ac:dyDescent="0.3">
      <c r="A73" s="1">
        <v>207982</v>
      </c>
      <c r="B73" t="s">
        <v>50</v>
      </c>
      <c r="C73">
        <v>1</v>
      </c>
      <c r="D73" s="1">
        <v>17.439999999999998</v>
      </c>
      <c r="E73"/>
      <c r="F73"/>
      <c r="G73"/>
      <c r="H73"/>
    </row>
    <row r="74" spans="1:8" x14ac:dyDescent="0.3">
      <c r="A74" s="1">
        <v>207982</v>
      </c>
      <c r="B74" t="s">
        <v>50</v>
      </c>
      <c r="C74">
        <v>2</v>
      </c>
      <c r="D74" s="1">
        <v>25.66</v>
      </c>
      <c r="E74"/>
      <c r="F74"/>
      <c r="G74"/>
      <c r="H74"/>
    </row>
    <row r="75" spans="1:8" x14ac:dyDescent="0.3">
      <c r="A75" s="1">
        <v>207982</v>
      </c>
      <c r="B75" t="s">
        <v>50</v>
      </c>
      <c r="C75">
        <v>3</v>
      </c>
      <c r="D75" s="1">
        <v>14.13</v>
      </c>
      <c r="E75"/>
      <c r="F75"/>
      <c r="G75"/>
      <c r="H75"/>
    </row>
    <row r="76" spans="1:8" x14ac:dyDescent="0.3">
      <c r="A76" s="1">
        <v>207982</v>
      </c>
      <c r="B76" t="s">
        <v>50</v>
      </c>
      <c r="C76">
        <v>4</v>
      </c>
      <c r="D76" s="1">
        <v>14.549999999999999</v>
      </c>
      <c r="E76"/>
      <c r="F76"/>
      <c r="G76"/>
      <c r="H76"/>
    </row>
    <row r="77" spans="1:8" x14ac:dyDescent="0.3">
      <c r="A77" s="1">
        <v>207982</v>
      </c>
      <c r="B77" t="s">
        <v>50</v>
      </c>
      <c r="C77">
        <v>5</v>
      </c>
      <c r="D77" s="1">
        <v>7.67</v>
      </c>
      <c r="E77"/>
      <c r="F77"/>
      <c r="G77"/>
      <c r="H77"/>
    </row>
    <row r="78" spans="1:8" x14ac:dyDescent="0.3">
      <c r="A78" s="1">
        <v>207982</v>
      </c>
      <c r="B78" t="s">
        <v>50</v>
      </c>
      <c r="C78">
        <v>6</v>
      </c>
      <c r="D78" s="1">
        <v>15.02</v>
      </c>
      <c r="E78"/>
      <c r="F78"/>
      <c r="G78"/>
      <c r="H78"/>
    </row>
    <row r="79" spans="1:8" x14ac:dyDescent="0.3">
      <c r="A79" s="1">
        <v>208066</v>
      </c>
      <c r="B79" t="s">
        <v>52</v>
      </c>
      <c r="C79">
        <v>1</v>
      </c>
      <c r="D79" s="1">
        <v>10.71</v>
      </c>
      <c r="E79"/>
      <c r="F79"/>
      <c r="G79"/>
      <c r="H79"/>
    </row>
    <row r="80" spans="1:8" x14ac:dyDescent="0.3">
      <c r="A80" s="1">
        <v>208066</v>
      </c>
      <c r="B80" t="s">
        <v>52</v>
      </c>
      <c r="C80">
        <v>3</v>
      </c>
      <c r="D80" s="1">
        <v>4</v>
      </c>
      <c r="E80"/>
      <c r="F80"/>
      <c r="G80"/>
      <c r="H80"/>
    </row>
    <row r="81" spans="1:8" x14ac:dyDescent="0.3">
      <c r="A81" s="1">
        <v>208097</v>
      </c>
      <c r="B81" t="s">
        <v>54</v>
      </c>
      <c r="C81">
        <v>1</v>
      </c>
      <c r="D81" s="1">
        <v>19.149999999999999</v>
      </c>
      <c r="E81"/>
      <c r="F81"/>
      <c r="G81"/>
      <c r="H81"/>
    </row>
    <row r="82" spans="1:8" x14ac:dyDescent="0.3">
      <c r="A82" s="1">
        <v>208097</v>
      </c>
      <c r="B82" t="s">
        <v>54</v>
      </c>
      <c r="C82">
        <v>2</v>
      </c>
      <c r="D82" s="1">
        <v>24.93</v>
      </c>
      <c r="E82"/>
      <c r="F82"/>
      <c r="G82"/>
      <c r="H82"/>
    </row>
    <row r="83" spans="1:8" x14ac:dyDescent="0.3">
      <c r="A83" s="1">
        <v>208097</v>
      </c>
      <c r="B83" t="s">
        <v>54</v>
      </c>
      <c r="C83">
        <v>3</v>
      </c>
      <c r="D83" s="1">
        <v>17.329999999999998</v>
      </c>
      <c r="E83"/>
      <c r="F83"/>
      <c r="G83"/>
      <c r="H83"/>
    </row>
    <row r="84" spans="1:8" x14ac:dyDescent="0.3">
      <c r="A84" s="1">
        <v>208097</v>
      </c>
      <c r="B84" t="s">
        <v>54</v>
      </c>
      <c r="C84">
        <v>4</v>
      </c>
      <c r="D84" s="1">
        <v>25.779999999999998</v>
      </c>
      <c r="E84"/>
      <c r="F84"/>
      <c r="G84"/>
      <c r="H84"/>
    </row>
    <row r="85" spans="1:8" x14ac:dyDescent="0.3">
      <c r="A85" s="1">
        <v>208097</v>
      </c>
      <c r="B85" t="s">
        <v>54</v>
      </c>
      <c r="C85">
        <v>5</v>
      </c>
      <c r="D85" s="1">
        <v>36.409999999999997</v>
      </c>
      <c r="E85"/>
      <c r="F85"/>
      <c r="G85"/>
      <c r="H85"/>
    </row>
    <row r="86" spans="1:8" x14ac:dyDescent="0.3">
      <c r="A86" s="1">
        <v>208097</v>
      </c>
      <c r="B86" t="s">
        <v>54</v>
      </c>
      <c r="C86">
        <v>6</v>
      </c>
      <c r="D86" s="1">
        <v>26.229999999999997</v>
      </c>
      <c r="E86"/>
      <c r="F86"/>
      <c r="G86"/>
      <c r="H86"/>
    </row>
    <row r="87" spans="1:8" x14ac:dyDescent="0.3">
      <c r="A87" s="1">
        <v>208097</v>
      </c>
      <c r="B87" t="s">
        <v>54</v>
      </c>
      <c r="C87">
        <v>7</v>
      </c>
      <c r="D87" s="1">
        <v>38.119999999999997</v>
      </c>
      <c r="E87"/>
      <c r="F87"/>
      <c r="G87"/>
      <c r="H87"/>
    </row>
    <row r="88" spans="1:8" x14ac:dyDescent="0.3">
      <c r="A88" s="1">
        <v>208097</v>
      </c>
      <c r="B88" t="s">
        <v>54</v>
      </c>
      <c r="C88">
        <v>8</v>
      </c>
      <c r="D88" s="1">
        <v>43.17</v>
      </c>
      <c r="E88"/>
      <c r="F88"/>
      <c r="G88"/>
      <c r="H88"/>
    </row>
    <row r="89" spans="1:8" x14ac:dyDescent="0.3">
      <c r="A89" s="1">
        <v>208097</v>
      </c>
      <c r="B89" t="s">
        <v>54</v>
      </c>
      <c r="C89">
        <v>9</v>
      </c>
      <c r="D89" s="1">
        <v>3.28</v>
      </c>
      <c r="E89"/>
      <c r="F89"/>
      <c r="G89"/>
      <c r="H89"/>
    </row>
    <row r="90" spans="1:8" x14ac:dyDescent="0.3">
      <c r="A90" s="1">
        <v>208097</v>
      </c>
      <c r="B90" t="s">
        <v>54</v>
      </c>
      <c r="C90">
        <v>10</v>
      </c>
      <c r="D90" s="1">
        <v>20.93</v>
      </c>
      <c r="E90"/>
      <c r="F90"/>
      <c r="G90"/>
      <c r="H90"/>
    </row>
    <row r="91" spans="1:8" x14ac:dyDescent="0.3">
      <c r="A91" s="1">
        <v>208097</v>
      </c>
      <c r="B91" t="s">
        <v>54</v>
      </c>
      <c r="C91">
        <v>11</v>
      </c>
      <c r="D91" s="1">
        <v>29.86</v>
      </c>
      <c r="E91"/>
      <c r="F91"/>
      <c r="G91"/>
      <c r="H91"/>
    </row>
    <row r="92" spans="1:8" x14ac:dyDescent="0.3">
      <c r="A92" s="1">
        <v>208097</v>
      </c>
      <c r="B92" t="s">
        <v>54</v>
      </c>
      <c r="C92">
        <v>12</v>
      </c>
      <c r="D92" s="1">
        <v>22.599999999999998</v>
      </c>
      <c r="E92"/>
      <c r="F92"/>
      <c r="G92"/>
      <c r="H92"/>
    </row>
    <row r="93" spans="1:8" x14ac:dyDescent="0.3">
      <c r="A93" s="1">
        <v>208097</v>
      </c>
      <c r="B93" t="s">
        <v>54</v>
      </c>
      <c r="C93">
        <v>13</v>
      </c>
      <c r="D93" s="1">
        <v>18.869999999999997</v>
      </c>
      <c r="E93"/>
      <c r="F93"/>
      <c r="G93"/>
      <c r="H93"/>
    </row>
    <row r="94" spans="1:8" x14ac:dyDescent="0.3">
      <c r="A94" s="1">
        <v>208097</v>
      </c>
      <c r="B94" t="s">
        <v>54</v>
      </c>
      <c r="C94">
        <v>14</v>
      </c>
      <c r="D94" s="1">
        <v>24.259999999999998</v>
      </c>
      <c r="E94"/>
      <c r="F94"/>
      <c r="G94"/>
      <c r="H94"/>
    </row>
    <row r="95" spans="1:8" x14ac:dyDescent="0.3">
      <c r="A95" s="1">
        <v>208097</v>
      </c>
      <c r="B95" t="s">
        <v>54</v>
      </c>
      <c r="C95">
        <v>15</v>
      </c>
      <c r="D95" s="1">
        <v>16.54</v>
      </c>
      <c r="E95"/>
      <c r="F95"/>
      <c r="G95"/>
      <c r="H95"/>
    </row>
    <row r="96" spans="1:8" x14ac:dyDescent="0.3">
      <c r="A96" s="1">
        <v>208097</v>
      </c>
      <c r="B96" t="s">
        <v>54</v>
      </c>
      <c r="C96">
        <v>16</v>
      </c>
      <c r="D96" s="1">
        <v>18.350000000000001</v>
      </c>
      <c r="E96"/>
      <c r="F96"/>
      <c r="G96"/>
      <c r="H96"/>
    </row>
    <row r="97" spans="1:8" x14ac:dyDescent="0.3">
      <c r="A97" s="1">
        <v>208097</v>
      </c>
      <c r="B97" t="s">
        <v>54</v>
      </c>
      <c r="C97">
        <v>17</v>
      </c>
      <c r="D97" s="1">
        <v>25.84</v>
      </c>
      <c r="E97"/>
      <c r="F97"/>
      <c r="G97"/>
      <c r="H97"/>
    </row>
    <row r="98" spans="1:8" x14ac:dyDescent="0.3">
      <c r="A98" s="1">
        <v>208097</v>
      </c>
      <c r="B98" t="s">
        <v>54</v>
      </c>
      <c r="C98">
        <v>18</v>
      </c>
      <c r="D98" s="1">
        <v>6.48</v>
      </c>
      <c r="E98"/>
      <c r="F98"/>
      <c r="G98"/>
      <c r="H98"/>
    </row>
    <row r="99" spans="1:8" x14ac:dyDescent="0.3">
      <c r="A99" s="1" t="s">
        <v>91</v>
      </c>
      <c r="B99" t="s">
        <v>91</v>
      </c>
      <c r="C99" t="s">
        <v>91</v>
      </c>
      <c r="E99"/>
      <c r="F99"/>
      <c r="G99"/>
      <c r="H99"/>
    </row>
    <row r="100" spans="1:8" x14ac:dyDescent="0.3">
      <c r="A100" s="75" t="s">
        <v>92</v>
      </c>
      <c r="B100" s="75"/>
      <c r="C100" s="75"/>
      <c r="D100" s="1">
        <v>2349.9400000000005</v>
      </c>
      <c r="E100"/>
      <c r="F100"/>
      <c r="G100"/>
      <c r="H100"/>
    </row>
    <row r="101" spans="1:8" x14ac:dyDescent="0.3">
      <c r="A101"/>
      <c r="C101"/>
      <c r="D101"/>
      <c r="E101"/>
      <c r="F101"/>
      <c r="G101"/>
      <c r="H101"/>
    </row>
    <row r="102" spans="1:8" x14ac:dyDescent="0.3">
      <c r="A102"/>
      <c r="C102"/>
      <c r="D102"/>
      <c r="E102"/>
      <c r="F102"/>
      <c r="G102"/>
      <c r="H102"/>
    </row>
    <row r="103" spans="1:8" x14ac:dyDescent="0.3">
      <c r="A103"/>
      <c r="C103"/>
      <c r="D103"/>
      <c r="E103"/>
      <c r="F103"/>
      <c r="G103"/>
      <c r="H103"/>
    </row>
    <row r="104" spans="1:8" x14ac:dyDescent="0.3">
      <c r="A104"/>
      <c r="C104"/>
      <c r="D104"/>
      <c r="E104"/>
      <c r="F104"/>
      <c r="G104"/>
      <c r="H104"/>
    </row>
    <row r="105" spans="1:8" x14ac:dyDescent="0.3">
      <c r="A105"/>
      <c r="C105"/>
      <c r="D105"/>
      <c r="E105"/>
      <c r="F105"/>
      <c r="G105"/>
      <c r="H105"/>
    </row>
    <row r="106" spans="1:8" x14ac:dyDescent="0.3">
      <c r="A106"/>
      <c r="C106"/>
      <c r="D106"/>
      <c r="E106"/>
      <c r="F106"/>
      <c r="G106"/>
      <c r="H106"/>
    </row>
    <row r="107" spans="1:8" x14ac:dyDescent="0.3">
      <c r="A107"/>
      <c r="C107"/>
      <c r="D107"/>
      <c r="E107"/>
      <c r="F107"/>
      <c r="G107"/>
      <c r="H107"/>
    </row>
    <row r="108" spans="1:8" x14ac:dyDescent="0.3">
      <c r="A108"/>
      <c r="C108"/>
      <c r="D108"/>
      <c r="E108"/>
      <c r="F108"/>
      <c r="G108"/>
      <c r="H108"/>
    </row>
    <row r="109" spans="1:8" x14ac:dyDescent="0.3">
      <c r="A109"/>
      <c r="C109"/>
      <c r="D109"/>
      <c r="E109"/>
      <c r="F109"/>
      <c r="G109"/>
      <c r="H109"/>
    </row>
    <row r="110" spans="1:8" x14ac:dyDescent="0.3">
      <c r="A110"/>
      <c r="C110"/>
      <c r="D110"/>
      <c r="E110"/>
      <c r="F110"/>
      <c r="G110"/>
      <c r="H110"/>
    </row>
    <row r="111" spans="1:8" x14ac:dyDescent="0.3">
      <c r="A111"/>
      <c r="C111"/>
      <c r="D111"/>
      <c r="E111"/>
      <c r="F111"/>
      <c r="G111"/>
      <c r="H111"/>
    </row>
    <row r="112" spans="1:8" x14ac:dyDescent="0.3">
      <c r="A112"/>
      <c r="C112"/>
      <c r="D112"/>
      <c r="E112"/>
      <c r="F112"/>
      <c r="G112"/>
      <c r="H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35EA-9C44-42A8-97FD-DBDE7050BCF2}">
  <dimension ref="B1:R13"/>
  <sheetViews>
    <sheetView zoomScale="85" zoomScaleNormal="85" workbookViewId="0">
      <selection activeCell="N8" activeCellId="1" sqref="N5 N8"/>
    </sheetView>
  </sheetViews>
  <sheetFormatPr defaultRowHeight="14.4" x14ac:dyDescent="0.3"/>
  <cols>
    <col min="2" max="2" width="20" bestFit="1" customWidth="1"/>
    <col min="3" max="3" width="41.5546875" bestFit="1" customWidth="1"/>
    <col min="4" max="4" width="12.33203125" bestFit="1" customWidth="1"/>
    <col min="5" max="5" width="18.5546875" bestFit="1" customWidth="1"/>
    <col min="6" max="6" width="16.5546875" bestFit="1" customWidth="1"/>
    <col min="7" max="7" width="25.88671875" bestFit="1" customWidth="1"/>
    <col min="8" max="8" width="9.88671875" bestFit="1" customWidth="1"/>
    <col min="9" max="9" width="22.5546875" bestFit="1" customWidth="1"/>
    <col min="10" max="10" width="9.88671875" bestFit="1" customWidth="1"/>
    <col min="11" max="11" width="22.5546875" bestFit="1" customWidth="1"/>
    <col min="12" max="12" width="7.44140625" bestFit="1" customWidth="1"/>
    <col min="13" max="13" width="9.33203125" bestFit="1" customWidth="1"/>
    <col min="14" max="14" width="9.5546875" bestFit="1" customWidth="1"/>
    <col min="15" max="15" width="7.44140625" bestFit="1" customWidth="1"/>
    <col min="16" max="16" width="18.33203125" bestFit="1" customWidth="1"/>
    <col min="17" max="17" width="17.88671875" bestFit="1" customWidth="1"/>
    <col min="18" max="18" width="15.44140625" bestFit="1" customWidth="1"/>
  </cols>
  <sheetData>
    <row r="1" spans="2:18" x14ac:dyDescent="0.3">
      <c r="B1" s="54" t="s">
        <v>56</v>
      </c>
      <c r="C1" s="54" t="s">
        <v>57</v>
      </c>
      <c r="D1" s="55" t="s">
        <v>58</v>
      </c>
      <c r="E1" s="55" t="s">
        <v>59</v>
      </c>
      <c r="F1" s="55" t="s">
        <v>60</v>
      </c>
      <c r="G1" s="55" t="s">
        <v>61</v>
      </c>
      <c r="H1" s="55" t="s">
        <v>62</v>
      </c>
      <c r="I1" s="55" t="s">
        <v>63</v>
      </c>
      <c r="J1" s="55" t="s">
        <v>64</v>
      </c>
      <c r="K1" s="55" t="s">
        <v>65</v>
      </c>
      <c r="L1" s="55" t="s">
        <v>2</v>
      </c>
      <c r="M1" s="55" t="s">
        <v>66</v>
      </c>
      <c r="N1" s="55" t="s">
        <v>67</v>
      </c>
      <c r="O1" s="55" t="s">
        <v>68</v>
      </c>
      <c r="P1" s="56" t="s">
        <v>26</v>
      </c>
      <c r="Q1" s="57" t="s">
        <v>27</v>
      </c>
      <c r="R1" s="57" t="s">
        <v>69</v>
      </c>
    </row>
    <row r="2" spans="2:18" x14ac:dyDescent="0.3">
      <c r="B2" s="36" t="s">
        <v>70</v>
      </c>
      <c r="C2" s="36" t="s">
        <v>71</v>
      </c>
      <c r="D2" s="58">
        <v>250301</v>
      </c>
      <c r="E2" s="50" t="s">
        <v>72</v>
      </c>
      <c r="F2" s="59">
        <v>1053</v>
      </c>
      <c r="G2" s="50" t="s">
        <v>73</v>
      </c>
      <c r="H2" s="59">
        <v>208066</v>
      </c>
      <c r="I2" s="50" t="s">
        <v>52</v>
      </c>
      <c r="J2" s="59">
        <v>1</v>
      </c>
      <c r="K2" s="50" t="s">
        <v>74</v>
      </c>
      <c r="L2" s="50">
        <v>1</v>
      </c>
      <c r="M2" s="51">
        <v>46135</v>
      </c>
      <c r="N2" s="59">
        <v>10.71</v>
      </c>
      <c r="O2" s="52" t="s">
        <v>75</v>
      </c>
      <c r="P2" s="40">
        <v>494105.85000000003</v>
      </c>
      <c r="Q2" s="41">
        <v>46135</v>
      </c>
      <c r="R2" s="41" t="s">
        <v>76</v>
      </c>
    </row>
    <row r="3" spans="2:18" x14ac:dyDescent="0.3">
      <c r="B3" s="36" t="s">
        <v>77</v>
      </c>
      <c r="C3" s="36" t="s">
        <v>78</v>
      </c>
      <c r="D3" s="60">
        <v>250301</v>
      </c>
      <c r="E3" s="43" t="s">
        <v>72</v>
      </c>
      <c r="F3" s="61">
        <v>1053</v>
      </c>
      <c r="G3" s="43" t="s">
        <v>73</v>
      </c>
      <c r="H3" s="61">
        <v>208066</v>
      </c>
      <c r="I3" s="43" t="s">
        <v>52</v>
      </c>
      <c r="J3" s="61">
        <v>1</v>
      </c>
      <c r="K3" s="43" t="s">
        <v>74</v>
      </c>
      <c r="L3" s="43">
        <v>3</v>
      </c>
      <c r="M3" s="44">
        <v>46135</v>
      </c>
      <c r="N3" s="61">
        <v>4</v>
      </c>
      <c r="O3" s="48" t="s">
        <v>75</v>
      </c>
      <c r="P3" s="40">
        <v>184540</v>
      </c>
      <c r="Q3" s="41">
        <v>46135</v>
      </c>
      <c r="R3" s="41" t="s">
        <v>76</v>
      </c>
    </row>
    <row r="4" spans="2:18" x14ac:dyDescent="0.3">
      <c r="B4" s="36" t="s">
        <v>79</v>
      </c>
      <c r="C4" s="36" t="s">
        <v>80</v>
      </c>
      <c r="D4" s="60">
        <v>250301</v>
      </c>
      <c r="E4" s="43" t="s">
        <v>72</v>
      </c>
      <c r="F4" s="61">
        <v>1211</v>
      </c>
      <c r="G4" s="43" t="s">
        <v>81</v>
      </c>
      <c r="H4" s="61">
        <v>202806</v>
      </c>
      <c r="I4" s="43" t="s">
        <v>39</v>
      </c>
      <c r="J4" s="61">
        <v>1</v>
      </c>
      <c r="K4" s="43" t="s">
        <v>39</v>
      </c>
      <c r="L4" s="43">
        <v>13</v>
      </c>
      <c r="M4" s="44">
        <v>46135</v>
      </c>
      <c r="N4" s="61">
        <v>6</v>
      </c>
      <c r="O4" s="48" t="s">
        <v>75</v>
      </c>
      <c r="P4" s="40">
        <v>276810</v>
      </c>
      <c r="Q4" s="41">
        <v>46139.36363636364</v>
      </c>
      <c r="R4" s="41" t="s">
        <v>76</v>
      </c>
    </row>
    <row r="5" spans="2:18" x14ac:dyDescent="0.3">
      <c r="B5" s="36" t="s">
        <v>82</v>
      </c>
      <c r="C5" s="36" t="s">
        <v>83</v>
      </c>
      <c r="D5" s="60">
        <v>250301</v>
      </c>
      <c r="E5" s="43" t="s">
        <v>72</v>
      </c>
      <c r="F5" s="61">
        <v>1211</v>
      </c>
      <c r="G5" s="43" t="s">
        <v>81</v>
      </c>
      <c r="H5" s="61">
        <v>202806</v>
      </c>
      <c r="I5" s="43" t="s">
        <v>39</v>
      </c>
      <c r="J5" s="61">
        <v>1</v>
      </c>
      <c r="K5" s="43" t="s">
        <v>39</v>
      </c>
      <c r="L5" s="43">
        <v>15</v>
      </c>
      <c r="M5" s="44">
        <v>46135</v>
      </c>
      <c r="N5" s="61">
        <v>3</v>
      </c>
      <c r="O5" s="48" t="s">
        <v>75</v>
      </c>
      <c r="P5" s="40">
        <v>138405</v>
      </c>
      <c r="Q5" s="41">
        <v>46139.0625</v>
      </c>
      <c r="R5" s="41" t="s">
        <v>76</v>
      </c>
    </row>
    <row r="6" spans="2:18" x14ac:dyDescent="0.3">
      <c r="B6" s="36" t="s">
        <v>84</v>
      </c>
      <c r="C6" s="36" t="s">
        <v>85</v>
      </c>
      <c r="D6" s="60">
        <v>250301</v>
      </c>
      <c r="E6" s="43" t="s">
        <v>72</v>
      </c>
      <c r="F6" s="61">
        <v>1211</v>
      </c>
      <c r="G6" s="43" t="s">
        <v>81</v>
      </c>
      <c r="H6" s="61">
        <v>202806</v>
      </c>
      <c r="I6" s="43" t="s">
        <v>39</v>
      </c>
      <c r="J6" s="61">
        <v>1</v>
      </c>
      <c r="K6" s="43" t="s">
        <v>39</v>
      </c>
      <c r="L6" s="43">
        <v>16</v>
      </c>
      <c r="M6" s="44">
        <v>46135</v>
      </c>
      <c r="N6" s="61">
        <v>2</v>
      </c>
      <c r="O6" s="48" t="s">
        <v>75</v>
      </c>
      <c r="P6" s="40">
        <v>92270</v>
      </c>
      <c r="Q6" s="41">
        <v>46138.2</v>
      </c>
      <c r="R6" s="41" t="s">
        <v>76</v>
      </c>
    </row>
    <row r="7" spans="2:18" x14ac:dyDescent="0.3">
      <c r="B7" s="36" t="s">
        <v>79</v>
      </c>
      <c r="C7" s="36" t="s">
        <v>80</v>
      </c>
      <c r="D7" s="58">
        <v>250301</v>
      </c>
      <c r="E7" s="50" t="s">
        <v>72</v>
      </c>
      <c r="F7" s="59">
        <v>1211</v>
      </c>
      <c r="G7" s="50" t="s">
        <v>81</v>
      </c>
      <c r="H7" s="59">
        <v>202806</v>
      </c>
      <c r="I7" s="50" t="s">
        <v>39</v>
      </c>
      <c r="J7" s="59">
        <v>1</v>
      </c>
      <c r="K7" s="50" t="s">
        <v>39</v>
      </c>
      <c r="L7" s="50">
        <v>13</v>
      </c>
      <c r="M7" s="51">
        <v>46137</v>
      </c>
      <c r="N7" s="59">
        <v>8</v>
      </c>
      <c r="O7" s="52" t="s">
        <v>75</v>
      </c>
      <c r="P7" s="40">
        <v>369096</v>
      </c>
      <c r="Q7" s="41">
        <v>46139.36363636364</v>
      </c>
      <c r="R7" s="41" t="s">
        <v>76</v>
      </c>
    </row>
    <row r="8" spans="2:18" x14ac:dyDescent="0.3">
      <c r="B8" s="36" t="s">
        <v>82</v>
      </c>
      <c r="C8" s="36" t="s">
        <v>83</v>
      </c>
      <c r="D8" s="58">
        <v>250301</v>
      </c>
      <c r="E8" s="50" t="s">
        <v>72</v>
      </c>
      <c r="F8" s="59">
        <v>1211</v>
      </c>
      <c r="G8" s="50" t="s">
        <v>81</v>
      </c>
      <c r="H8" s="59">
        <v>202806</v>
      </c>
      <c r="I8" s="50" t="s">
        <v>39</v>
      </c>
      <c r="J8" s="59">
        <v>1</v>
      </c>
      <c r="K8" s="50" t="s">
        <v>39</v>
      </c>
      <c r="L8" s="50">
        <v>15</v>
      </c>
      <c r="M8" s="51">
        <v>46137</v>
      </c>
      <c r="N8" s="59">
        <v>20</v>
      </c>
      <c r="O8" s="52" t="s">
        <v>75</v>
      </c>
      <c r="P8" s="40">
        <v>922740</v>
      </c>
      <c r="Q8" s="41">
        <v>46139.0625</v>
      </c>
      <c r="R8" s="41" t="s">
        <v>76</v>
      </c>
    </row>
    <row r="9" spans="2:18" x14ac:dyDescent="0.3">
      <c r="B9" s="36" t="s">
        <v>84</v>
      </c>
      <c r="C9" s="36" t="s">
        <v>85</v>
      </c>
      <c r="D9" s="58">
        <v>250301</v>
      </c>
      <c r="E9" s="50" t="s">
        <v>72</v>
      </c>
      <c r="F9" s="59">
        <v>1211</v>
      </c>
      <c r="G9" s="50" t="s">
        <v>81</v>
      </c>
      <c r="H9" s="59">
        <v>202806</v>
      </c>
      <c r="I9" s="50" t="s">
        <v>39</v>
      </c>
      <c r="J9" s="59">
        <v>1</v>
      </c>
      <c r="K9" s="50" t="s">
        <v>39</v>
      </c>
      <c r="L9" s="50">
        <v>16</v>
      </c>
      <c r="M9" s="51">
        <v>46137</v>
      </c>
      <c r="N9" s="59">
        <v>6</v>
      </c>
      <c r="O9" s="52" t="s">
        <v>75</v>
      </c>
      <c r="P9" s="40">
        <v>276822</v>
      </c>
      <c r="Q9" s="41">
        <v>46138.2</v>
      </c>
      <c r="R9" s="41" t="s">
        <v>76</v>
      </c>
    </row>
    <row r="10" spans="2:18" x14ac:dyDescent="0.3">
      <c r="B10" s="36" t="s">
        <v>79</v>
      </c>
      <c r="C10" s="36" t="s">
        <v>80</v>
      </c>
      <c r="D10" s="62">
        <v>250301</v>
      </c>
      <c r="E10" s="63" t="s">
        <v>72</v>
      </c>
      <c r="F10" s="64">
        <v>1211</v>
      </c>
      <c r="G10" s="63" t="s">
        <v>81</v>
      </c>
      <c r="H10" s="64">
        <v>202806</v>
      </c>
      <c r="I10" s="63" t="s">
        <v>39</v>
      </c>
      <c r="J10" s="64">
        <v>1</v>
      </c>
      <c r="K10" s="63" t="s">
        <v>39</v>
      </c>
      <c r="L10" s="63">
        <v>13</v>
      </c>
      <c r="M10" s="65">
        <v>46145</v>
      </c>
      <c r="N10" s="64">
        <v>8</v>
      </c>
      <c r="O10" s="66" t="s">
        <v>75</v>
      </c>
      <c r="P10" s="40">
        <v>369160</v>
      </c>
      <c r="Q10" s="41">
        <v>46139.36363636364</v>
      </c>
      <c r="R10" s="41" t="s">
        <v>86</v>
      </c>
    </row>
    <row r="11" spans="2:18" x14ac:dyDescent="0.3">
      <c r="B11" s="36" t="s">
        <v>87</v>
      </c>
      <c r="C11" s="36" t="s">
        <v>88</v>
      </c>
      <c r="D11" s="60">
        <v>250301</v>
      </c>
      <c r="E11" s="43" t="s">
        <v>72</v>
      </c>
      <c r="F11" s="61">
        <v>1211</v>
      </c>
      <c r="G11" s="43" t="s">
        <v>81</v>
      </c>
      <c r="H11" s="61">
        <v>202806</v>
      </c>
      <c r="I11" s="43" t="s">
        <v>39</v>
      </c>
      <c r="J11" s="61">
        <v>1</v>
      </c>
      <c r="K11" s="43" t="s">
        <v>39</v>
      </c>
      <c r="L11" s="43">
        <v>14</v>
      </c>
      <c r="M11" s="44">
        <v>46145</v>
      </c>
      <c r="N11" s="61">
        <v>3</v>
      </c>
      <c r="O11" s="48" t="s">
        <v>75</v>
      </c>
      <c r="P11" s="40">
        <v>138435</v>
      </c>
      <c r="Q11" s="41">
        <v>46145</v>
      </c>
      <c r="R11" s="41" t="s">
        <v>86</v>
      </c>
    </row>
    <row r="12" spans="2:18" x14ac:dyDescent="0.3">
      <c r="B12" s="36" t="s">
        <v>82</v>
      </c>
      <c r="C12" s="36" t="s">
        <v>83</v>
      </c>
      <c r="D12" s="62">
        <v>250301</v>
      </c>
      <c r="E12" s="63" t="s">
        <v>72</v>
      </c>
      <c r="F12" s="64">
        <v>1211</v>
      </c>
      <c r="G12" s="63" t="s">
        <v>81</v>
      </c>
      <c r="H12" s="64">
        <v>202806</v>
      </c>
      <c r="I12" s="63" t="s">
        <v>39</v>
      </c>
      <c r="J12" s="64">
        <v>1</v>
      </c>
      <c r="K12" s="63" t="s">
        <v>39</v>
      </c>
      <c r="L12" s="63">
        <v>15</v>
      </c>
      <c r="M12" s="65">
        <v>46145</v>
      </c>
      <c r="N12" s="64">
        <v>9</v>
      </c>
      <c r="O12" s="66" t="s">
        <v>75</v>
      </c>
      <c r="P12" s="40">
        <v>415305</v>
      </c>
      <c r="Q12" s="41">
        <v>46139.0625</v>
      </c>
      <c r="R12" s="41" t="s">
        <v>86</v>
      </c>
    </row>
    <row r="13" spans="2:18" x14ac:dyDescent="0.3">
      <c r="B13" s="36" t="s">
        <v>84</v>
      </c>
      <c r="C13" s="36" t="s">
        <v>85</v>
      </c>
      <c r="D13" s="60">
        <v>250301</v>
      </c>
      <c r="E13" s="43" t="s">
        <v>72</v>
      </c>
      <c r="F13" s="61">
        <v>1211</v>
      </c>
      <c r="G13" s="43" t="s">
        <v>81</v>
      </c>
      <c r="H13" s="61">
        <v>202806</v>
      </c>
      <c r="I13" s="43" t="s">
        <v>39</v>
      </c>
      <c r="J13" s="61">
        <v>1</v>
      </c>
      <c r="K13" s="43" t="s">
        <v>39</v>
      </c>
      <c r="L13" s="43">
        <v>16</v>
      </c>
      <c r="M13" s="44">
        <v>46145</v>
      </c>
      <c r="N13" s="61">
        <v>2</v>
      </c>
      <c r="O13" s="48" t="s">
        <v>75</v>
      </c>
      <c r="P13" s="40">
        <v>92290</v>
      </c>
      <c r="Q13" s="41">
        <v>46138.2</v>
      </c>
      <c r="R13" s="41" t="s">
        <v>86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18A6-CBA3-47C8-8211-CEC39CBAE088}">
  <sheetPr filterMode="1"/>
  <dimension ref="B1:T446"/>
  <sheetViews>
    <sheetView workbookViewId="0">
      <selection activeCell="C1" sqref="C1"/>
    </sheetView>
  </sheetViews>
  <sheetFormatPr defaultRowHeight="14.4" x14ac:dyDescent="0.3"/>
  <cols>
    <col min="2" max="2" width="9.6640625" bestFit="1" customWidth="1"/>
    <col min="3" max="3" width="10.88671875" bestFit="1" customWidth="1"/>
    <col min="4" max="4" width="6.33203125" bestFit="1" customWidth="1"/>
    <col min="5" max="5" width="10.5546875" bestFit="1" customWidth="1"/>
    <col min="6" max="7" width="12.33203125" bestFit="1" customWidth="1"/>
    <col min="8" max="8" width="11.109375" bestFit="1" customWidth="1"/>
    <col min="9" max="9" width="31.6640625" bestFit="1" customWidth="1"/>
    <col min="10" max="10" width="5.33203125" hidden="1" customWidth="1"/>
    <col min="11" max="11" width="7.109375" bestFit="1" customWidth="1"/>
    <col min="12" max="12" width="9.6640625" bestFit="1" customWidth="1"/>
    <col min="13" max="13" width="11" bestFit="1" customWidth="1"/>
    <col min="14" max="14" width="8.109375" customWidth="1"/>
    <col min="15" max="15" width="16.6640625" customWidth="1"/>
    <col min="16" max="16" width="15.5546875" customWidth="1"/>
    <col min="17" max="17" width="19.88671875" customWidth="1"/>
    <col min="18" max="19" width="21" customWidth="1"/>
    <col min="20" max="20" width="38.44140625" bestFit="1" customWidth="1"/>
  </cols>
  <sheetData>
    <row r="1" spans="2:20" s="72" customFormat="1" ht="45" customHeight="1" x14ac:dyDescent="0.3">
      <c r="B1" s="68" t="s">
        <v>1</v>
      </c>
      <c r="C1" s="69" t="s">
        <v>15</v>
      </c>
      <c r="D1" s="69" t="s">
        <v>16</v>
      </c>
      <c r="E1" s="69" t="s">
        <v>17</v>
      </c>
      <c r="F1" s="69" t="s">
        <v>18</v>
      </c>
      <c r="G1" s="69" t="s">
        <v>19</v>
      </c>
      <c r="H1" s="69" t="s">
        <v>20</v>
      </c>
      <c r="I1" s="69" t="s">
        <v>21</v>
      </c>
      <c r="J1" s="69" t="s">
        <v>22</v>
      </c>
      <c r="K1" s="69" t="s">
        <v>2</v>
      </c>
      <c r="L1" s="69" t="s">
        <v>23</v>
      </c>
      <c r="M1" s="69" t="s">
        <v>24</v>
      </c>
      <c r="N1" s="69" t="s">
        <v>25</v>
      </c>
      <c r="O1" s="70" t="s">
        <v>26</v>
      </c>
      <c r="P1" s="71" t="s">
        <v>27</v>
      </c>
      <c r="Q1" s="71" t="s">
        <v>89</v>
      </c>
      <c r="R1" s="71" t="s">
        <v>90</v>
      </c>
      <c r="S1" s="68" t="s">
        <v>98</v>
      </c>
      <c r="T1" s="68" t="s">
        <v>97</v>
      </c>
    </row>
    <row r="2" spans="2:20" hidden="1" x14ac:dyDescent="0.3">
      <c r="B2" s="36" t="str">
        <f t="shared" ref="B2:B65" si="0">CONCATENATE(H2,"-",K2)</f>
        <v>208066-1</v>
      </c>
      <c r="C2" s="37">
        <v>1540</v>
      </c>
      <c r="D2" s="38">
        <v>8231</v>
      </c>
      <c r="E2" s="39">
        <v>46082</v>
      </c>
      <c r="F2" s="38">
        <v>3</v>
      </c>
      <c r="G2" s="38" t="s">
        <v>28</v>
      </c>
      <c r="H2" s="38">
        <v>208066</v>
      </c>
      <c r="I2" s="38" t="s">
        <v>52</v>
      </c>
      <c r="J2" s="38">
        <v>1</v>
      </c>
      <c r="K2" s="38">
        <v>1</v>
      </c>
      <c r="L2" s="38">
        <v>71</v>
      </c>
      <c r="M2" s="38" t="s">
        <v>53</v>
      </c>
      <c r="N2" s="38">
        <v>10.71</v>
      </c>
      <c r="O2" s="40">
        <f t="shared" ref="O2:O65" si="1">IFERROR(E2*N2,"")</f>
        <v>493538.22000000003</v>
      </c>
      <c r="P2" s="41">
        <f t="shared" ref="P2:P65" si="2">IFERROR(SUMIFS(O:O,B:B,B2)/SUMIFS(N:N,B:B,B2),"")</f>
        <v>46082</v>
      </c>
      <c r="Q2" s="67">
        <f ca="1">TODAY()-E2</f>
        <v>81</v>
      </c>
      <c r="R2" s="67">
        <f ca="1">TODAY()-P2</f>
        <v>81</v>
      </c>
      <c r="S2" s="78">
        <f t="shared" ref="S2:S65" si="3">SUMIFS(N:N,B:B,B2,M:M,M2)/SUMIFS(N:N,B:B,B2)</f>
        <v>1</v>
      </c>
      <c r="T2" s="79" t="str">
        <f t="shared" ref="T2:T15" si="4">_xlfn.XLOOKUP(_xlfn.MAXIFS(S:S,H:H,H2,K:K,K2),S:S,M:M)</f>
        <v>CTC 9008</v>
      </c>
    </row>
    <row r="3" spans="2:20" hidden="1" x14ac:dyDescent="0.3">
      <c r="B3" s="36" t="str">
        <f t="shared" si="0"/>
        <v>208066-3</v>
      </c>
      <c r="C3" s="42">
        <v>1541</v>
      </c>
      <c r="D3" s="43">
        <v>8231</v>
      </c>
      <c r="E3" s="44">
        <v>46082</v>
      </c>
      <c r="F3" s="43">
        <v>3</v>
      </c>
      <c r="G3" s="43" t="s">
        <v>28</v>
      </c>
      <c r="H3" s="43">
        <v>208066</v>
      </c>
      <c r="I3" s="43" t="s">
        <v>52</v>
      </c>
      <c r="J3" s="43">
        <v>1</v>
      </c>
      <c r="K3" s="43">
        <v>3</v>
      </c>
      <c r="L3" s="43">
        <v>71</v>
      </c>
      <c r="M3" s="43" t="s">
        <v>53</v>
      </c>
      <c r="N3" s="43">
        <v>4</v>
      </c>
      <c r="O3" s="40">
        <f t="shared" si="1"/>
        <v>184328</v>
      </c>
      <c r="P3" s="41">
        <f t="shared" si="2"/>
        <v>46082</v>
      </c>
      <c r="Q3" s="67">
        <f t="shared" ref="Q3:Q66" ca="1" si="5">TODAY()-E3</f>
        <v>81</v>
      </c>
      <c r="R3" s="67">
        <f t="shared" ref="R3:R66" ca="1" si="6">TODAY()-P3</f>
        <v>81</v>
      </c>
      <c r="S3" s="78">
        <f t="shared" si="3"/>
        <v>1</v>
      </c>
      <c r="T3" s="79" t="str">
        <f t="shared" si="4"/>
        <v>CTC 9008</v>
      </c>
    </row>
    <row r="4" spans="2:20" hidden="1" x14ac:dyDescent="0.3">
      <c r="B4" s="36" t="str">
        <f t="shared" si="0"/>
        <v>202806-14</v>
      </c>
      <c r="C4" s="42">
        <v>1542</v>
      </c>
      <c r="D4" s="43">
        <v>8266</v>
      </c>
      <c r="E4" s="44">
        <v>46082</v>
      </c>
      <c r="F4" s="43">
        <v>3</v>
      </c>
      <c r="G4" s="43" t="s">
        <v>28</v>
      </c>
      <c r="H4" s="43">
        <v>202806</v>
      </c>
      <c r="I4" s="43" t="s">
        <v>39</v>
      </c>
      <c r="J4" s="43">
        <v>1</v>
      </c>
      <c r="K4" s="43">
        <v>14</v>
      </c>
      <c r="L4" s="43">
        <v>70</v>
      </c>
      <c r="M4" s="43" t="s">
        <v>40</v>
      </c>
      <c r="N4" s="43">
        <v>14.1</v>
      </c>
      <c r="O4" s="40">
        <f t="shared" si="1"/>
        <v>649756.19999999995</v>
      </c>
      <c r="P4" s="41">
        <f t="shared" si="2"/>
        <v>46082.903884320949</v>
      </c>
      <c r="Q4" s="67">
        <f t="shared" ca="1" si="5"/>
        <v>81</v>
      </c>
      <c r="R4" s="67">
        <f t="shared" ca="1" si="6"/>
        <v>80.096115679050854</v>
      </c>
      <c r="S4" s="78">
        <f t="shared" si="3"/>
        <v>0.69634250070881765</v>
      </c>
      <c r="T4" s="79" t="str">
        <f t="shared" si="4"/>
        <v>CTC 3445</v>
      </c>
    </row>
    <row r="5" spans="2:20" hidden="1" x14ac:dyDescent="0.3">
      <c r="B5" s="36" t="str">
        <f t="shared" si="0"/>
        <v>202806-15</v>
      </c>
      <c r="C5" s="42">
        <v>1543</v>
      </c>
      <c r="D5" s="43">
        <v>8266</v>
      </c>
      <c r="E5" s="44">
        <v>46082</v>
      </c>
      <c r="F5" s="43">
        <v>3</v>
      </c>
      <c r="G5" s="43" t="s">
        <v>28</v>
      </c>
      <c r="H5" s="43">
        <v>202806</v>
      </c>
      <c r="I5" s="43" t="s">
        <v>39</v>
      </c>
      <c r="J5" s="43">
        <v>1</v>
      </c>
      <c r="K5" s="43">
        <v>15</v>
      </c>
      <c r="L5" s="43">
        <v>70</v>
      </c>
      <c r="M5" s="43" t="s">
        <v>40</v>
      </c>
      <c r="N5" s="43">
        <v>9</v>
      </c>
      <c r="O5" s="40">
        <f t="shared" si="1"/>
        <v>414738</v>
      </c>
      <c r="P5" s="41">
        <f t="shared" si="2"/>
        <v>46083.191054009039</v>
      </c>
      <c r="Q5" s="67">
        <f t="shared" ca="1" si="5"/>
        <v>81</v>
      </c>
      <c r="R5" s="67">
        <f t="shared" ca="1" si="6"/>
        <v>79.808945990960638</v>
      </c>
      <c r="S5" s="78">
        <f t="shared" si="3"/>
        <v>0.59481322864620512</v>
      </c>
      <c r="T5" s="79" t="str">
        <f t="shared" si="4"/>
        <v>CTC 3445</v>
      </c>
    </row>
    <row r="6" spans="2:20" hidden="1" x14ac:dyDescent="0.3">
      <c r="B6" s="36" t="str">
        <f t="shared" si="0"/>
        <v>202806-14</v>
      </c>
      <c r="C6" s="42">
        <v>1544</v>
      </c>
      <c r="D6" s="43">
        <v>8266</v>
      </c>
      <c r="E6" s="44">
        <v>46083</v>
      </c>
      <c r="F6" s="43">
        <v>3</v>
      </c>
      <c r="G6" s="43" t="s">
        <v>28</v>
      </c>
      <c r="H6" s="43">
        <v>202806</v>
      </c>
      <c r="I6" s="43" t="s">
        <v>39</v>
      </c>
      <c r="J6" s="43">
        <v>1</v>
      </c>
      <c r="K6" s="43">
        <v>14</v>
      </c>
      <c r="L6" s="43">
        <v>70</v>
      </c>
      <c r="M6" s="43" t="s">
        <v>40</v>
      </c>
      <c r="N6" s="43">
        <v>10.46</v>
      </c>
      <c r="O6" s="40">
        <f t="shared" si="1"/>
        <v>482028.18000000005</v>
      </c>
      <c r="P6" s="41">
        <f t="shared" si="2"/>
        <v>46082.903884320949</v>
      </c>
      <c r="Q6" s="67">
        <f t="shared" ca="1" si="5"/>
        <v>80</v>
      </c>
      <c r="R6" s="67">
        <f t="shared" ca="1" si="6"/>
        <v>80.096115679050854</v>
      </c>
      <c r="S6" s="78">
        <f t="shared" si="3"/>
        <v>0.69634250070881765</v>
      </c>
      <c r="T6" s="79" t="str">
        <f t="shared" si="4"/>
        <v>CTC 3445</v>
      </c>
    </row>
    <row r="7" spans="2:20" hidden="1" x14ac:dyDescent="0.3">
      <c r="B7" s="36" t="str">
        <f t="shared" si="0"/>
        <v>202806-15</v>
      </c>
      <c r="C7" s="42">
        <v>1545</v>
      </c>
      <c r="D7" s="43">
        <v>8266</v>
      </c>
      <c r="E7" s="44">
        <v>46083</v>
      </c>
      <c r="F7" s="43">
        <v>3</v>
      </c>
      <c r="G7" s="43" t="s">
        <v>28</v>
      </c>
      <c r="H7" s="43">
        <v>202806</v>
      </c>
      <c r="I7" s="43" t="s">
        <v>39</v>
      </c>
      <c r="J7" s="43">
        <v>1</v>
      </c>
      <c r="K7" s="43">
        <v>15</v>
      </c>
      <c r="L7" s="43">
        <v>70</v>
      </c>
      <c r="M7" s="43" t="s">
        <v>40</v>
      </c>
      <c r="N7" s="43">
        <v>16</v>
      </c>
      <c r="O7" s="40">
        <f t="shared" si="1"/>
        <v>737328</v>
      </c>
      <c r="P7" s="41">
        <f t="shared" si="2"/>
        <v>46083.191054009039</v>
      </c>
      <c r="Q7" s="67">
        <f t="shared" ca="1" si="5"/>
        <v>80</v>
      </c>
      <c r="R7" s="67">
        <f t="shared" ca="1" si="6"/>
        <v>79.808945990960638</v>
      </c>
      <c r="S7" s="78">
        <f t="shared" si="3"/>
        <v>0.59481322864620512</v>
      </c>
      <c r="T7" s="79" t="str">
        <f t="shared" si="4"/>
        <v>CTC 3445</v>
      </c>
    </row>
    <row r="8" spans="2:20" hidden="1" x14ac:dyDescent="0.3">
      <c r="B8" s="36" t="str">
        <f t="shared" si="0"/>
        <v>202806-14</v>
      </c>
      <c r="C8" s="42">
        <v>1546</v>
      </c>
      <c r="D8" s="43">
        <v>8266</v>
      </c>
      <c r="E8" s="44">
        <v>46084</v>
      </c>
      <c r="F8" s="43">
        <v>3</v>
      </c>
      <c r="G8" s="43" t="s">
        <v>28</v>
      </c>
      <c r="H8" s="43">
        <v>202806</v>
      </c>
      <c r="I8" s="43" t="s">
        <v>39</v>
      </c>
      <c r="J8" s="43">
        <v>1</v>
      </c>
      <c r="K8" s="43">
        <v>14</v>
      </c>
      <c r="L8" s="43">
        <v>57</v>
      </c>
      <c r="M8" s="43" t="s">
        <v>41</v>
      </c>
      <c r="N8" s="43">
        <v>10.71</v>
      </c>
      <c r="O8" s="40">
        <f t="shared" si="1"/>
        <v>493559.64</v>
      </c>
      <c r="P8" s="41">
        <f t="shared" si="2"/>
        <v>46082.903884320949</v>
      </c>
      <c r="Q8" s="67">
        <f t="shared" ca="1" si="5"/>
        <v>79</v>
      </c>
      <c r="R8" s="67">
        <f t="shared" ca="1" si="6"/>
        <v>80.096115679050854</v>
      </c>
      <c r="S8" s="78">
        <f t="shared" si="3"/>
        <v>0.3036574992911823</v>
      </c>
      <c r="T8" s="79" t="str">
        <f t="shared" si="4"/>
        <v>CTC 3445</v>
      </c>
    </row>
    <row r="9" spans="2:20" hidden="1" x14ac:dyDescent="0.3">
      <c r="B9" s="36" t="str">
        <f t="shared" si="0"/>
        <v>202806-15</v>
      </c>
      <c r="C9" s="42">
        <v>1547</v>
      </c>
      <c r="D9" s="43">
        <v>8266</v>
      </c>
      <c r="E9" s="44">
        <v>46084</v>
      </c>
      <c r="F9" s="43">
        <v>3</v>
      </c>
      <c r="G9" s="43" t="s">
        <v>28</v>
      </c>
      <c r="H9" s="43">
        <v>202806</v>
      </c>
      <c r="I9" s="43" t="s">
        <v>39</v>
      </c>
      <c r="J9" s="43">
        <v>1</v>
      </c>
      <c r="K9" s="43">
        <v>15</v>
      </c>
      <c r="L9" s="43">
        <v>57</v>
      </c>
      <c r="M9" s="43" t="s">
        <v>41</v>
      </c>
      <c r="N9" s="43">
        <v>17.03</v>
      </c>
      <c r="O9" s="40">
        <f t="shared" si="1"/>
        <v>784810.52</v>
      </c>
      <c r="P9" s="41">
        <f t="shared" si="2"/>
        <v>46083.191054009039</v>
      </c>
      <c r="Q9" s="67">
        <f t="shared" ca="1" si="5"/>
        <v>79</v>
      </c>
      <c r="R9" s="67">
        <f t="shared" ca="1" si="6"/>
        <v>79.808945990960638</v>
      </c>
      <c r="S9" s="78">
        <f t="shared" si="3"/>
        <v>0.40518677135379494</v>
      </c>
      <c r="T9" s="79" t="str">
        <f t="shared" si="4"/>
        <v>CTC 3445</v>
      </c>
    </row>
    <row r="10" spans="2:20" hidden="1" x14ac:dyDescent="0.3">
      <c r="B10" s="36" t="str">
        <f t="shared" si="0"/>
        <v>202806-16</v>
      </c>
      <c r="C10" s="42">
        <v>1548</v>
      </c>
      <c r="D10" s="43">
        <v>8266</v>
      </c>
      <c r="E10" s="44">
        <v>46084</v>
      </c>
      <c r="F10" s="43">
        <v>3</v>
      </c>
      <c r="G10" s="43" t="s">
        <v>28</v>
      </c>
      <c r="H10" s="43">
        <v>202806</v>
      </c>
      <c r="I10" s="43" t="s">
        <v>39</v>
      </c>
      <c r="J10" s="43">
        <v>1</v>
      </c>
      <c r="K10" s="43">
        <v>16</v>
      </c>
      <c r="L10" s="43">
        <v>57</v>
      </c>
      <c r="M10" s="43" t="s">
        <v>41</v>
      </c>
      <c r="N10" s="43">
        <v>3.97</v>
      </c>
      <c r="O10" s="40">
        <f t="shared" si="1"/>
        <v>182953.48</v>
      </c>
      <c r="P10" s="41">
        <f t="shared" si="2"/>
        <v>46087.197987421379</v>
      </c>
      <c r="Q10" s="67">
        <f t="shared" ca="1" si="5"/>
        <v>79</v>
      </c>
      <c r="R10" s="67">
        <f t="shared" ca="1" si="6"/>
        <v>75.802012578620634</v>
      </c>
      <c r="S10" s="78">
        <f t="shared" si="3"/>
        <v>9.9874213836477987E-2</v>
      </c>
      <c r="T10" s="79" t="str">
        <f t="shared" si="4"/>
        <v>RB97 5242</v>
      </c>
    </row>
    <row r="11" spans="2:20" hidden="1" x14ac:dyDescent="0.3">
      <c r="B11" s="36" t="str">
        <f t="shared" si="0"/>
        <v>202806-13</v>
      </c>
      <c r="C11" s="42">
        <v>1549</v>
      </c>
      <c r="D11" s="43">
        <v>8277</v>
      </c>
      <c r="E11" s="44">
        <v>46085</v>
      </c>
      <c r="F11" s="43">
        <v>3</v>
      </c>
      <c r="G11" s="43" t="s">
        <v>28</v>
      </c>
      <c r="H11" s="43">
        <v>202806</v>
      </c>
      <c r="I11" s="43" t="s">
        <v>39</v>
      </c>
      <c r="J11" s="43">
        <v>1</v>
      </c>
      <c r="K11" s="43">
        <v>13</v>
      </c>
      <c r="L11" s="43">
        <v>4</v>
      </c>
      <c r="M11" s="43" t="s">
        <v>32</v>
      </c>
      <c r="N11" s="43">
        <v>21.95</v>
      </c>
      <c r="O11" s="40">
        <f t="shared" si="1"/>
        <v>1011565.75</v>
      </c>
      <c r="P11" s="41">
        <f t="shared" si="2"/>
        <v>46085.380818053593</v>
      </c>
      <c r="Q11" s="67">
        <f t="shared" ca="1" si="5"/>
        <v>78</v>
      </c>
      <c r="R11" s="67">
        <f t="shared" ca="1" si="6"/>
        <v>77.61918194640748</v>
      </c>
      <c r="S11" s="78">
        <f t="shared" si="3"/>
        <v>1</v>
      </c>
      <c r="T11" s="79" t="str">
        <f t="shared" si="4"/>
        <v>CTC 9008</v>
      </c>
    </row>
    <row r="12" spans="2:20" hidden="1" x14ac:dyDescent="0.3">
      <c r="B12" s="36" t="str">
        <f t="shared" si="0"/>
        <v>202806-13</v>
      </c>
      <c r="C12" s="42">
        <v>1550</v>
      </c>
      <c r="D12" s="43">
        <v>8277</v>
      </c>
      <c r="E12" s="44">
        <v>46086</v>
      </c>
      <c r="F12" s="43">
        <v>3</v>
      </c>
      <c r="G12" s="43" t="s">
        <v>28</v>
      </c>
      <c r="H12" s="43">
        <v>202806</v>
      </c>
      <c r="I12" s="43" t="s">
        <v>39</v>
      </c>
      <c r="J12" s="43">
        <v>1</v>
      </c>
      <c r="K12" s="43">
        <v>13</v>
      </c>
      <c r="L12" s="43">
        <v>4</v>
      </c>
      <c r="M12" s="43" t="s">
        <v>32</v>
      </c>
      <c r="N12" s="43">
        <v>13.5</v>
      </c>
      <c r="O12" s="40">
        <f t="shared" si="1"/>
        <v>622161</v>
      </c>
      <c r="P12" s="41">
        <f t="shared" si="2"/>
        <v>46085.380818053593</v>
      </c>
      <c r="Q12" s="67">
        <f t="shared" ca="1" si="5"/>
        <v>77</v>
      </c>
      <c r="R12" s="67">
        <f t="shared" ca="1" si="6"/>
        <v>77.61918194640748</v>
      </c>
      <c r="S12" s="78">
        <f t="shared" si="3"/>
        <v>1</v>
      </c>
      <c r="T12" s="79" t="str">
        <f t="shared" si="4"/>
        <v>CTC 9008</v>
      </c>
    </row>
    <row r="13" spans="2:20" hidden="1" x14ac:dyDescent="0.3">
      <c r="B13" s="36" t="str">
        <f t="shared" si="0"/>
        <v>202806-16</v>
      </c>
      <c r="C13" s="42">
        <v>1551</v>
      </c>
      <c r="D13" s="43">
        <v>8266</v>
      </c>
      <c r="E13" s="44">
        <v>46086</v>
      </c>
      <c r="F13" s="43">
        <v>3</v>
      </c>
      <c r="G13" s="43" t="s">
        <v>28</v>
      </c>
      <c r="H13" s="43">
        <v>202806</v>
      </c>
      <c r="I13" s="43" t="s">
        <v>39</v>
      </c>
      <c r="J13" s="43">
        <v>1</v>
      </c>
      <c r="K13" s="43">
        <v>16</v>
      </c>
      <c r="L13" s="43">
        <v>4</v>
      </c>
      <c r="M13" s="43" t="s">
        <v>32</v>
      </c>
      <c r="N13" s="43">
        <v>10.7</v>
      </c>
      <c r="O13" s="40">
        <f t="shared" si="1"/>
        <v>493120.19999999995</v>
      </c>
      <c r="P13" s="41">
        <f t="shared" si="2"/>
        <v>46087.197987421379</v>
      </c>
      <c r="Q13" s="67">
        <f t="shared" ca="1" si="5"/>
        <v>77</v>
      </c>
      <c r="R13" s="67">
        <f t="shared" ca="1" si="6"/>
        <v>75.802012578620634</v>
      </c>
      <c r="S13" s="78">
        <f t="shared" si="3"/>
        <v>0.90012578616352201</v>
      </c>
      <c r="T13" s="79" t="str">
        <f t="shared" si="4"/>
        <v>RB97 5242</v>
      </c>
    </row>
    <row r="14" spans="2:20" hidden="1" x14ac:dyDescent="0.3">
      <c r="B14" s="36" t="str">
        <f t="shared" si="0"/>
        <v>202806-16</v>
      </c>
      <c r="C14" s="42">
        <v>1552</v>
      </c>
      <c r="D14" s="43">
        <v>8266</v>
      </c>
      <c r="E14" s="44">
        <v>46087</v>
      </c>
      <c r="F14" s="43">
        <v>3</v>
      </c>
      <c r="G14" s="43" t="s">
        <v>28</v>
      </c>
      <c r="H14" s="43">
        <v>202806</v>
      </c>
      <c r="I14" s="43" t="s">
        <v>39</v>
      </c>
      <c r="J14" s="43">
        <v>1</v>
      </c>
      <c r="K14" s="43">
        <v>16</v>
      </c>
      <c r="L14" s="43">
        <v>4</v>
      </c>
      <c r="M14" s="43" t="s">
        <v>32</v>
      </c>
      <c r="N14" s="43">
        <v>20</v>
      </c>
      <c r="O14" s="40">
        <f t="shared" si="1"/>
        <v>921740</v>
      </c>
      <c r="P14" s="41">
        <f t="shared" si="2"/>
        <v>46087.197987421379</v>
      </c>
      <c r="Q14" s="67">
        <f t="shared" ca="1" si="5"/>
        <v>76</v>
      </c>
      <c r="R14" s="67">
        <f t="shared" ca="1" si="6"/>
        <v>75.802012578620634</v>
      </c>
      <c r="S14" s="78">
        <f t="shared" si="3"/>
        <v>0.90012578616352201</v>
      </c>
      <c r="T14" s="79" t="str">
        <f t="shared" si="4"/>
        <v>RB97 5242</v>
      </c>
    </row>
    <row r="15" spans="2:20" hidden="1" x14ac:dyDescent="0.3">
      <c r="B15" s="36" t="str">
        <f t="shared" si="0"/>
        <v>202806-12</v>
      </c>
      <c r="C15" s="42">
        <v>1553</v>
      </c>
      <c r="D15" s="43">
        <v>8277</v>
      </c>
      <c r="E15" s="44">
        <v>46087</v>
      </c>
      <c r="F15" s="43">
        <v>3</v>
      </c>
      <c r="G15" s="43" t="s">
        <v>28</v>
      </c>
      <c r="H15" s="43">
        <v>202806</v>
      </c>
      <c r="I15" s="43" t="s">
        <v>39</v>
      </c>
      <c r="J15" s="43">
        <v>1</v>
      </c>
      <c r="K15" s="43">
        <v>12</v>
      </c>
      <c r="L15" s="43">
        <v>4</v>
      </c>
      <c r="M15" s="43" t="s">
        <v>32</v>
      </c>
      <c r="N15" s="43">
        <v>4.92</v>
      </c>
      <c r="O15" s="40">
        <f t="shared" si="1"/>
        <v>226748.04</v>
      </c>
      <c r="P15" s="41">
        <f t="shared" si="2"/>
        <v>46088.521166666658</v>
      </c>
      <c r="Q15" s="67">
        <f t="shared" ca="1" si="5"/>
        <v>76</v>
      </c>
      <c r="R15" s="67">
        <f t="shared" ca="1" si="6"/>
        <v>74.478833333341754</v>
      </c>
      <c r="S15" s="78">
        <f t="shared" si="3"/>
        <v>1</v>
      </c>
      <c r="T15" s="79" t="str">
        <f t="shared" si="4"/>
        <v>CTC 9008</v>
      </c>
    </row>
    <row r="16" spans="2:20" hidden="1" x14ac:dyDescent="0.3">
      <c r="B16" s="36" t="str">
        <f t="shared" si="0"/>
        <v>202806-12</v>
      </c>
      <c r="C16" s="42">
        <v>1554</v>
      </c>
      <c r="D16" s="43">
        <v>8277</v>
      </c>
      <c r="E16" s="44">
        <v>46088</v>
      </c>
      <c r="F16" s="43">
        <v>3</v>
      </c>
      <c r="G16" s="43" t="s">
        <v>28</v>
      </c>
      <c r="H16" s="43">
        <v>202806</v>
      </c>
      <c r="I16" s="43" t="s">
        <v>39</v>
      </c>
      <c r="J16" s="43">
        <v>1</v>
      </c>
      <c r="K16" s="43">
        <v>12</v>
      </c>
      <c r="L16" s="43">
        <v>4</v>
      </c>
      <c r="M16" s="43" t="s">
        <v>32</v>
      </c>
      <c r="N16" s="43">
        <v>25.64</v>
      </c>
      <c r="O16" s="40">
        <f t="shared" si="1"/>
        <v>1181696.32</v>
      </c>
      <c r="P16" s="41">
        <f t="shared" si="2"/>
        <v>46088.521166666658</v>
      </c>
      <c r="Q16" s="67">
        <f t="shared" ca="1" si="5"/>
        <v>75</v>
      </c>
      <c r="R16" s="67">
        <f t="shared" ca="1" si="6"/>
        <v>74.478833333341754</v>
      </c>
      <c r="S16" s="78">
        <f t="shared" si="3"/>
        <v>1</v>
      </c>
      <c r="T16" s="79" t="str">
        <f>_xlfn.XLOOKUP(_xlfn.MAXIFS(S:S,H:H,H16,K:K,K16),S:S,M:M)</f>
        <v>CTC 9008</v>
      </c>
    </row>
    <row r="17" spans="2:20" hidden="1" x14ac:dyDescent="0.3">
      <c r="B17" s="36" t="str">
        <f t="shared" si="0"/>
        <v>202806-12</v>
      </c>
      <c r="C17" s="42">
        <v>1555</v>
      </c>
      <c r="D17" s="43">
        <v>8277</v>
      </c>
      <c r="E17" s="44">
        <v>46089</v>
      </c>
      <c r="F17" s="43">
        <v>3</v>
      </c>
      <c r="G17" s="43" t="s">
        <v>28</v>
      </c>
      <c r="H17" s="43">
        <v>202806</v>
      </c>
      <c r="I17" s="43" t="s">
        <v>39</v>
      </c>
      <c r="J17" s="43">
        <v>1</v>
      </c>
      <c r="K17" s="43">
        <v>12</v>
      </c>
      <c r="L17" s="43">
        <v>4</v>
      </c>
      <c r="M17" s="43" t="s">
        <v>32</v>
      </c>
      <c r="N17" s="43">
        <v>29.17</v>
      </c>
      <c r="O17" s="40">
        <f t="shared" si="1"/>
        <v>1344416.1300000001</v>
      </c>
      <c r="P17" s="41">
        <f t="shared" si="2"/>
        <v>46088.521166666658</v>
      </c>
      <c r="Q17" s="67">
        <f t="shared" ca="1" si="5"/>
        <v>74</v>
      </c>
      <c r="R17" s="67">
        <f t="shared" ca="1" si="6"/>
        <v>74.478833333341754</v>
      </c>
      <c r="S17" s="78">
        <f t="shared" si="3"/>
        <v>1</v>
      </c>
      <c r="T17" s="79" t="str">
        <f t="shared" ref="T17:T80" si="7">_xlfn.XLOOKUP(_xlfn.MAXIFS(S:S,H:H,H17,K:K,K17),S:S,M:M)</f>
        <v>CTC 9008</v>
      </c>
    </row>
    <row r="18" spans="2:20" hidden="1" x14ac:dyDescent="0.3">
      <c r="B18" s="36" t="str">
        <f t="shared" si="0"/>
        <v>202806-16</v>
      </c>
      <c r="C18" s="42">
        <v>1557</v>
      </c>
      <c r="D18" s="43">
        <v>8266</v>
      </c>
      <c r="E18" s="44">
        <v>46093</v>
      </c>
      <c r="F18" s="43">
        <v>3</v>
      </c>
      <c r="G18" s="43" t="s">
        <v>28</v>
      </c>
      <c r="H18" s="43">
        <v>202806</v>
      </c>
      <c r="I18" s="43" t="s">
        <v>39</v>
      </c>
      <c r="J18" s="43">
        <v>1</v>
      </c>
      <c r="K18" s="43">
        <v>16</v>
      </c>
      <c r="L18" s="43">
        <v>4</v>
      </c>
      <c r="M18" s="43" t="s">
        <v>32</v>
      </c>
      <c r="N18" s="43">
        <v>5.08</v>
      </c>
      <c r="O18" s="40">
        <f t="shared" si="1"/>
        <v>234152.44</v>
      </c>
      <c r="P18" s="41">
        <f t="shared" si="2"/>
        <v>46087.197987421379</v>
      </c>
      <c r="Q18" s="67">
        <f t="shared" ca="1" si="5"/>
        <v>70</v>
      </c>
      <c r="R18" s="67">
        <f t="shared" ca="1" si="6"/>
        <v>75.802012578620634</v>
      </c>
      <c r="S18" s="78">
        <f t="shared" si="3"/>
        <v>0.90012578616352201</v>
      </c>
      <c r="T18" s="79" t="str">
        <f t="shared" si="7"/>
        <v>RB97 5242</v>
      </c>
    </row>
    <row r="19" spans="2:20" hidden="1" x14ac:dyDescent="0.3">
      <c r="B19" s="36" t="str">
        <f t="shared" si="0"/>
        <v>202806-11</v>
      </c>
      <c r="C19" s="42">
        <v>1558</v>
      </c>
      <c r="D19" s="43">
        <v>8300</v>
      </c>
      <c r="E19" s="44">
        <v>46096</v>
      </c>
      <c r="F19" s="43">
        <v>3</v>
      </c>
      <c r="G19" s="43" t="s">
        <v>28</v>
      </c>
      <c r="H19" s="43">
        <v>202806</v>
      </c>
      <c r="I19" s="43" t="s">
        <v>39</v>
      </c>
      <c r="J19" s="43">
        <v>1</v>
      </c>
      <c r="K19" s="43">
        <v>11</v>
      </c>
      <c r="L19" s="43">
        <v>4</v>
      </c>
      <c r="M19" s="43" t="s">
        <v>32</v>
      </c>
      <c r="N19" s="43">
        <v>5.0199999999999996</v>
      </c>
      <c r="O19" s="40">
        <f t="shared" si="1"/>
        <v>231401.91999999998</v>
      </c>
      <c r="P19" s="41">
        <f t="shared" si="2"/>
        <v>46112.174029965427</v>
      </c>
      <c r="Q19" s="67">
        <f t="shared" ca="1" si="5"/>
        <v>67</v>
      </c>
      <c r="R19" s="67">
        <f t="shared" ca="1" si="6"/>
        <v>50.825970034573402</v>
      </c>
      <c r="S19" s="78">
        <f t="shared" si="3"/>
        <v>1</v>
      </c>
      <c r="T19" s="79" t="str">
        <f t="shared" si="7"/>
        <v>CTC 9008</v>
      </c>
    </row>
    <row r="20" spans="2:20" hidden="1" x14ac:dyDescent="0.3">
      <c r="B20" s="36" t="str">
        <f t="shared" si="0"/>
        <v>202806-17</v>
      </c>
      <c r="C20" s="42">
        <v>1559</v>
      </c>
      <c r="D20" s="43">
        <v>8300</v>
      </c>
      <c r="E20" s="44">
        <v>46096</v>
      </c>
      <c r="F20" s="43">
        <v>3</v>
      </c>
      <c r="G20" s="43" t="s">
        <v>28</v>
      </c>
      <c r="H20" s="43">
        <v>202806</v>
      </c>
      <c r="I20" s="43" t="s">
        <v>39</v>
      </c>
      <c r="J20" s="43">
        <v>1</v>
      </c>
      <c r="K20" s="43">
        <v>17</v>
      </c>
      <c r="L20" s="43">
        <v>4</v>
      </c>
      <c r="M20" s="43" t="s">
        <v>32</v>
      </c>
      <c r="N20" s="43">
        <v>5.0999999999999996</v>
      </c>
      <c r="O20" s="40">
        <f t="shared" si="1"/>
        <v>235089.59999999998</v>
      </c>
      <c r="P20" s="41">
        <f t="shared" si="2"/>
        <v>46110.723461939524</v>
      </c>
      <c r="Q20" s="67">
        <f t="shared" ca="1" si="5"/>
        <v>67</v>
      </c>
      <c r="R20" s="67">
        <f t="shared" ca="1" si="6"/>
        <v>52.276538060476014</v>
      </c>
      <c r="S20" s="78">
        <f t="shared" si="3"/>
        <v>1</v>
      </c>
      <c r="T20" s="79" t="str">
        <f t="shared" si="7"/>
        <v>CTC 9008</v>
      </c>
    </row>
    <row r="21" spans="2:20" hidden="1" x14ac:dyDescent="0.3">
      <c r="B21" s="36" t="str">
        <f t="shared" si="0"/>
        <v>202806-11</v>
      </c>
      <c r="C21" s="42">
        <v>1560</v>
      </c>
      <c r="D21" s="43">
        <v>8300</v>
      </c>
      <c r="E21" s="44">
        <v>46097</v>
      </c>
      <c r="F21" s="43">
        <v>3</v>
      </c>
      <c r="G21" s="43" t="s">
        <v>28</v>
      </c>
      <c r="H21" s="43">
        <v>202806</v>
      </c>
      <c r="I21" s="43" t="s">
        <v>39</v>
      </c>
      <c r="J21" s="43">
        <v>1</v>
      </c>
      <c r="K21" s="43">
        <v>11</v>
      </c>
      <c r="L21" s="43">
        <v>4</v>
      </c>
      <c r="M21" s="43" t="s">
        <v>32</v>
      </c>
      <c r="N21" s="43">
        <v>4</v>
      </c>
      <c r="O21" s="40">
        <f t="shared" si="1"/>
        <v>184388</v>
      </c>
      <c r="P21" s="41">
        <f t="shared" si="2"/>
        <v>46112.174029965427</v>
      </c>
      <c r="Q21" s="67">
        <f t="shared" ca="1" si="5"/>
        <v>66</v>
      </c>
      <c r="R21" s="67">
        <f t="shared" ca="1" si="6"/>
        <v>50.825970034573402</v>
      </c>
      <c r="S21" s="78">
        <f t="shared" si="3"/>
        <v>1</v>
      </c>
      <c r="T21" s="79" t="str">
        <f t="shared" si="7"/>
        <v>CTC 9008</v>
      </c>
    </row>
    <row r="22" spans="2:20" hidden="1" x14ac:dyDescent="0.3">
      <c r="B22" s="36" t="str">
        <f t="shared" si="0"/>
        <v>202806-17</v>
      </c>
      <c r="C22" s="42">
        <v>1561</v>
      </c>
      <c r="D22" s="43">
        <v>8300</v>
      </c>
      <c r="E22" s="44">
        <v>46097</v>
      </c>
      <c r="F22" s="43">
        <v>3</v>
      </c>
      <c r="G22" s="43" t="s">
        <v>28</v>
      </c>
      <c r="H22" s="43">
        <v>202806</v>
      </c>
      <c r="I22" s="43" t="s">
        <v>39</v>
      </c>
      <c r="J22" s="43">
        <v>1</v>
      </c>
      <c r="K22" s="43">
        <v>17</v>
      </c>
      <c r="L22" s="43">
        <v>4</v>
      </c>
      <c r="M22" s="43" t="s">
        <v>32</v>
      </c>
      <c r="N22" s="43">
        <v>10.65</v>
      </c>
      <c r="O22" s="40">
        <f t="shared" si="1"/>
        <v>490933.05</v>
      </c>
      <c r="P22" s="41">
        <f t="shared" si="2"/>
        <v>46110.723461939524</v>
      </c>
      <c r="Q22" s="67">
        <f t="shared" ca="1" si="5"/>
        <v>66</v>
      </c>
      <c r="R22" s="67">
        <f t="shared" ca="1" si="6"/>
        <v>52.276538060476014</v>
      </c>
      <c r="S22" s="78">
        <f t="shared" si="3"/>
        <v>1</v>
      </c>
      <c r="T22" s="79" t="str">
        <f t="shared" si="7"/>
        <v>CTC 9008</v>
      </c>
    </row>
    <row r="23" spans="2:20" hidden="1" x14ac:dyDescent="0.3">
      <c r="B23" s="36" t="str">
        <f t="shared" si="0"/>
        <v>208097-7</v>
      </c>
      <c r="C23" s="42">
        <v>1562</v>
      </c>
      <c r="D23" s="43">
        <v>8349</v>
      </c>
      <c r="E23" s="44">
        <v>46097</v>
      </c>
      <c r="F23" s="43">
        <v>3</v>
      </c>
      <c r="G23" s="43" t="s">
        <v>28</v>
      </c>
      <c r="H23" s="43">
        <v>208097</v>
      </c>
      <c r="I23" s="43" t="s">
        <v>54</v>
      </c>
      <c r="J23" s="43">
        <v>1</v>
      </c>
      <c r="K23" s="43">
        <v>7</v>
      </c>
      <c r="L23" s="43">
        <v>4</v>
      </c>
      <c r="M23" s="43" t="s">
        <v>32</v>
      </c>
      <c r="N23" s="43">
        <v>19.329999999999998</v>
      </c>
      <c r="O23" s="40">
        <f t="shared" si="1"/>
        <v>891055.00999999989</v>
      </c>
      <c r="P23" s="41">
        <f t="shared" si="2"/>
        <v>46097.860178384042</v>
      </c>
      <c r="Q23" s="67">
        <f t="shared" ca="1" si="5"/>
        <v>66</v>
      </c>
      <c r="R23" s="67">
        <f t="shared" ca="1" si="6"/>
        <v>65.139821615957771</v>
      </c>
      <c r="S23" s="78">
        <f t="shared" si="3"/>
        <v>0.97376705141657927</v>
      </c>
      <c r="T23" s="79" t="str">
        <f t="shared" si="7"/>
        <v>RB97 5242</v>
      </c>
    </row>
    <row r="24" spans="2:20" hidden="1" x14ac:dyDescent="0.3">
      <c r="B24" s="36" t="str">
        <f t="shared" si="0"/>
        <v>208097-7</v>
      </c>
      <c r="C24" s="42">
        <v>1563</v>
      </c>
      <c r="D24" s="43">
        <v>8349</v>
      </c>
      <c r="E24" s="44">
        <v>46098</v>
      </c>
      <c r="F24" s="43">
        <v>3</v>
      </c>
      <c r="G24" s="43" t="s">
        <v>28</v>
      </c>
      <c r="H24" s="43">
        <v>208097</v>
      </c>
      <c r="I24" s="43" t="s">
        <v>54</v>
      </c>
      <c r="J24" s="43">
        <v>1</v>
      </c>
      <c r="K24" s="43">
        <v>7</v>
      </c>
      <c r="L24" s="43">
        <v>4</v>
      </c>
      <c r="M24" s="43" t="s">
        <v>32</v>
      </c>
      <c r="N24" s="43">
        <v>15.79</v>
      </c>
      <c r="O24" s="40">
        <f t="shared" si="1"/>
        <v>727887.41999999993</v>
      </c>
      <c r="P24" s="41">
        <f t="shared" si="2"/>
        <v>46097.860178384042</v>
      </c>
      <c r="Q24" s="67">
        <f t="shared" ca="1" si="5"/>
        <v>65</v>
      </c>
      <c r="R24" s="67">
        <f t="shared" ca="1" si="6"/>
        <v>65.139821615957771</v>
      </c>
      <c r="S24" s="78">
        <f t="shared" si="3"/>
        <v>0.97376705141657927</v>
      </c>
      <c r="T24" s="79" t="str">
        <f t="shared" si="7"/>
        <v>RB97 5242</v>
      </c>
    </row>
    <row r="25" spans="2:20" hidden="1" x14ac:dyDescent="0.3">
      <c r="B25" s="36" t="str">
        <f t="shared" si="0"/>
        <v>208097-6</v>
      </c>
      <c r="C25" s="42">
        <v>1564</v>
      </c>
      <c r="D25" s="43">
        <v>8349</v>
      </c>
      <c r="E25" s="44">
        <v>46098</v>
      </c>
      <c r="F25" s="43">
        <v>3</v>
      </c>
      <c r="G25" s="43" t="s">
        <v>28</v>
      </c>
      <c r="H25" s="43">
        <v>208097</v>
      </c>
      <c r="I25" s="43" t="s">
        <v>54</v>
      </c>
      <c r="J25" s="43">
        <v>1</v>
      </c>
      <c r="K25" s="43">
        <v>6</v>
      </c>
      <c r="L25" s="43">
        <v>4</v>
      </c>
      <c r="M25" s="43" t="s">
        <v>32</v>
      </c>
      <c r="N25" s="43">
        <v>14.51</v>
      </c>
      <c r="O25" s="40">
        <f t="shared" si="1"/>
        <v>668881.98</v>
      </c>
      <c r="P25" s="41">
        <f t="shared" si="2"/>
        <v>46100.490278307283</v>
      </c>
      <c r="Q25" s="67">
        <f t="shared" ca="1" si="5"/>
        <v>65</v>
      </c>
      <c r="R25" s="67">
        <f t="shared" ca="1" si="6"/>
        <v>62.509721692716994</v>
      </c>
      <c r="S25" s="78">
        <f t="shared" si="3"/>
        <v>0.55318337781166604</v>
      </c>
      <c r="T25" s="79" t="str">
        <f t="shared" si="7"/>
        <v>RB97 5242</v>
      </c>
    </row>
    <row r="26" spans="2:20" hidden="1" x14ac:dyDescent="0.3">
      <c r="B26" s="36" t="str">
        <f t="shared" si="0"/>
        <v>208097-12</v>
      </c>
      <c r="C26" s="42">
        <v>1565</v>
      </c>
      <c r="D26" s="43">
        <v>8349</v>
      </c>
      <c r="E26" s="44">
        <v>46098</v>
      </c>
      <c r="F26" s="43">
        <v>3</v>
      </c>
      <c r="G26" s="43" t="s">
        <v>28</v>
      </c>
      <c r="H26" s="43">
        <v>208097</v>
      </c>
      <c r="I26" s="43" t="s">
        <v>54</v>
      </c>
      <c r="J26" s="43">
        <v>1</v>
      </c>
      <c r="K26" s="43">
        <v>12</v>
      </c>
      <c r="L26" s="43">
        <v>4</v>
      </c>
      <c r="M26" s="43" t="s">
        <v>32</v>
      </c>
      <c r="N26" s="43">
        <v>5.84</v>
      </c>
      <c r="O26" s="40">
        <f t="shared" si="1"/>
        <v>269212.32</v>
      </c>
      <c r="P26" s="41">
        <f t="shared" si="2"/>
        <v>46101.280973451328</v>
      </c>
      <c r="Q26" s="67">
        <f t="shared" ca="1" si="5"/>
        <v>65</v>
      </c>
      <c r="R26" s="67">
        <f t="shared" ca="1" si="6"/>
        <v>61.719026548671536</v>
      </c>
      <c r="S26" s="78">
        <f t="shared" si="3"/>
        <v>0.79159292035398243</v>
      </c>
      <c r="T26" s="79" t="str">
        <f t="shared" si="7"/>
        <v>RB97 5242</v>
      </c>
    </row>
    <row r="27" spans="2:20" hidden="1" x14ac:dyDescent="0.3">
      <c r="B27" s="36" t="str">
        <f t="shared" si="0"/>
        <v>208097-17</v>
      </c>
      <c r="C27" s="42">
        <v>1576</v>
      </c>
      <c r="D27" s="43">
        <v>8349</v>
      </c>
      <c r="E27" s="44">
        <v>46101</v>
      </c>
      <c r="F27" s="43">
        <v>3</v>
      </c>
      <c r="G27" s="43" t="s">
        <v>28</v>
      </c>
      <c r="H27" s="43">
        <v>208097</v>
      </c>
      <c r="I27" s="43" t="s">
        <v>54</v>
      </c>
      <c r="J27" s="43">
        <v>1</v>
      </c>
      <c r="K27" s="43">
        <v>17</v>
      </c>
      <c r="L27" s="43">
        <v>4</v>
      </c>
      <c r="M27" s="43" t="s">
        <v>32</v>
      </c>
      <c r="N27" s="43">
        <v>5.2</v>
      </c>
      <c r="O27" s="40">
        <f t="shared" si="1"/>
        <v>239725.2</v>
      </c>
      <c r="P27" s="41">
        <f t="shared" si="2"/>
        <v>46105.674148606813</v>
      </c>
      <c r="Q27" s="67">
        <f t="shared" ca="1" si="5"/>
        <v>62</v>
      </c>
      <c r="R27" s="67">
        <f t="shared" ca="1" si="6"/>
        <v>57.325851393186895</v>
      </c>
      <c r="S27" s="78">
        <f t="shared" si="3"/>
        <v>0.75116099071207432</v>
      </c>
      <c r="T27" s="79" t="str">
        <f t="shared" si="7"/>
        <v>RB97 5242</v>
      </c>
    </row>
    <row r="28" spans="2:20" hidden="1" x14ac:dyDescent="0.3">
      <c r="B28" s="36" t="str">
        <f t="shared" si="0"/>
        <v>208097-12</v>
      </c>
      <c r="C28" s="42">
        <v>1566</v>
      </c>
      <c r="D28" s="43">
        <v>8349</v>
      </c>
      <c r="E28" s="44">
        <v>46102</v>
      </c>
      <c r="F28" s="43">
        <v>3</v>
      </c>
      <c r="G28" s="43" t="s">
        <v>28</v>
      </c>
      <c r="H28" s="43">
        <v>208097</v>
      </c>
      <c r="I28" s="43" t="s">
        <v>54</v>
      </c>
      <c r="J28" s="43">
        <v>1</v>
      </c>
      <c r="K28" s="43">
        <v>12</v>
      </c>
      <c r="L28" s="43">
        <v>4</v>
      </c>
      <c r="M28" s="43" t="s">
        <v>32</v>
      </c>
      <c r="N28" s="43">
        <v>12.05</v>
      </c>
      <c r="O28" s="40">
        <f t="shared" si="1"/>
        <v>555529.1</v>
      </c>
      <c r="P28" s="41">
        <f t="shared" si="2"/>
        <v>46101.280973451328</v>
      </c>
      <c r="Q28" s="67">
        <f t="shared" ca="1" si="5"/>
        <v>61</v>
      </c>
      <c r="R28" s="67">
        <f t="shared" ca="1" si="6"/>
        <v>61.719026548671536</v>
      </c>
      <c r="S28" s="78">
        <f t="shared" si="3"/>
        <v>0.79159292035398243</v>
      </c>
      <c r="T28" s="79" t="str">
        <f t="shared" si="7"/>
        <v>RB97 5242</v>
      </c>
    </row>
    <row r="29" spans="2:20" hidden="1" x14ac:dyDescent="0.3">
      <c r="B29" s="36" t="str">
        <f t="shared" si="0"/>
        <v>208097-13</v>
      </c>
      <c r="C29" s="42">
        <v>1567</v>
      </c>
      <c r="D29" s="43">
        <v>8349</v>
      </c>
      <c r="E29" s="44">
        <v>46102</v>
      </c>
      <c r="F29" s="43">
        <v>3</v>
      </c>
      <c r="G29" s="43" t="s">
        <v>28</v>
      </c>
      <c r="H29" s="43">
        <v>208097</v>
      </c>
      <c r="I29" s="43" t="s">
        <v>54</v>
      </c>
      <c r="J29" s="43">
        <v>1</v>
      </c>
      <c r="K29" s="43">
        <v>13</v>
      </c>
      <c r="L29" s="43">
        <v>4</v>
      </c>
      <c r="M29" s="43" t="s">
        <v>32</v>
      </c>
      <c r="N29" s="43">
        <v>15.54</v>
      </c>
      <c r="O29" s="40">
        <f t="shared" si="1"/>
        <v>716425.08</v>
      </c>
      <c r="P29" s="41">
        <f t="shared" si="2"/>
        <v>46102.176470588238</v>
      </c>
      <c r="Q29" s="67">
        <f t="shared" ca="1" si="5"/>
        <v>61</v>
      </c>
      <c r="R29" s="67">
        <f t="shared" ca="1" si="6"/>
        <v>60.823529411762138</v>
      </c>
      <c r="S29" s="78">
        <f t="shared" si="3"/>
        <v>0.82352941176470595</v>
      </c>
      <c r="T29" s="79" t="str">
        <f t="shared" si="7"/>
        <v>RB97 5242</v>
      </c>
    </row>
    <row r="30" spans="2:20" hidden="1" x14ac:dyDescent="0.3">
      <c r="B30" s="36" t="str">
        <f t="shared" si="0"/>
        <v>208097-7</v>
      </c>
      <c r="C30" s="42">
        <v>1568</v>
      </c>
      <c r="D30" s="43">
        <v>8349</v>
      </c>
      <c r="E30" s="44">
        <v>46102</v>
      </c>
      <c r="F30" s="43">
        <v>3</v>
      </c>
      <c r="G30" s="43" t="s">
        <v>28</v>
      </c>
      <c r="H30" s="43">
        <v>208097</v>
      </c>
      <c r="I30" s="43" t="s">
        <v>54</v>
      </c>
      <c r="J30" s="43">
        <v>1</v>
      </c>
      <c r="K30" s="43">
        <v>7</v>
      </c>
      <c r="L30" s="43">
        <v>4</v>
      </c>
      <c r="M30" s="43" t="s">
        <v>32</v>
      </c>
      <c r="N30" s="43">
        <v>2</v>
      </c>
      <c r="O30" s="40">
        <f t="shared" si="1"/>
        <v>92204</v>
      </c>
      <c r="P30" s="41">
        <f t="shared" si="2"/>
        <v>46097.860178384042</v>
      </c>
      <c r="Q30" s="67">
        <f t="shared" ca="1" si="5"/>
        <v>61</v>
      </c>
      <c r="R30" s="67">
        <f t="shared" ca="1" si="6"/>
        <v>65.139821615957771</v>
      </c>
      <c r="S30" s="78">
        <f t="shared" si="3"/>
        <v>0.97376705141657927</v>
      </c>
      <c r="T30" s="79" t="str">
        <f t="shared" si="7"/>
        <v>RB97 5242</v>
      </c>
    </row>
    <row r="31" spans="2:20" hidden="1" x14ac:dyDescent="0.3">
      <c r="B31" s="36" t="str">
        <f t="shared" si="0"/>
        <v>208097-17</v>
      </c>
      <c r="C31" s="42">
        <v>1569</v>
      </c>
      <c r="D31" s="43">
        <v>8349</v>
      </c>
      <c r="E31" s="44">
        <v>46102</v>
      </c>
      <c r="F31" s="43">
        <v>3</v>
      </c>
      <c r="G31" s="43" t="s">
        <v>28</v>
      </c>
      <c r="H31" s="43">
        <v>208097</v>
      </c>
      <c r="I31" s="43" t="s">
        <v>54</v>
      </c>
      <c r="J31" s="43">
        <v>1</v>
      </c>
      <c r="K31" s="43">
        <v>17</v>
      </c>
      <c r="L31" s="43">
        <v>4</v>
      </c>
      <c r="M31" s="43" t="s">
        <v>32</v>
      </c>
      <c r="N31" s="43">
        <v>3.92</v>
      </c>
      <c r="O31" s="40">
        <f t="shared" si="1"/>
        <v>180719.84</v>
      </c>
      <c r="P31" s="41">
        <f t="shared" si="2"/>
        <v>46105.674148606813</v>
      </c>
      <c r="Q31" s="67">
        <f t="shared" ca="1" si="5"/>
        <v>61</v>
      </c>
      <c r="R31" s="67">
        <f t="shared" ca="1" si="6"/>
        <v>57.325851393186895</v>
      </c>
      <c r="S31" s="78">
        <f t="shared" si="3"/>
        <v>0.75116099071207432</v>
      </c>
      <c r="T31" s="79" t="str">
        <f t="shared" si="7"/>
        <v>RB97 5242</v>
      </c>
    </row>
    <row r="32" spans="2:20" hidden="1" x14ac:dyDescent="0.3">
      <c r="B32" s="36" t="str">
        <f t="shared" si="0"/>
        <v>208097-6</v>
      </c>
      <c r="C32" s="42">
        <v>1570</v>
      </c>
      <c r="D32" s="43">
        <v>8349</v>
      </c>
      <c r="E32" s="44">
        <v>46103</v>
      </c>
      <c r="F32" s="43">
        <v>3</v>
      </c>
      <c r="G32" s="43" t="s">
        <v>28</v>
      </c>
      <c r="H32" s="43">
        <v>208097</v>
      </c>
      <c r="I32" s="43" t="s">
        <v>54</v>
      </c>
      <c r="J32" s="43">
        <v>1</v>
      </c>
      <c r="K32" s="43">
        <v>6</v>
      </c>
      <c r="L32" s="43">
        <v>38</v>
      </c>
      <c r="M32" s="43" t="s">
        <v>55</v>
      </c>
      <c r="N32" s="43">
        <v>5</v>
      </c>
      <c r="O32" s="40">
        <f t="shared" si="1"/>
        <v>230515</v>
      </c>
      <c r="P32" s="41">
        <f t="shared" si="2"/>
        <v>46100.490278307283</v>
      </c>
      <c r="Q32" s="67">
        <f t="shared" ca="1" si="5"/>
        <v>60</v>
      </c>
      <c r="R32" s="67">
        <f t="shared" ca="1" si="6"/>
        <v>62.509721692716994</v>
      </c>
      <c r="S32" s="78">
        <f t="shared" si="3"/>
        <v>0.44681662218833396</v>
      </c>
      <c r="T32" s="79" t="str">
        <f t="shared" si="7"/>
        <v>RB97 5242</v>
      </c>
    </row>
    <row r="33" spans="2:20" hidden="1" x14ac:dyDescent="0.3">
      <c r="B33" s="36" t="str">
        <f t="shared" si="0"/>
        <v>208097-12</v>
      </c>
      <c r="C33" s="42">
        <v>1571</v>
      </c>
      <c r="D33" s="43">
        <v>8349</v>
      </c>
      <c r="E33" s="44">
        <v>46103</v>
      </c>
      <c r="F33" s="43">
        <v>3</v>
      </c>
      <c r="G33" s="43" t="s">
        <v>28</v>
      </c>
      <c r="H33" s="43">
        <v>208097</v>
      </c>
      <c r="I33" s="43" t="s">
        <v>54</v>
      </c>
      <c r="J33" s="43">
        <v>1</v>
      </c>
      <c r="K33" s="43">
        <v>12</v>
      </c>
      <c r="L33" s="43">
        <v>38</v>
      </c>
      <c r="M33" s="43" t="s">
        <v>55</v>
      </c>
      <c r="N33" s="43">
        <v>2.31</v>
      </c>
      <c r="O33" s="40">
        <f t="shared" si="1"/>
        <v>106497.93000000001</v>
      </c>
      <c r="P33" s="41">
        <f t="shared" si="2"/>
        <v>46101.280973451328</v>
      </c>
      <c r="Q33" s="67">
        <f t="shared" ca="1" si="5"/>
        <v>60</v>
      </c>
      <c r="R33" s="67">
        <f t="shared" ca="1" si="6"/>
        <v>61.719026548671536</v>
      </c>
      <c r="S33" s="78">
        <f t="shared" si="3"/>
        <v>0.20840707964601771</v>
      </c>
      <c r="T33" s="79" t="str">
        <f t="shared" si="7"/>
        <v>RB97 5242</v>
      </c>
    </row>
    <row r="34" spans="2:20" hidden="1" x14ac:dyDescent="0.3">
      <c r="B34" s="36" t="str">
        <f t="shared" si="0"/>
        <v>208097-13</v>
      </c>
      <c r="C34" s="42">
        <v>1572</v>
      </c>
      <c r="D34" s="43">
        <v>8349</v>
      </c>
      <c r="E34" s="44">
        <v>46103</v>
      </c>
      <c r="F34" s="43">
        <v>3</v>
      </c>
      <c r="G34" s="43" t="s">
        <v>28</v>
      </c>
      <c r="H34" s="43">
        <v>208097</v>
      </c>
      <c r="I34" s="43" t="s">
        <v>54</v>
      </c>
      <c r="J34" s="43">
        <v>1</v>
      </c>
      <c r="K34" s="43">
        <v>13</v>
      </c>
      <c r="L34" s="43">
        <v>38</v>
      </c>
      <c r="M34" s="43" t="s">
        <v>55</v>
      </c>
      <c r="N34" s="43">
        <v>3.33</v>
      </c>
      <c r="O34" s="40">
        <f t="shared" si="1"/>
        <v>153522.99</v>
      </c>
      <c r="P34" s="41">
        <f t="shared" si="2"/>
        <v>46102.176470588238</v>
      </c>
      <c r="Q34" s="67">
        <f t="shared" ca="1" si="5"/>
        <v>60</v>
      </c>
      <c r="R34" s="67">
        <f t="shared" ca="1" si="6"/>
        <v>60.823529411762138</v>
      </c>
      <c r="S34" s="78">
        <f t="shared" si="3"/>
        <v>0.17647058823529416</v>
      </c>
      <c r="T34" s="79" t="str">
        <f t="shared" si="7"/>
        <v>RB97 5242</v>
      </c>
    </row>
    <row r="35" spans="2:20" hidden="1" x14ac:dyDescent="0.3">
      <c r="B35" s="36" t="str">
        <f t="shared" si="0"/>
        <v>208097-16</v>
      </c>
      <c r="C35" s="42">
        <v>1573</v>
      </c>
      <c r="D35" s="43">
        <v>8349</v>
      </c>
      <c r="E35" s="44">
        <v>46103</v>
      </c>
      <c r="F35" s="43">
        <v>3</v>
      </c>
      <c r="G35" s="43" t="s">
        <v>28</v>
      </c>
      <c r="H35" s="43">
        <v>208097</v>
      </c>
      <c r="I35" s="43" t="s">
        <v>54</v>
      </c>
      <c r="J35" s="43">
        <v>1</v>
      </c>
      <c r="K35" s="43">
        <v>16</v>
      </c>
      <c r="L35" s="43">
        <v>38</v>
      </c>
      <c r="M35" s="43" t="s">
        <v>55</v>
      </c>
      <c r="N35" s="43">
        <v>15.1</v>
      </c>
      <c r="O35" s="40">
        <f t="shared" si="1"/>
        <v>696155.29999999993</v>
      </c>
      <c r="P35" s="41">
        <f t="shared" si="2"/>
        <v>46105.016348773832</v>
      </c>
      <c r="Q35" s="67">
        <f t="shared" ca="1" si="5"/>
        <v>60</v>
      </c>
      <c r="R35" s="67">
        <f t="shared" ca="1" si="6"/>
        <v>57.983651226168149</v>
      </c>
      <c r="S35" s="78">
        <f t="shared" si="3"/>
        <v>0.82288828337874653</v>
      </c>
      <c r="T35" s="79" t="str">
        <f t="shared" si="7"/>
        <v>SP83-2847</v>
      </c>
    </row>
    <row r="36" spans="2:20" hidden="1" x14ac:dyDescent="0.3">
      <c r="B36" s="36" t="str">
        <f t="shared" si="0"/>
        <v>208097-11</v>
      </c>
      <c r="C36" s="42">
        <v>1574</v>
      </c>
      <c r="D36" s="43">
        <v>8377</v>
      </c>
      <c r="E36" s="44">
        <v>46103</v>
      </c>
      <c r="F36" s="43">
        <v>3</v>
      </c>
      <c r="G36" s="43" t="s">
        <v>28</v>
      </c>
      <c r="H36" s="43">
        <v>208097</v>
      </c>
      <c r="I36" s="43" t="s">
        <v>54</v>
      </c>
      <c r="J36" s="43">
        <v>1</v>
      </c>
      <c r="K36" s="43">
        <v>11</v>
      </c>
      <c r="L36" s="43">
        <v>38</v>
      </c>
      <c r="M36" s="43" t="s">
        <v>55</v>
      </c>
      <c r="N36" s="43">
        <v>15.2</v>
      </c>
      <c r="O36" s="40">
        <f t="shared" si="1"/>
        <v>700765.6</v>
      </c>
      <c r="P36" s="41">
        <f t="shared" si="2"/>
        <v>46105.419624916278</v>
      </c>
      <c r="Q36" s="67">
        <f t="shared" ca="1" si="5"/>
        <v>60</v>
      </c>
      <c r="R36" s="67">
        <f t="shared" ca="1" si="6"/>
        <v>57.580375083722174</v>
      </c>
      <c r="S36" s="78">
        <f t="shared" si="3"/>
        <v>0.74514400535833891</v>
      </c>
      <c r="T36" s="79" t="str">
        <f t="shared" si="7"/>
        <v>SP83-2847</v>
      </c>
    </row>
    <row r="37" spans="2:20" hidden="1" x14ac:dyDescent="0.3">
      <c r="B37" s="36" t="str">
        <f t="shared" si="0"/>
        <v>208097-8</v>
      </c>
      <c r="C37" s="42">
        <v>1575</v>
      </c>
      <c r="D37" s="43">
        <v>8377</v>
      </c>
      <c r="E37" s="44">
        <v>46103</v>
      </c>
      <c r="F37" s="43">
        <v>3</v>
      </c>
      <c r="G37" s="43" t="s">
        <v>28</v>
      </c>
      <c r="H37" s="43">
        <v>208097</v>
      </c>
      <c r="I37" s="43" t="s">
        <v>54</v>
      </c>
      <c r="J37" s="43">
        <v>1</v>
      </c>
      <c r="K37" s="43">
        <v>8</v>
      </c>
      <c r="L37" s="43">
        <v>38</v>
      </c>
      <c r="M37" s="43" t="s">
        <v>55</v>
      </c>
      <c r="N37" s="43">
        <v>1.76</v>
      </c>
      <c r="O37" s="40">
        <f t="shared" si="1"/>
        <v>81141.279999999999</v>
      </c>
      <c r="P37" s="41">
        <f t="shared" si="2"/>
        <v>46111.561501042386</v>
      </c>
      <c r="Q37" s="67">
        <f t="shared" ca="1" si="5"/>
        <v>60</v>
      </c>
      <c r="R37" s="67">
        <f t="shared" ca="1" si="6"/>
        <v>51.438498957613774</v>
      </c>
      <c r="S37" s="78">
        <f t="shared" si="3"/>
        <v>4.0769052582812139E-2</v>
      </c>
      <c r="T37" s="79" t="str">
        <f t="shared" si="7"/>
        <v>RB97 5242</v>
      </c>
    </row>
    <row r="38" spans="2:20" hidden="1" x14ac:dyDescent="0.3">
      <c r="B38" s="36" t="str">
        <f t="shared" si="0"/>
        <v>208097-6</v>
      </c>
      <c r="C38" s="42">
        <v>1578</v>
      </c>
      <c r="D38" s="43">
        <v>8349</v>
      </c>
      <c r="E38" s="44">
        <v>46104</v>
      </c>
      <c r="F38" s="43">
        <v>3</v>
      </c>
      <c r="G38" s="43" t="s">
        <v>28</v>
      </c>
      <c r="H38" s="43">
        <v>208097</v>
      </c>
      <c r="I38" s="43" t="s">
        <v>54</v>
      </c>
      <c r="J38" s="43">
        <v>1</v>
      </c>
      <c r="K38" s="43">
        <v>6</v>
      </c>
      <c r="L38" s="43">
        <v>38</v>
      </c>
      <c r="M38" s="43" t="s">
        <v>55</v>
      </c>
      <c r="N38" s="43">
        <v>6.72</v>
      </c>
      <c r="O38" s="40">
        <f t="shared" si="1"/>
        <v>309818.88</v>
      </c>
      <c r="P38" s="41">
        <f t="shared" si="2"/>
        <v>46100.490278307283</v>
      </c>
      <c r="Q38" s="67">
        <f t="shared" ca="1" si="5"/>
        <v>59</v>
      </c>
      <c r="R38" s="67">
        <f t="shared" ca="1" si="6"/>
        <v>62.509721692716994</v>
      </c>
      <c r="S38" s="78">
        <f t="shared" si="3"/>
        <v>0.44681662218833396</v>
      </c>
      <c r="T38" s="79" t="str">
        <f t="shared" si="7"/>
        <v>RB97 5242</v>
      </c>
    </row>
    <row r="39" spans="2:20" hidden="1" x14ac:dyDescent="0.3">
      <c r="B39" s="36" t="str">
        <f t="shared" si="0"/>
        <v>208097-7</v>
      </c>
      <c r="C39" s="42">
        <v>1579</v>
      </c>
      <c r="D39" s="43">
        <v>8349</v>
      </c>
      <c r="E39" s="44">
        <v>46104</v>
      </c>
      <c r="F39" s="43">
        <v>3</v>
      </c>
      <c r="G39" s="43" t="s">
        <v>28</v>
      </c>
      <c r="H39" s="43">
        <v>208097</v>
      </c>
      <c r="I39" s="43" t="s">
        <v>54</v>
      </c>
      <c r="J39" s="43">
        <v>1</v>
      </c>
      <c r="K39" s="43">
        <v>7</v>
      </c>
      <c r="L39" s="43">
        <v>38</v>
      </c>
      <c r="M39" s="43" t="s">
        <v>55</v>
      </c>
      <c r="N39" s="43">
        <v>1</v>
      </c>
      <c r="O39" s="40">
        <f t="shared" si="1"/>
        <v>46104</v>
      </c>
      <c r="P39" s="41">
        <f t="shared" si="2"/>
        <v>46097.860178384042</v>
      </c>
      <c r="Q39" s="67">
        <f t="shared" ca="1" si="5"/>
        <v>59</v>
      </c>
      <c r="R39" s="67">
        <f t="shared" ca="1" si="6"/>
        <v>65.139821615957771</v>
      </c>
      <c r="S39" s="78">
        <f t="shared" si="3"/>
        <v>2.6232948583420779E-2</v>
      </c>
      <c r="T39" s="79" t="str">
        <f t="shared" si="7"/>
        <v>RB97 5242</v>
      </c>
    </row>
    <row r="40" spans="2:20" hidden="1" x14ac:dyDescent="0.3">
      <c r="B40" s="36" t="str">
        <f t="shared" si="0"/>
        <v>208097-12</v>
      </c>
      <c r="C40" s="42">
        <v>1580</v>
      </c>
      <c r="D40" s="43">
        <v>8349</v>
      </c>
      <c r="E40" s="44">
        <v>46104</v>
      </c>
      <c r="F40" s="43">
        <v>3</v>
      </c>
      <c r="G40" s="43" t="s">
        <v>28</v>
      </c>
      <c r="H40" s="43">
        <v>208097</v>
      </c>
      <c r="I40" s="43" t="s">
        <v>54</v>
      </c>
      <c r="J40" s="43">
        <v>1</v>
      </c>
      <c r="K40" s="43">
        <v>12</v>
      </c>
      <c r="L40" s="43">
        <v>38</v>
      </c>
      <c r="M40" s="43" t="s">
        <v>55</v>
      </c>
      <c r="N40" s="43">
        <v>2.4</v>
      </c>
      <c r="O40" s="40">
        <f t="shared" si="1"/>
        <v>110649.59999999999</v>
      </c>
      <c r="P40" s="41">
        <f t="shared" si="2"/>
        <v>46101.280973451328</v>
      </c>
      <c r="Q40" s="67">
        <f t="shared" ca="1" si="5"/>
        <v>59</v>
      </c>
      <c r="R40" s="67">
        <f t="shared" ca="1" si="6"/>
        <v>61.719026548671536</v>
      </c>
      <c r="S40" s="78">
        <f t="shared" si="3"/>
        <v>0.20840707964601771</v>
      </c>
      <c r="T40" s="79" t="str">
        <f t="shared" si="7"/>
        <v>RB97 5242</v>
      </c>
    </row>
    <row r="41" spans="2:20" hidden="1" x14ac:dyDescent="0.3">
      <c r="B41" s="36" t="str">
        <f t="shared" si="0"/>
        <v>208097-17</v>
      </c>
      <c r="C41" s="42">
        <v>1581</v>
      </c>
      <c r="D41" s="43">
        <v>8349</v>
      </c>
      <c r="E41" s="44">
        <v>46104</v>
      </c>
      <c r="F41" s="43">
        <v>3</v>
      </c>
      <c r="G41" s="43" t="s">
        <v>28</v>
      </c>
      <c r="H41" s="43">
        <v>208097</v>
      </c>
      <c r="I41" s="43" t="s">
        <v>54</v>
      </c>
      <c r="J41" s="43">
        <v>1</v>
      </c>
      <c r="K41" s="43">
        <v>17</v>
      </c>
      <c r="L41" s="43">
        <v>38</v>
      </c>
      <c r="M41" s="43" t="s">
        <v>55</v>
      </c>
      <c r="N41" s="43">
        <v>3.93</v>
      </c>
      <c r="O41" s="40">
        <f t="shared" si="1"/>
        <v>181188.72</v>
      </c>
      <c r="P41" s="41">
        <f t="shared" si="2"/>
        <v>46105.674148606813</v>
      </c>
      <c r="Q41" s="67">
        <f t="shared" ca="1" si="5"/>
        <v>59</v>
      </c>
      <c r="R41" s="67">
        <f t="shared" ca="1" si="6"/>
        <v>57.325851393186895</v>
      </c>
      <c r="S41" s="78">
        <f t="shared" si="3"/>
        <v>0.15208978328173375</v>
      </c>
      <c r="T41" s="79" t="str">
        <f t="shared" si="7"/>
        <v>RB97 5242</v>
      </c>
    </row>
    <row r="42" spans="2:20" hidden="1" x14ac:dyDescent="0.3">
      <c r="B42" s="36" t="str">
        <f t="shared" si="0"/>
        <v>208097-2</v>
      </c>
      <c r="C42" s="42">
        <v>1582</v>
      </c>
      <c r="D42" s="43">
        <v>8436</v>
      </c>
      <c r="E42" s="44">
        <v>46107</v>
      </c>
      <c r="F42" s="43">
        <v>3</v>
      </c>
      <c r="G42" s="43" t="s">
        <v>28</v>
      </c>
      <c r="H42" s="43">
        <v>208097</v>
      </c>
      <c r="I42" s="43" t="s">
        <v>54</v>
      </c>
      <c r="J42" s="43">
        <v>1</v>
      </c>
      <c r="K42" s="43">
        <v>2</v>
      </c>
      <c r="L42" s="43">
        <v>38</v>
      </c>
      <c r="M42" s="43" t="s">
        <v>55</v>
      </c>
      <c r="N42" s="43">
        <v>6</v>
      </c>
      <c r="O42" s="40">
        <f t="shared" si="1"/>
        <v>276642</v>
      </c>
      <c r="P42" s="41">
        <f t="shared" si="2"/>
        <v>46108.401123144802</v>
      </c>
      <c r="Q42" s="67">
        <f t="shared" ca="1" si="5"/>
        <v>56</v>
      </c>
      <c r="R42" s="67">
        <f t="shared" ca="1" si="6"/>
        <v>54.598876855197886</v>
      </c>
      <c r="S42" s="78">
        <f t="shared" si="3"/>
        <v>0.24067388688327318</v>
      </c>
      <c r="T42" s="79" t="str">
        <f t="shared" si="7"/>
        <v>RB97 5242</v>
      </c>
    </row>
    <row r="43" spans="2:20" hidden="1" x14ac:dyDescent="0.3">
      <c r="B43" s="36" t="str">
        <f t="shared" si="0"/>
        <v>208097-5</v>
      </c>
      <c r="C43" s="42">
        <v>1583</v>
      </c>
      <c r="D43" s="43">
        <v>8436</v>
      </c>
      <c r="E43" s="44">
        <v>46107</v>
      </c>
      <c r="F43" s="43">
        <v>3</v>
      </c>
      <c r="G43" s="43" t="s">
        <v>28</v>
      </c>
      <c r="H43" s="43">
        <v>208097</v>
      </c>
      <c r="I43" s="43" t="s">
        <v>54</v>
      </c>
      <c r="J43" s="43">
        <v>1</v>
      </c>
      <c r="K43" s="43">
        <v>5</v>
      </c>
      <c r="L43" s="43">
        <v>38</v>
      </c>
      <c r="M43" s="43" t="s">
        <v>55</v>
      </c>
      <c r="N43" s="43">
        <v>6</v>
      </c>
      <c r="O43" s="40">
        <f t="shared" si="1"/>
        <v>276642</v>
      </c>
      <c r="P43" s="41">
        <f t="shared" si="2"/>
        <v>46108.670420214228</v>
      </c>
      <c r="Q43" s="67">
        <f t="shared" ca="1" si="5"/>
        <v>56</v>
      </c>
      <c r="R43" s="67">
        <f t="shared" ca="1" si="6"/>
        <v>54.329579785771784</v>
      </c>
      <c r="S43" s="78">
        <f t="shared" si="3"/>
        <v>1</v>
      </c>
      <c r="T43" s="79" t="str">
        <f t="shared" si="7"/>
        <v>CTC 9008</v>
      </c>
    </row>
    <row r="44" spans="2:20" hidden="1" x14ac:dyDescent="0.3">
      <c r="B44" s="36" t="str">
        <f t="shared" si="0"/>
        <v>208097-10</v>
      </c>
      <c r="C44" s="42">
        <v>1584</v>
      </c>
      <c r="D44" s="43">
        <v>8377</v>
      </c>
      <c r="E44" s="44">
        <v>46107</v>
      </c>
      <c r="F44" s="43">
        <v>3</v>
      </c>
      <c r="G44" s="43" t="s">
        <v>28</v>
      </c>
      <c r="H44" s="43">
        <v>208097</v>
      </c>
      <c r="I44" s="43" t="s">
        <v>54</v>
      </c>
      <c r="J44" s="43">
        <v>1</v>
      </c>
      <c r="K44" s="43">
        <v>10</v>
      </c>
      <c r="L44" s="43">
        <v>38</v>
      </c>
      <c r="M44" s="43" t="s">
        <v>55</v>
      </c>
      <c r="N44" s="43">
        <v>6</v>
      </c>
      <c r="O44" s="40">
        <f t="shared" si="1"/>
        <v>276642</v>
      </c>
      <c r="P44" s="41">
        <f t="shared" si="2"/>
        <v>46108.267558528431</v>
      </c>
      <c r="Q44" s="67">
        <f t="shared" ca="1" si="5"/>
        <v>56</v>
      </c>
      <c r="R44" s="67">
        <f t="shared" ca="1" si="6"/>
        <v>54.732441471569473</v>
      </c>
      <c r="S44" s="78">
        <f t="shared" si="3"/>
        <v>0.84089823220258009</v>
      </c>
      <c r="T44" s="79" t="str">
        <f t="shared" si="7"/>
        <v>SP83-2847</v>
      </c>
    </row>
    <row r="45" spans="2:20" hidden="1" x14ac:dyDescent="0.3">
      <c r="B45" s="36" t="str">
        <f t="shared" si="0"/>
        <v>208097-11</v>
      </c>
      <c r="C45" s="42">
        <v>1585</v>
      </c>
      <c r="D45" s="43">
        <v>8377</v>
      </c>
      <c r="E45" s="44">
        <v>46107</v>
      </c>
      <c r="F45" s="43">
        <v>3</v>
      </c>
      <c r="G45" s="43" t="s">
        <v>28</v>
      </c>
      <c r="H45" s="43">
        <v>208097</v>
      </c>
      <c r="I45" s="43" t="s">
        <v>54</v>
      </c>
      <c r="J45" s="43">
        <v>1</v>
      </c>
      <c r="K45" s="43">
        <v>11</v>
      </c>
      <c r="L45" s="43">
        <v>38</v>
      </c>
      <c r="M45" s="43" t="s">
        <v>55</v>
      </c>
      <c r="N45" s="43">
        <v>7.05</v>
      </c>
      <c r="O45" s="40">
        <f t="shared" si="1"/>
        <v>325054.34999999998</v>
      </c>
      <c r="P45" s="41">
        <f t="shared" si="2"/>
        <v>46105.419624916278</v>
      </c>
      <c r="Q45" s="67">
        <f t="shared" ca="1" si="5"/>
        <v>56</v>
      </c>
      <c r="R45" s="67">
        <f t="shared" ca="1" si="6"/>
        <v>57.580375083722174</v>
      </c>
      <c r="S45" s="78">
        <f t="shared" si="3"/>
        <v>0.74514400535833891</v>
      </c>
      <c r="T45" s="79" t="str">
        <f t="shared" si="7"/>
        <v>SP83-2847</v>
      </c>
    </row>
    <row r="46" spans="2:20" hidden="1" x14ac:dyDescent="0.3">
      <c r="B46" s="36" t="str">
        <f t="shared" si="0"/>
        <v>208097-17</v>
      </c>
      <c r="C46" s="42">
        <v>1586</v>
      </c>
      <c r="D46" s="43">
        <v>8349</v>
      </c>
      <c r="E46" s="44">
        <v>46108</v>
      </c>
      <c r="F46" s="43">
        <v>3</v>
      </c>
      <c r="G46" s="43" t="s">
        <v>28</v>
      </c>
      <c r="H46" s="43">
        <v>208097</v>
      </c>
      <c r="I46" s="43" t="s">
        <v>54</v>
      </c>
      <c r="J46" s="43">
        <v>1</v>
      </c>
      <c r="K46" s="43">
        <v>17</v>
      </c>
      <c r="L46" s="43">
        <v>4</v>
      </c>
      <c r="M46" s="43" t="s">
        <v>32</v>
      </c>
      <c r="N46" s="43">
        <v>10.29</v>
      </c>
      <c r="O46" s="40">
        <f t="shared" si="1"/>
        <v>474451.31999999995</v>
      </c>
      <c r="P46" s="41">
        <f t="shared" si="2"/>
        <v>46105.674148606813</v>
      </c>
      <c r="Q46" s="67">
        <f t="shared" ca="1" si="5"/>
        <v>55</v>
      </c>
      <c r="R46" s="67">
        <f t="shared" ca="1" si="6"/>
        <v>57.325851393186895</v>
      </c>
      <c r="S46" s="78">
        <f t="shared" si="3"/>
        <v>0.75116099071207432</v>
      </c>
      <c r="T46" s="79" t="str">
        <f t="shared" si="7"/>
        <v>RB97 5242</v>
      </c>
    </row>
    <row r="47" spans="2:20" hidden="1" x14ac:dyDescent="0.3">
      <c r="B47" s="36" t="str">
        <f t="shared" si="0"/>
        <v>208097-10</v>
      </c>
      <c r="C47" s="42">
        <v>1587</v>
      </c>
      <c r="D47" s="43">
        <v>8377</v>
      </c>
      <c r="E47" s="44">
        <v>46108</v>
      </c>
      <c r="F47" s="43">
        <v>3</v>
      </c>
      <c r="G47" s="43" t="s">
        <v>28</v>
      </c>
      <c r="H47" s="43">
        <v>208097</v>
      </c>
      <c r="I47" s="43" t="s">
        <v>54</v>
      </c>
      <c r="J47" s="43">
        <v>1</v>
      </c>
      <c r="K47" s="43">
        <v>10</v>
      </c>
      <c r="L47" s="43">
        <v>4</v>
      </c>
      <c r="M47" s="43" t="s">
        <v>32</v>
      </c>
      <c r="N47" s="43">
        <v>3.33</v>
      </c>
      <c r="O47" s="40">
        <f t="shared" si="1"/>
        <v>153539.64000000001</v>
      </c>
      <c r="P47" s="41">
        <f t="shared" si="2"/>
        <v>46108.267558528431</v>
      </c>
      <c r="Q47" s="67">
        <f t="shared" ca="1" si="5"/>
        <v>55</v>
      </c>
      <c r="R47" s="67">
        <f t="shared" ca="1" si="6"/>
        <v>54.732441471569473</v>
      </c>
      <c r="S47" s="78">
        <f t="shared" si="3"/>
        <v>0.15910176779741997</v>
      </c>
      <c r="T47" s="79" t="str">
        <f t="shared" si="7"/>
        <v>SP83-2847</v>
      </c>
    </row>
    <row r="48" spans="2:20" hidden="1" x14ac:dyDescent="0.3">
      <c r="B48" s="36" t="str">
        <f t="shared" si="0"/>
        <v>208097-11</v>
      </c>
      <c r="C48" s="42">
        <v>1588</v>
      </c>
      <c r="D48" s="43">
        <v>8377</v>
      </c>
      <c r="E48" s="44">
        <v>46108</v>
      </c>
      <c r="F48" s="43">
        <v>3</v>
      </c>
      <c r="G48" s="43" t="s">
        <v>28</v>
      </c>
      <c r="H48" s="43">
        <v>208097</v>
      </c>
      <c r="I48" s="43" t="s">
        <v>54</v>
      </c>
      <c r="J48" s="43">
        <v>1</v>
      </c>
      <c r="K48" s="43">
        <v>11</v>
      </c>
      <c r="L48" s="43">
        <v>4</v>
      </c>
      <c r="M48" s="43" t="s">
        <v>32</v>
      </c>
      <c r="N48" s="43">
        <v>6.61</v>
      </c>
      <c r="O48" s="40">
        <f t="shared" si="1"/>
        <v>304773.88</v>
      </c>
      <c r="P48" s="41">
        <f t="shared" si="2"/>
        <v>46105.419624916278</v>
      </c>
      <c r="Q48" s="67">
        <f t="shared" ca="1" si="5"/>
        <v>55</v>
      </c>
      <c r="R48" s="67">
        <f t="shared" ca="1" si="6"/>
        <v>57.580375083722174</v>
      </c>
      <c r="S48" s="78">
        <f t="shared" si="3"/>
        <v>0.22136637642330878</v>
      </c>
      <c r="T48" s="79" t="str">
        <f t="shared" si="7"/>
        <v>SP83-2847</v>
      </c>
    </row>
    <row r="49" spans="2:20" hidden="1" x14ac:dyDescent="0.3">
      <c r="B49" s="36" t="str">
        <f t="shared" si="0"/>
        <v>208097-2</v>
      </c>
      <c r="C49" s="42">
        <v>1589</v>
      </c>
      <c r="D49" s="43">
        <v>8436</v>
      </c>
      <c r="E49" s="44">
        <v>46108</v>
      </c>
      <c r="F49" s="43">
        <v>3</v>
      </c>
      <c r="G49" s="43" t="s">
        <v>28</v>
      </c>
      <c r="H49" s="43">
        <v>208097</v>
      </c>
      <c r="I49" s="43" t="s">
        <v>54</v>
      </c>
      <c r="J49" s="43">
        <v>1</v>
      </c>
      <c r="K49" s="43">
        <v>2</v>
      </c>
      <c r="L49" s="43">
        <v>4</v>
      </c>
      <c r="M49" s="43" t="s">
        <v>32</v>
      </c>
      <c r="N49" s="43">
        <v>15.93</v>
      </c>
      <c r="O49" s="40">
        <f t="shared" si="1"/>
        <v>734500.44</v>
      </c>
      <c r="P49" s="41">
        <f t="shared" si="2"/>
        <v>46108.401123144802</v>
      </c>
      <c r="Q49" s="67">
        <f t="shared" ca="1" si="5"/>
        <v>55</v>
      </c>
      <c r="R49" s="67">
        <f t="shared" ca="1" si="6"/>
        <v>54.598876855197886</v>
      </c>
      <c r="S49" s="78">
        <f t="shared" si="3"/>
        <v>0.63898916967509023</v>
      </c>
      <c r="T49" s="79" t="str">
        <f t="shared" si="7"/>
        <v>RB97 5242</v>
      </c>
    </row>
    <row r="50" spans="2:20" hidden="1" x14ac:dyDescent="0.3">
      <c r="B50" s="36" t="str">
        <f t="shared" si="0"/>
        <v>208097-14</v>
      </c>
      <c r="C50" s="42">
        <v>1597</v>
      </c>
      <c r="D50" s="43">
        <v>8436</v>
      </c>
      <c r="E50" s="44">
        <v>46108</v>
      </c>
      <c r="F50" s="43">
        <v>3</v>
      </c>
      <c r="G50" s="43" t="s">
        <v>28</v>
      </c>
      <c r="H50" s="43">
        <v>208097</v>
      </c>
      <c r="I50" s="43" t="s">
        <v>54</v>
      </c>
      <c r="J50" s="43">
        <v>1</v>
      </c>
      <c r="K50" s="43">
        <v>14</v>
      </c>
      <c r="L50" s="43">
        <v>4</v>
      </c>
      <c r="M50" s="43" t="s">
        <v>32</v>
      </c>
      <c r="N50" s="43">
        <v>3.22</v>
      </c>
      <c r="O50" s="40">
        <f t="shared" si="1"/>
        <v>148467.76</v>
      </c>
      <c r="P50" s="41">
        <f t="shared" si="2"/>
        <v>46109.734542456717</v>
      </c>
      <c r="Q50" s="67">
        <f t="shared" ca="1" si="5"/>
        <v>55</v>
      </c>
      <c r="R50" s="67">
        <f t="shared" ca="1" si="6"/>
        <v>53.265457543282537</v>
      </c>
      <c r="S50" s="78">
        <f t="shared" si="3"/>
        <v>1</v>
      </c>
      <c r="T50" s="79" t="str">
        <f t="shared" si="7"/>
        <v>CTC 9008</v>
      </c>
    </row>
    <row r="51" spans="2:20" hidden="1" x14ac:dyDescent="0.3">
      <c r="B51" s="36" t="str">
        <f t="shared" si="0"/>
        <v>208097-5</v>
      </c>
      <c r="C51" s="42">
        <v>1590</v>
      </c>
      <c r="D51" s="43">
        <v>8436</v>
      </c>
      <c r="E51" s="44">
        <v>46109</v>
      </c>
      <c r="F51" s="43">
        <v>3</v>
      </c>
      <c r="G51" s="43" t="s">
        <v>28</v>
      </c>
      <c r="H51" s="43">
        <v>208097</v>
      </c>
      <c r="I51" s="43" t="s">
        <v>54</v>
      </c>
      <c r="J51" s="43">
        <v>1</v>
      </c>
      <c r="K51" s="43">
        <v>5</v>
      </c>
      <c r="L51" s="43">
        <v>38</v>
      </c>
      <c r="M51" s="43" t="s">
        <v>55</v>
      </c>
      <c r="N51" s="43">
        <v>30.41</v>
      </c>
      <c r="O51" s="40">
        <f t="shared" si="1"/>
        <v>1402174.69</v>
      </c>
      <c r="P51" s="41">
        <f t="shared" si="2"/>
        <v>46108.670420214228</v>
      </c>
      <c r="Q51" s="67">
        <f t="shared" ca="1" si="5"/>
        <v>54</v>
      </c>
      <c r="R51" s="67">
        <f t="shared" ca="1" si="6"/>
        <v>54.329579785771784</v>
      </c>
      <c r="S51" s="78">
        <f t="shared" si="3"/>
        <v>1</v>
      </c>
      <c r="T51" s="79" t="str">
        <f t="shared" si="7"/>
        <v>CTC 9008</v>
      </c>
    </row>
    <row r="52" spans="2:20" hidden="1" x14ac:dyDescent="0.3">
      <c r="B52" s="36" t="str">
        <f t="shared" si="0"/>
        <v>208097-10</v>
      </c>
      <c r="C52" s="42">
        <v>1591</v>
      </c>
      <c r="D52" s="43">
        <v>8377</v>
      </c>
      <c r="E52" s="44">
        <v>46109</v>
      </c>
      <c r="F52" s="43">
        <v>3</v>
      </c>
      <c r="G52" s="43" t="s">
        <v>28</v>
      </c>
      <c r="H52" s="43">
        <v>208097</v>
      </c>
      <c r="I52" s="43" t="s">
        <v>54</v>
      </c>
      <c r="J52" s="43">
        <v>1</v>
      </c>
      <c r="K52" s="43">
        <v>10</v>
      </c>
      <c r="L52" s="43">
        <v>38</v>
      </c>
      <c r="M52" s="43" t="s">
        <v>55</v>
      </c>
      <c r="N52" s="43">
        <v>11.6</v>
      </c>
      <c r="O52" s="40">
        <f t="shared" si="1"/>
        <v>534864.4</v>
      </c>
      <c r="P52" s="41">
        <f t="shared" si="2"/>
        <v>46108.267558528431</v>
      </c>
      <c r="Q52" s="67">
        <f t="shared" ca="1" si="5"/>
        <v>54</v>
      </c>
      <c r="R52" s="67">
        <f t="shared" ca="1" si="6"/>
        <v>54.732441471569473</v>
      </c>
      <c r="S52" s="78">
        <f t="shared" si="3"/>
        <v>0.84089823220258009</v>
      </c>
      <c r="T52" s="79" t="str">
        <f t="shared" si="7"/>
        <v>SP83-2847</v>
      </c>
    </row>
    <row r="53" spans="2:20" hidden="1" x14ac:dyDescent="0.3">
      <c r="B53" s="36" t="str">
        <f t="shared" si="0"/>
        <v>208097-15</v>
      </c>
      <c r="C53" s="42">
        <v>1593</v>
      </c>
      <c r="D53" s="43">
        <v>8436</v>
      </c>
      <c r="E53" s="44">
        <v>46110</v>
      </c>
      <c r="F53" s="43">
        <v>3</v>
      </c>
      <c r="G53" s="43" t="s">
        <v>28</v>
      </c>
      <c r="H53" s="43">
        <v>208097</v>
      </c>
      <c r="I53" s="43" t="s">
        <v>54</v>
      </c>
      <c r="J53" s="43">
        <v>1</v>
      </c>
      <c r="K53" s="43">
        <v>15</v>
      </c>
      <c r="L53" s="43">
        <v>4</v>
      </c>
      <c r="M53" s="43" t="s">
        <v>32</v>
      </c>
      <c r="N53" s="43">
        <v>15.1</v>
      </c>
      <c r="O53" s="40">
        <f t="shared" si="1"/>
        <v>696261</v>
      </c>
      <c r="P53" s="41">
        <f t="shared" si="2"/>
        <v>46110.394195888759</v>
      </c>
      <c r="Q53" s="67">
        <f t="shared" ca="1" si="5"/>
        <v>53</v>
      </c>
      <c r="R53" s="67">
        <f t="shared" ca="1" si="6"/>
        <v>52.605804111241014</v>
      </c>
      <c r="S53" s="78">
        <f t="shared" si="3"/>
        <v>0.91293833131801694</v>
      </c>
      <c r="T53" s="79" t="str">
        <f t="shared" si="7"/>
        <v>RB97 5242</v>
      </c>
    </row>
    <row r="54" spans="2:20" hidden="1" x14ac:dyDescent="0.3">
      <c r="B54" s="36" t="str">
        <f t="shared" si="0"/>
        <v>208097-14</v>
      </c>
      <c r="C54" s="42">
        <v>1594</v>
      </c>
      <c r="D54" s="43">
        <v>8436</v>
      </c>
      <c r="E54" s="44">
        <v>46110</v>
      </c>
      <c r="F54" s="43">
        <v>3</v>
      </c>
      <c r="G54" s="43" t="s">
        <v>28</v>
      </c>
      <c r="H54" s="43">
        <v>208097</v>
      </c>
      <c r="I54" s="43" t="s">
        <v>54</v>
      </c>
      <c r="J54" s="43">
        <v>1</v>
      </c>
      <c r="K54" s="43">
        <v>14</v>
      </c>
      <c r="L54" s="43">
        <v>4</v>
      </c>
      <c r="M54" s="43" t="s">
        <v>32</v>
      </c>
      <c r="N54" s="43">
        <v>21.04</v>
      </c>
      <c r="O54" s="40">
        <f t="shared" si="1"/>
        <v>970154.39999999991</v>
      </c>
      <c r="P54" s="41">
        <f t="shared" si="2"/>
        <v>46109.734542456717</v>
      </c>
      <c r="Q54" s="67">
        <f t="shared" ca="1" si="5"/>
        <v>53</v>
      </c>
      <c r="R54" s="67">
        <f t="shared" ca="1" si="6"/>
        <v>53.265457543282537</v>
      </c>
      <c r="S54" s="78">
        <f t="shared" si="3"/>
        <v>1</v>
      </c>
      <c r="T54" s="79" t="str">
        <f t="shared" si="7"/>
        <v>CTC 9008</v>
      </c>
    </row>
    <row r="55" spans="2:20" hidden="1" x14ac:dyDescent="0.3">
      <c r="B55" s="36" t="str">
        <f t="shared" si="0"/>
        <v>208097-4</v>
      </c>
      <c r="C55" s="42">
        <v>1595</v>
      </c>
      <c r="D55" s="43">
        <v>8436</v>
      </c>
      <c r="E55" s="44">
        <v>46110</v>
      </c>
      <c r="F55" s="43">
        <v>3</v>
      </c>
      <c r="G55" s="43" t="s">
        <v>28</v>
      </c>
      <c r="H55" s="43">
        <v>208097</v>
      </c>
      <c r="I55" s="43" t="s">
        <v>54</v>
      </c>
      <c r="J55" s="43">
        <v>1</v>
      </c>
      <c r="K55" s="43">
        <v>4</v>
      </c>
      <c r="L55" s="43">
        <v>4</v>
      </c>
      <c r="M55" s="43" t="s">
        <v>32</v>
      </c>
      <c r="N55" s="43">
        <v>5.26</v>
      </c>
      <c r="O55" s="40">
        <f t="shared" si="1"/>
        <v>242538.59999999998</v>
      </c>
      <c r="P55" s="41">
        <f t="shared" si="2"/>
        <v>46111.089216446868</v>
      </c>
      <c r="Q55" s="67">
        <f t="shared" ca="1" si="5"/>
        <v>53</v>
      </c>
      <c r="R55" s="67">
        <f t="shared" ca="1" si="6"/>
        <v>51.910783553132205</v>
      </c>
      <c r="S55" s="78">
        <f t="shared" si="3"/>
        <v>0.90224980605120253</v>
      </c>
      <c r="T55" s="79" t="str">
        <f t="shared" si="7"/>
        <v>RB97 5242</v>
      </c>
    </row>
    <row r="56" spans="2:20" hidden="1" x14ac:dyDescent="0.3">
      <c r="B56" s="36" t="str">
        <f t="shared" si="0"/>
        <v>208097-8</v>
      </c>
      <c r="C56" s="42">
        <v>1598</v>
      </c>
      <c r="D56" s="43">
        <v>8377</v>
      </c>
      <c r="E56" s="44">
        <v>46111</v>
      </c>
      <c r="F56" s="43">
        <v>3</v>
      </c>
      <c r="G56" s="43" t="s">
        <v>28</v>
      </c>
      <c r="H56" s="43">
        <v>208097</v>
      </c>
      <c r="I56" s="43" t="s">
        <v>54</v>
      </c>
      <c r="J56" s="43">
        <v>1</v>
      </c>
      <c r="K56" s="43">
        <v>8</v>
      </c>
      <c r="L56" s="43">
        <v>4</v>
      </c>
      <c r="M56" s="43" t="s">
        <v>32</v>
      </c>
      <c r="N56" s="43">
        <v>17.79</v>
      </c>
      <c r="O56" s="40">
        <f t="shared" si="1"/>
        <v>820314.69</v>
      </c>
      <c r="P56" s="41">
        <f t="shared" si="2"/>
        <v>46111.561501042386</v>
      </c>
      <c r="Q56" s="67">
        <f t="shared" ca="1" si="5"/>
        <v>52</v>
      </c>
      <c r="R56" s="67">
        <f t="shared" ca="1" si="6"/>
        <v>51.438498957613774</v>
      </c>
      <c r="S56" s="78">
        <f t="shared" si="3"/>
        <v>0.78897382441510311</v>
      </c>
      <c r="T56" s="79" t="str">
        <f t="shared" si="7"/>
        <v>RB97 5242</v>
      </c>
    </row>
    <row r="57" spans="2:20" hidden="1" x14ac:dyDescent="0.3">
      <c r="B57" s="36" t="str">
        <f t="shared" si="0"/>
        <v>208097-3</v>
      </c>
      <c r="C57" s="42">
        <v>1599</v>
      </c>
      <c r="D57" s="43">
        <v>8436</v>
      </c>
      <c r="E57" s="44">
        <v>46111</v>
      </c>
      <c r="F57" s="43">
        <v>3</v>
      </c>
      <c r="G57" s="43" t="s">
        <v>28</v>
      </c>
      <c r="H57" s="43">
        <v>208097</v>
      </c>
      <c r="I57" s="43" t="s">
        <v>54</v>
      </c>
      <c r="J57" s="43">
        <v>1</v>
      </c>
      <c r="K57" s="43">
        <v>3</v>
      </c>
      <c r="L57" s="43">
        <v>4</v>
      </c>
      <c r="M57" s="43" t="s">
        <v>32</v>
      </c>
      <c r="N57" s="43">
        <v>10.199999999999999</v>
      </c>
      <c r="O57" s="40">
        <f t="shared" si="1"/>
        <v>470332.19999999995</v>
      </c>
      <c r="P57" s="41">
        <f t="shared" si="2"/>
        <v>46111.772648586273</v>
      </c>
      <c r="Q57" s="67">
        <f t="shared" ca="1" si="5"/>
        <v>52</v>
      </c>
      <c r="R57" s="67">
        <f t="shared" ca="1" si="6"/>
        <v>51.227351413726865</v>
      </c>
      <c r="S57" s="78">
        <f t="shared" si="3"/>
        <v>0.81938834391229087</v>
      </c>
      <c r="T57" s="79" t="str">
        <f t="shared" si="7"/>
        <v>RB97 5242</v>
      </c>
    </row>
    <row r="58" spans="2:20" hidden="1" x14ac:dyDescent="0.3">
      <c r="B58" s="36" t="str">
        <f t="shared" si="0"/>
        <v>208097-4</v>
      </c>
      <c r="C58" s="42">
        <v>1600</v>
      </c>
      <c r="D58" s="43">
        <v>8436</v>
      </c>
      <c r="E58" s="44">
        <v>46111</v>
      </c>
      <c r="F58" s="43">
        <v>3</v>
      </c>
      <c r="G58" s="43" t="s">
        <v>28</v>
      </c>
      <c r="H58" s="43">
        <v>208097</v>
      </c>
      <c r="I58" s="43" t="s">
        <v>54</v>
      </c>
      <c r="J58" s="43">
        <v>1</v>
      </c>
      <c r="K58" s="43">
        <v>4</v>
      </c>
      <c r="L58" s="43">
        <v>4</v>
      </c>
      <c r="M58" s="43" t="s">
        <v>32</v>
      </c>
      <c r="N58" s="43">
        <v>18</v>
      </c>
      <c r="O58" s="40">
        <f t="shared" si="1"/>
        <v>829998</v>
      </c>
      <c r="P58" s="41">
        <f t="shared" si="2"/>
        <v>46111.089216446868</v>
      </c>
      <c r="Q58" s="67">
        <f t="shared" ca="1" si="5"/>
        <v>52</v>
      </c>
      <c r="R58" s="67">
        <f t="shared" ca="1" si="6"/>
        <v>51.910783553132205</v>
      </c>
      <c r="S58" s="78">
        <f t="shared" si="3"/>
        <v>0.90224980605120253</v>
      </c>
      <c r="T58" s="79" t="str">
        <f t="shared" si="7"/>
        <v>RB97 5242</v>
      </c>
    </row>
    <row r="59" spans="2:20" hidden="1" x14ac:dyDescent="0.3">
      <c r="B59" s="36" t="str">
        <f t="shared" si="0"/>
        <v>208097-18</v>
      </c>
      <c r="C59" s="42">
        <v>1601</v>
      </c>
      <c r="D59" s="43">
        <v>8452</v>
      </c>
      <c r="E59" s="44">
        <v>46111</v>
      </c>
      <c r="F59" s="43">
        <v>3</v>
      </c>
      <c r="G59" s="43" t="s">
        <v>28</v>
      </c>
      <c r="H59" s="43">
        <v>208097</v>
      </c>
      <c r="I59" s="43" t="s">
        <v>54</v>
      </c>
      <c r="J59" s="43">
        <v>1</v>
      </c>
      <c r="K59" s="43">
        <v>18</v>
      </c>
      <c r="L59" s="43">
        <v>4</v>
      </c>
      <c r="M59" s="43" t="s">
        <v>32</v>
      </c>
      <c r="N59" s="43">
        <v>6.48</v>
      </c>
      <c r="O59" s="40">
        <f t="shared" si="1"/>
        <v>298799.28000000003</v>
      </c>
      <c r="P59" s="41">
        <f t="shared" si="2"/>
        <v>46111</v>
      </c>
      <c r="Q59" s="67">
        <f t="shared" ca="1" si="5"/>
        <v>52</v>
      </c>
      <c r="R59" s="67">
        <f t="shared" ca="1" si="6"/>
        <v>52</v>
      </c>
      <c r="S59" s="78">
        <f t="shared" si="3"/>
        <v>1</v>
      </c>
      <c r="T59" s="79" t="str">
        <f t="shared" si="7"/>
        <v>CTC 9008</v>
      </c>
    </row>
    <row r="60" spans="2:20" hidden="1" x14ac:dyDescent="0.3">
      <c r="B60" s="36" t="str">
        <f t="shared" si="0"/>
        <v>208097-8</v>
      </c>
      <c r="C60" s="42">
        <v>1602</v>
      </c>
      <c r="D60" s="43">
        <v>8377</v>
      </c>
      <c r="E60" s="44">
        <v>46112</v>
      </c>
      <c r="F60" s="43">
        <v>3</v>
      </c>
      <c r="G60" s="43" t="s">
        <v>28</v>
      </c>
      <c r="H60" s="43">
        <v>208097</v>
      </c>
      <c r="I60" s="43" t="s">
        <v>54</v>
      </c>
      <c r="J60" s="43">
        <v>1</v>
      </c>
      <c r="K60" s="43">
        <v>8</v>
      </c>
      <c r="L60" s="43">
        <v>4</v>
      </c>
      <c r="M60" s="43" t="s">
        <v>32</v>
      </c>
      <c r="N60" s="43">
        <v>16.27</v>
      </c>
      <c r="O60" s="40">
        <f t="shared" si="1"/>
        <v>750242.24</v>
      </c>
      <c r="P60" s="41">
        <f t="shared" si="2"/>
        <v>46111.561501042386</v>
      </c>
      <c r="Q60" s="67">
        <f t="shared" ca="1" si="5"/>
        <v>51</v>
      </c>
      <c r="R60" s="67">
        <f t="shared" ca="1" si="6"/>
        <v>51.438498957613774</v>
      </c>
      <c r="S60" s="78">
        <f t="shared" si="3"/>
        <v>0.78897382441510311</v>
      </c>
      <c r="T60" s="79" t="str">
        <f t="shared" si="7"/>
        <v>RB97 5242</v>
      </c>
    </row>
    <row r="61" spans="2:20" hidden="1" x14ac:dyDescent="0.3">
      <c r="B61" s="36" t="str">
        <f t="shared" si="0"/>
        <v>208097-9</v>
      </c>
      <c r="C61" s="42">
        <v>1603</v>
      </c>
      <c r="D61" s="43">
        <v>8377</v>
      </c>
      <c r="E61" s="44">
        <v>46112</v>
      </c>
      <c r="F61" s="43">
        <v>3</v>
      </c>
      <c r="G61" s="43" t="s">
        <v>28</v>
      </c>
      <c r="H61" s="43">
        <v>208097</v>
      </c>
      <c r="I61" s="43" t="s">
        <v>54</v>
      </c>
      <c r="J61" s="43">
        <v>1</v>
      </c>
      <c r="K61" s="43">
        <v>9</v>
      </c>
      <c r="L61" s="43">
        <v>4</v>
      </c>
      <c r="M61" s="43" t="s">
        <v>32</v>
      </c>
      <c r="N61" s="43">
        <v>3.28</v>
      </c>
      <c r="O61" s="40">
        <f t="shared" si="1"/>
        <v>151247.35999999999</v>
      </c>
      <c r="P61" s="41">
        <f t="shared" si="2"/>
        <v>46112</v>
      </c>
      <c r="Q61" s="67">
        <f t="shared" ca="1" si="5"/>
        <v>51</v>
      </c>
      <c r="R61" s="67">
        <f t="shared" ca="1" si="6"/>
        <v>51</v>
      </c>
      <c r="S61" s="78">
        <f t="shared" si="3"/>
        <v>1</v>
      </c>
      <c r="T61" s="79" t="str">
        <f t="shared" si="7"/>
        <v>CTC 9008</v>
      </c>
    </row>
    <row r="62" spans="2:20" hidden="1" x14ac:dyDescent="0.3">
      <c r="B62" s="36" t="str">
        <f t="shared" si="0"/>
        <v>208097-1</v>
      </c>
      <c r="C62" s="42">
        <v>1604</v>
      </c>
      <c r="D62" s="43">
        <v>8436</v>
      </c>
      <c r="E62" s="44">
        <v>46112</v>
      </c>
      <c r="F62" s="43">
        <v>3</v>
      </c>
      <c r="G62" s="43" t="s">
        <v>28</v>
      </c>
      <c r="H62" s="43">
        <v>208097</v>
      </c>
      <c r="I62" s="43" t="s">
        <v>54</v>
      </c>
      <c r="J62" s="43">
        <v>1</v>
      </c>
      <c r="K62" s="43">
        <v>1</v>
      </c>
      <c r="L62" s="43">
        <v>4</v>
      </c>
      <c r="M62" s="43" t="s">
        <v>32</v>
      </c>
      <c r="N62" s="43">
        <v>5</v>
      </c>
      <c r="O62" s="40">
        <f t="shared" si="1"/>
        <v>230560</v>
      </c>
      <c r="P62" s="41">
        <f t="shared" si="2"/>
        <v>46113.903394255882</v>
      </c>
      <c r="Q62" s="67">
        <f t="shared" ca="1" si="5"/>
        <v>51</v>
      </c>
      <c r="R62" s="67">
        <f t="shared" ca="1" si="6"/>
        <v>49.096605744118278</v>
      </c>
      <c r="S62" s="78">
        <f t="shared" si="3"/>
        <v>0.26109660574412535</v>
      </c>
      <c r="T62" s="79" t="str">
        <f t="shared" si="7"/>
        <v>CTC 3445</v>
      </c>
    </row>
    <row r="63" spans="2:20" hidden="1" x14ac:dyDescent="0.3">
      <c r="B63" s="36" t="str">
        <f t="shared" si="0"/>
        <v>208097-3</v>
      </c>
      <c r="C63" s="42">
        <v>1605</v>
      </c>
      <c r="D63" s="43">
        <v>8436</v>
      </c>
      <c r="E63" s="44">
        <v>46112</v>
      </c>
      <c r="F63" s="43">
        <v>3</v>
      </c>
      <c r="G63" s="43" t="s">
        <v>28</v>
      </c>
      <c r="H63" s="43">
        <v>208097</v>
      </c>
      <c r="I63" s="43" t="s">
        <v>54</v>
      </c>
      <c r="J63" s="43">
        <v>1</v>
      </c>
      <c r="K63" s="43">
        <v>3</v>
      </c>
      <c r="L63" s="43">
        <v>4</v>
      </c>
      <c r="M63" s="43" t="s">
        <v>32</v>
      </c>
      <c r="N63" s="43">
        <v>4</v>
      </c>
      <c r="O63" s="40">
        <f t="shared" si="1"/>
        <v>184448</v>
      </c>
      <c r="P63" s="41">
        <f t="shared" si="2"/>
        <v>46111.772648586273</v>
      </c>
      <c r="Q63" s="67">
        <f t="shared" ca="1" si="5"/>
        <v>51</v>
      </c>
      <c r="R63" s="67">
        <f t="shared" ca="1" si="6"/>
        <v>51.227351413726865</v>
      </c>
      <c r="S63" s="78">
        <f t="shared" si="3"/>
        <v>0.81938834391229087</v>
      </c>
      <c r="T63" s="79" t="str">
        <f t="shared" si="7"/>
        <v>RB97 5242</v>
      </c>
    </row>
    <row r="64" spans="2:20" hidden="1" x14ac:dyDescent="0.3">
      <c r="B64" s="36" t="str">
        <f t="shared" si="0"/>
        <v>208097-16</v>
      </c>
      <c r="C64" s="42">
        <v>1606</v>
      </c>
      <c r="D64" s="43">
        <v>8349</v>
      </c>
      <c r="E64" s="44">
        <v>46113</v>
      </c>
      <c r="F64" s="43">
        <v>3</v>
      </c>
      <c r="G64" s="43" t="s">
        <v>28</v>
      </c>
      <c r="H64" s="43">
        <v>208097</v>
      </c>
      <c r="I64" s="43" t="s">
        <v>54</v>
      </c>
      <c r="J64" s="43">
        <v>1</v>
      </c>
      <c r="K64" s="43">
        <v>16</v>
      </c>
      <c r="L64" s="43">
        <v>70</v>
      </c>
      <c r="M64" s="43" t="s">
        <v>40</v>
      </c>
      <c r="N64" s="43">
        <v>1</v>
      </c>
      <c r="O64" s="40">
        <f t="shared" si="1"/>
        <v>46113</v>
      </c>
      <c r="P64" s="41">
        <f t="shared" si="2"/>
        <v>46105.016348773832</v>
      </c>
      <c r="Q64" s="67">
        <f t="shared" ca="1" si="5"/>
        <v>50</v>
      </c>
      <c r="R64" s="67">
        <f t="shared" ca="1" si="6"/>
        <v>57.983651226168149</v>
      </c>
      <c r="S64" s="78">
        <f t="shared" si="3"/>
        <v>0.17711171662125338</v>
      </c>
      <c r="T64" s="79" t="str">
        <f t="shared" si="7"/>
        <v>SP83-2847</v>
      </c>
    </row>
    <row r="65" spans="2:20" hidden="1" x14ac:dyDescent="0.3">
      <c r="B65" s="36" t="str">
        <f t="shared" si="0"/>
        <v>208097-17</v>
      </c>
      <c r="C65" s="42">
        <v>1607</v>
      </c>
      <c r="D65" s="43">
        <v>8349</v>
      </c>
      <c r="E65" s="44">
        <v>46113</v>
      </c>
      <c r="F65" s="43">
        <v>3</v>
      </c>
      <c r="G65" s="43" t="s">
        <v>28</v>
      </c>
      <c r="H65" s="43">
        <v>208097</v>
      </c>
      <c r="I65" s="43" t="s">
        <v>54</v>
      </c>
      <c r="J65" s="43">
        <v>1</v>
      </c>
      <c r="K65" s="43">
        <v>17</v>
      </c>
      <c r="L65" s="43">
        <v>70</v>
      </c>
      <c r="M65" s="43" t="s">
        <v>40</v>
      </c>
      <c r="N65" s="43">
        <v>0.98</v>
      </c>
      <c r="O65" s="40">
        <f t="shared" si="1"/>
        <v>45190.74</v>
      </c>
      <c r="P65" s="41">
        <f t="shared" si="2"/>
        <v>46105.674148606813</v>
      </c>
      <c r="Q65" s="67">
        <f t="shared" ca="1" si="5"/>
        <v>50</v>
      </c>
      <c r="R65" s="67">
        <f t="shared" ca="1" si="6"/>
        <v>57.325851393186895</v>
      </c>
      <c r="S65" s="78">
        <f t="shared" si="3"/>
        <v>9.6749226006191957E-2</v>
      </c>
      <c r="T65" s="79" t="str">
        <f t="shared" si="7"/>
        <v>RB97 5242</v>
      </c>
    </row>
    <row r="66" spans="2:20" hidden="1" x14ac:dyDescent="0.3">
      <c r="B66" s="36" t="str">
        <f t="shared" ref="B66:B129" si="8">CONCATENATE(H66,"-",K66)</f>
        <v>208097-1</v>
      </c>
      <c r="C66" s="42">
        <v>1608</v>
      </c>
      <c r="D66" s="43">
        <v>8436</v>
      </c>
      <c r="E66" s="44">
        <v>46113</v>
      </c>
      <c r="F66" s="43">
        <v>3</v>
      </c>
      <c r="G66" s="43" t="s">
        <v>28</v>
      </c>
      <c r="H66" s="43">
        <v>208097</v>
      </c>
      <c r="I66" s="43" t="s">
        <v>54</v>
      </c>
      <c r="J66" s="43">
        <v>1</v>
      </c>
      <c r="K66" s="43">
        <v>1</v>
      </c>
      <c r="L66" s="43">
        <v>70</v>
      </c>
      <c r="M66" s="43" t="s">
        <v>40</v>
      </c>
      <c r="N66" s="43">
        <v>3</v>
      </c>
      <c r="O66" s="40">
        <f t="shared" ref="O66:O129" si="9">IFERROR(E66*N66,"")</f>
        <v>138339</v>
      </c>
      <c r="P66" s="41">
        <f t="shared" ref="P66:P129" si="10">IFERROR(SUMIFS(O:O,B:B,B66)/SUMIFS(N:N,B:B,B66),"")</f>
        <v>46113.903394255882</v>
      </c>
      <c r="Q66" s="67">
        <f t="shared" ca="1" si="5"/>
        <v>50</v>
      </c>
      <c r="R66" s="67">
        <f t="shared" ca="1" si="6"/>
        <v>49.096605744118278</v>
      </c>
      <c r="S66" s="78">
        <f t="shared" ref="S66:S129" si="11">SUMIFS(N:N,B:B,B66,M:M,M66)/SUMIFS(N:N,B:B,B66)</f>
        <v>0.7389033942558747</v>
      </c>
      <c r="T66" s="79" t="str">
        <f t="shared" si="7"/>
        <v>CTC 3445</v>
      </c>
    </row>
    <row r="67" spans="2:20" hidden="1" x14ac:dyDescent="0.3">
      <c r="B67" s="36" t="str">
        <f t="shared" si="8"/>
        <v>208097-2</v>
      </c>
      <c r="C67" s="42">
        <v>1609</v>
      </c>
      <c r="D67" s="43">
        <v>8436</v>
      </c>
      <c r="E67" s="44">
        <v>46113</v>
      </c>
      <c r="F67" s="43">
        <v>3</v>
      </c>
      <c r="G67" s="43" t="s">
        <v>28</v>
      </c>
      <c r="H67" s="43">
        <v>208097</v>
      </c>
      <c r="I67" s="43" t="s">
        <v>54</v>
      </c>
      <c r="J67" s="43">
        <v>1</v>
      </c>
      <c r="K67" s="43">
        <v>2</v>
      </c>
      <c r="L67" s="43">
        <v>70</v>
      </c>
      <c r="M67" s="43" t="s">
        <v>40</v>
      </c>
      <c r="N67" s="43">
        <v>2</v>
      </c>
      <c r="O67" s="40">
        <f t="shared" si="9"/>
        <v>92226</v>
      </c>
      <c r="P67" s="41">
        <f t="shared" si="10"/>
        <v>46108.401123144802</v>
      </c>
      <c r="Q67" s="67">
        <f t="shared" ref="Q67:Q130" ca="1" si="12">TODAY()-E67</f>
        <v>50</v>
      </c>
      <c r="R67" s="67">
        <f t="shared" ref="R67:R130" ca="1" si="13">TODAY()-P67</f>
        <v>54.598876855197886</v>
      </c>
      <c r="S67" s="78">
        <f t="shared" si="11"/>
        <v>0.12033694344163659</v>
      </c>
      <c r="T67" s="79" t="str">
        <f t="shared" si="7"/>
        <v>RB97 5242</v>
      </c>
    </row>
    <row r="68" spans="2:20" hidden="1" x14ac:dyDescent="0.3">
      <c r="B68" s="36" t="str">
        <f t="shared" si="8"/>
        <v>208097-8</v>
      </c>
      <c r="C68" s="42">
        <v>1610</v>
      </c>
      <c r="D68" s="43">
        <v>8377</v>
      </c>
      <c r="E68" s="44">
        <v>46114</v>
      </c>
      <c r="F68" s="43">
        <v>3</v>
      </c>
      <c r="G68" s="43" t="s">
        <v>28</v>
      </c>
      <c r="H68" s="43">
        <v>208097</v>
      </c>
      <c r="I68" s="43" t="s">
        <v>54</v>
      </c>
      <c r="J68" s="43">
        <v>1</v>
      </c>
      <c r="K68" s="43">
        <v>8</v>
      </c>
      <c r="L68" s="43">
        <v>70</v>
      </c>
      <c r="M68" s="43" t="s">
        <v>40</v>
      </c>
      <c r="N68" s="43">
        <v>7.35</v>
      </c>
      <c r="O68" s="40">
        <f t="shared" si="9"/>
        <v>338937.89999999997</v>
      </c>
      <c r="P68" s="41">
        <f t="shared" si="10"/>
        <v>46111.561501042386</v>
      </c>
      <c r="Q68" s="67">
        <f t="shared" ca="1" si="12"/>
        <v>49</v>
      </c>
      <c r="R68" s="67">
        <f t="shared" ca="1" si="13"/>
        <v>51.438498957613774</v>
      </c>
      <c r="S68" s="78">
        <f t="shared" si="11"/>
        <v>0.17025712300208476</v>
      </c>
      <c r="T68" s="79" t="str">
        <f t="shared" si="7"/>
        <v>RB97 5242</v>
      </c>
    </row>
    <row r="69" spans="2:20" hidden="1" x14ac:dyDescent="0.3">
      <c r="B69" s="36" t="str">
        <f t="shared" si="8"/>
        <v>208097-11</v>
      </c>
      <c r="C69" s="42">
        <v>1611</v>
      </c>
      <c r="D69" s="43">
        <v>8377</v>
      </c>
      <c r="E69" s="44">
        <v>46114</v>
      </c>
      <c r="F69" s="43">
        <v>3</v>
      </c>
      <c r="G69" s="43" t="s">
        <v>28</v>
      </c>
      <c r="H69" s="43">
        <v>208097</v>
      </c>
      <c r="I69" s="43" t="s">
        <v>54</v>
      </c>
      <c r="J69" s="43">
        <v>1</v>
      </c>
      <c r="K69" s="43">
        <v>11</v>
      </c>
      <c r="L69" s="43">
        <v>70</v>
      </c>
      <c r="M69" s="43" t="s">
        <v>40</v>
      </c>
      <c r="N69" s="43">
        <v>1</v>
      </c>
      <c r="O69" s="40">
        <f t="shared" si="9"/>
        <v>46114</v>
      </c>
      <c r="P69" s="41">
        <f t="shared" si="10"/>
        <v>46105.419624916278</v>
      </c>
      <c r="Q69" s="67">
        <f t="shared" ca="1" si="12"/>
        <v>49</v>
      </c>
      <c r="R69" s="67">
        <f t="shared" ca="1" si="13"/>
        <v>57.580375083722174</v>
      </c>
      <c r="S69" s="78">
        <f t="shared" si="11"/>
        <v>3.3489618218352314E-2</v>
      </c>
      <c r="T69" s="79" t="str">
        <f t="shared" si="7"/>
        <v>SP83-2847</v>
      </c>
    </row>
    <row r="70" spans="2:20" hidden="1" x14ac:dyDescent="0.3">
      <c r="B70" s="36" t="str">
        <f t="shared" si="8"/>
        <v>208097-2</v>
      </c>
      <c r="C70" s="42">
        <v>1612</v>
      </c>
      <c r="D70" s="43">
        <v>8436</v>
      </c>
      <c r="E70" s="44">
        <v>46114</v>
      </c>
      <c r="F70" s="43">
        <v>3</v>
      </c>
      <c r="G70" s="43" t="s">
        <v>28</v>
      </c>
      <c r="H70" s="43">
        <v>208097</v>
      </c>
      <c r="I70" s="43" t="s">
        <v>54</v>
      </c>
      <c r="J70" s="43">
        <v>1</v>
      </c>
      <c r="K70" s="43">
        <v>2</v>
      </c>
      <c r="L70" s="43">
        <v>70</v>
      </c>
      <c r="M70" s="43" t="s">
        <v>40</v>
      </c>
      <c r="N70" s="43">
        <v>1</v>
      </c>
      <c r="O70" s="40">
        <f t="shared" si="9"/>
        <v>46114</v>
      </c>
      <c r="P70" s="41">
        <f t="shared" si="10"/>
        <v>46108.401123144802</v>
      </c>
      <c r="Q70" s="67">
        <f t="shared" ca="1" si="12"/>
        <v>49</v>
      </c>
      <c r="R70" s="67">
        <f t="shared" ca="1" si="13"/>
        <v>54.598876855197886</v>
      </c>
      <c r="S70" s="78">
        <f t="shared" si="11"/>
        <v>0.12033694344163659</v>
      </c>
      <c r="T70" s="79" t="str">
        <f t="shared" si="7"/>
        <v>RB97 5242</v>
      </c>
    </row>
    <row r="71" spans="2:20" hidden="1" x14ac:dyDescent="0.3">
      <c r="B71" s="36" t="str">
        <f t="shared" si="8"/>
        <v>208097-3</v>
      </c>
      <c r="C71" s="42">
        <v>1613</v>
      </c>
      <c r="D71" s="43">
        <v>8436</v>
      </c>
      <c r="E71" s="44">
        <v>46114</v>
      </c>
      <c r="F71" s="43">
        <v>3</v>
      </c>
      <c r="G71" s="43" t="s">
        <v>28</v>
      </c>
      <c r="H71" s="43">
        <v>208097</v>
      </c>
      <c r="I71" s="43" t="s">
        <v>54</v>
      </c>
      <c r="J71" s="43">
        <v>1</v>
      </c>
      <c r="K71" s="43">
        <v>3</v>
      </c>
      <c r="L71" s="43">
        <v>70</v>
      </c>
      <c r="M71" s="43" t="s">
        <v>40</v>
      </c>
      <c r="N71" s="43">
        <v>3.13</v>
      </c>
      <c r="O71" s="40">
        <f t="shared" si="9"/>
        <v>144336.82</v>
      </c>
      <c r="P71" s="41">
        <f t="shared" si="10"/>
        <v>46111.772648586273</v>
      </c>
      <c r="Q71" s="67">
        <f t="shared" ca="1" si="12"/>
        <v>49</v>
      </c>
      <c r="R71" s="67">
        <f t="shared" ca="1" si="13"/>
        <v>51.227351413726865</v>
      </c>
      <c r="S71" s="78">
        <f t="shared" si="11"/>
        <v>0.18061165608770918</v>
      </c>
      <c r="T71" s="79" t="str">
        <f t="shared" si="7"/>
        <v>RB97 5242</v>
      </c>
    </row>
    <row r="72" spans="2:20" hidden="1" x14ac:dyDescent="0.3">
      <c r="B72" s="36" t="str">
        <f t="shared" si="8"/>
        <v>208097-4</v>
      </c>
      <c r="C72" s="42">
        <v>1614</v>
      </c>
      <c r="D72" s="43">
        <v>8436</v>
      </c>
      <c r="E72" s="44">
        <v>46114</v>
      </c>
      <c r="F72" s="43">
        <v>3</v>
      </c>
      <c r="G72" s="43" t="s">
        <v>28</v>
      </c>
      <c r="H72" s="43">
        <v>208097</v>
      </c>
      <c r="I72" s="43" t="s">
        <v>54</v>
      </c>
      <c r="J72" s="43">
        <v>1</v>
      </c>
      <c r="K72" s="43">
        <v>4</v>
      </c>
      <c r="L72" s="43">
        <v>70</v>
      </c>
      <c r="M72" s="43" t="s">
        <v>40</v>
      </c>
      <c r="N72" s="43">
        <v>2.52</v>
      </c>
      <c r="O72" s="40">
        <f t="shared" si="9"/>
        <v>116207.28</v>
      </c>
      <c r="P72" s="41">
        <f t="shared" si="10"/>
        <v>46111.089216446868</v>
      </c>
      <c r="Q72" s="67">
        <f t="shared" ca="1" si="12"/>
        <v>49</v>
      </c>
      <c r="R72" s="67">
        <f t="shared" ca="1" si="13"/>
        <v>51.910783553132205</v>
      </c>
      <c r="S72" s="78">
        <f t="shared" si="11"/>
        <v>9.7750193948797526E-2</v>
      </c>
      <c r="T72" s="79" t="str">
        <f t="shared" si="7"/>
        <v>RB97 5242</v>
      </c>
    </row>
    <row r="73" spans="2:20" hidden="1" x14ac:dyDescent="0.3">
      <c r="B73" s="36" t="str">
        <f t="shared" si="8"/>
        <v>208097-15</v>
      </c>
      <c r="C73" s="42">
        <v>1615</v>
      </c>
      <c r="D73" s="43">
        <v>8436</v>
      </c>
      <c r="E73" s="44">
        <v>46114</v>
      </c>
      <c r="F73" s="43">
        <v>3</v>
      </c>
      <c r="G73" s="43" t="s">
        <v>28</v>
      </c>
      <c r="H73" s="43">
        <v>208097</v>
      </c>
      <c r="I73" s="43" t="s">
        <v>54</v>
      </c>
      <c r="J73" s="43">
        <v>1</v>
      </c>
      <c r="K73" s="43">
        <v>15</v>
      </c>
      <c r="L73" s="43">
        <v>70</v>
      </c>
      <c r="M73" s="43" t="s">
        <v>40</v>
      </c>
      <c r="N73" s="43">
        <v>0.68</v>
      </c>
      <c r="O73" s="40">
        <f t="shared" si="9"/>
        <v>31357.52</v>
      </c>
      <c r="P73" s="41">
        <f t="shared" si="10"/>
        <v>46110.394195888759</v>
      </c>
      <c r="Q73" s="67">
        <f t="shared" ca="1" si="12"/>
        <v>49</v>
      </c>
      <c r="R73" s="67">
        <f t="shared" ca="1" si="13"/>
        <v>52.605804111241014</v>
      </c>
      <c r="S73" s="78">
        <f t="shared" si="11"/>
        <v>8.7061668681983076E-2</v>
      </c>
      <c r="T73" s="79" t="str">
        <f t="shared" si="7"/>
        <v>RB97 5242</v>
      </c>
    </row>
    <row r="74" spans="2:20" hidden="1" x14ac:dyDescent="0.3">
      <c r="B74" s="36" t="str">
        <f t="shared" si="8"/>
        <v>202806-10</v>
      </c>
      <c r="C74" s="42">
        <v>1616</v>
      </c>
      <c r="D74" s="43">
        <v>8469</v>
      </c>
      <c r="E74" s="44">
        <v>46114</v>
      </c>
      <c r="F74" s="43">
        <v>3</v>
      </c>
      <c r="G74" s="43" t="s">
        <v>28</v>
      </c>
      <c r="H74" s="43">
        <v>202806</v>
      </c>
      <c r="I74" s="43" t="s">
        <v>39</v>
      </c>
      <c r="J74" s="43">
        <v>1</v>
      </c>
      <c r="K74" s="43">
        <v>10</v>
      </c>
      <c r="L74" s="43">
        <v>4</v>
      </c>
      <c r="M74" s="43" t="s">
        <v>32</v>
      </c>
      <c r="N74" s="43">
        <v>6</v>
      </c>
      <c r="O74" s="40">
        <f t="shared" si="9"/>
        <v>276684</v>
      </c>
      <c r="P74" s="41">
        <f t="shared" si="10"/>
        <v>46116.506815084053</v>
      </c>
      <c r="Q74" s="67">
        <f t="shared" ca="1" si="12"/>
        <v>49</v>
      </c>
      <c r="R74" s="67">
        <f t="shared" ca="1" si="13"/>
        <v>46.493184915947495</v>
      </c>
      <c r="S74" s="78">
        <f t="shared" si="11"/>
        <v>1</v>
      </c>
      <c r="T74" s="79" t="str">
        <f t="shared" si="7"/>
        <v>CTC 9008</v>
      </c>
    </row>
    <row r="75" spans="2:20" hidden="1" x14ac:dyDescent="0.3">
      <c r="B75" s="36" t="str">
        <f t="shared" si="8"/>
        <v>202806-11</v>
      </c>
      <c r="C75" s="42">
        <v>1617</v>
      </c>
      <c r="D75" s="43">
        <v>8469</v>
      </c>
      <c r="E75" s="44">
        <v>46114</v>
      </c>
      <c r="F75" s="43">
        <v>3</v>
      </c>
      <c r="G75" s="43" t="s">
        <v>28</v>
      </c>
      <c r="H75" s="43">
        <v>202806</v>
      </c>
      <c r="I75" s="43" t="s">
        <v>39</v>
      </c>
      <c r="J75" s="43">
        <v>1</v>
      </c>
      <c r="K75" s="43">
        <v>11</v>
      </c>
      <c r="L75" s="43">
        <v>4</v>
      </c>
      <c r="M75" s="43" t="s">
        <v>32</v>
      </c>
      <c r="N75" s="43">
        <v>7.47</v>
      </c>
      <c r="O75" s="40">
        <f t="shared" si="9"/>
        <v>344471.58</v>
      </c>
      <c r="P75" s="41">
        <f t="shared" si="10"/>
        <v>46112.174029965427</v>
      </c>
      <c r="Q75" s="67">
        <f t="shared" ca="1" si="12"/>
        <v>49</v>
      </c>
      <c r="R75" s="67">
        <f t="shared" ca="1" si="13"/>
        <v>50.825970034573402</v>
      </c>
      <c r="S75" s="78">
        <f t="shared" si="11"/>
        <v>1</v>
      </c>
      <c r="T75" s="79" t="str">
        <f t="shared" si="7"/>
        <v>CTC 9008</v>
      </c>
    </row>
    <row r="76" spans="2:20" hidden="1" x14ac:dyDescent="0.3">
      <c r="B76" s="36" t="str">
        <f t="shared" si="8"/>
        <v>202806-12</v>
      </c>
      <c r="C76" s="42">
        <v>1618</v>
      </c>
      <c r="D76" s="43">
        <v>8469</v>
      </c>
      <c r="E76" s="44">
        <v>46114</v>
      </c>
      <c r="F76" s="43">
        <v>3</v>
      </c>
      <c r="G76" s="43" t="s">
        <v>28</v>
      </c>
      <c r="H76" s="43">
        <v>202806</v>
      </c>
      <c r="I76" s="43" t="s">
        <v>39</v>
      </c>
      <c r="J76" s="43">
        <v>1</v>
      </c>
      <c r="K76" s="43">
        <v>12</v>
      </c>
      <c r="L76" s="43">
        <v>4</v>
      </c>
      <c r="M76" s="43" t="s">
        <v>32</v>
      </c>
      <c r="N76" s="43">
        <v>0.27</v>
      </c>
      <c r="O76" s="40">
        <f t="shared" si="9"/>
        <v>12450.78</v>
      </c>
      <c r="P76" s="41">
        <f t="shared" si="10"/>
        <v>46088.521166666658</v>
      </c>
      <c r="Q76" s="67">
        <f t="shared" ca="1" si="12"/>
        <v>49</v>
      </c>
      <c r="R76" s="67">
        <f t="shared" ca="1" si="13"/>
        <v>74.478833333341754</v>
      </c>
      <c r="S76" s="78">
        <f t="shared" si="11"/>
        <v>1</v>
      </c>
      <c r="T76" s="79" t="str">
        <f t="shared" si="7"/>
        <v>CTC 9008</v>
      </c>
    </row>
    <row r="77" spans="2:20" hidden="1" x14ac:dyDescent="0.3">
      <c r="B77" s="36" t="str">
        <f t="shared" si="8"/>
        <v>202806-10</v>
      </c>
      <c r="C77" s="42">
        <v>1619</v>
      </c>
      <c r="D77" s="43">
        <v>8469</v>
      </c>
      <c r="E77" s="44">
        <v>46115</v>
      </c>
      <c r="F77" s="43">
        <v>3</v>
      </c>
      <c r="G77" s="43" t="s">
        <v>28</v>
      </c>
      <c r="H77" s="43">
        <v>202806</v>
      </c>
      <c r="I77" s="43" t="s">
        <v>39</v>
      </c>
      <c r="J77" s="43">
        <v>1</v>
      </c>
      <c r="K77" s="43">
        <v>10</v>
      </c>
      <c r="L77" s="43">
        <v>4</v>
      </c>
      <c r="M77" s="43" t="s">
        <v>32</v>
      </c>
      <c r="N77" s="43">
        <v>14</v>
      </c>
      <c r="O77" s="40">
        <f t="shared" si="9"/>
        <v>645610</v>
      </c>
      <c r="P77" s="41">
        <f t="shared" si="10"/>
        <v>46116.506815084053</v>
      </c>
      <c r="Q77" s="67">
        <f t="shared" ca="1" si="12"/>
        <v>48</v>
      </c>
      <c r="R77" s="67">
        <f t="shared" ca="1" si="13"/>
        <v>46.493184915947495</v>
      </c>
      <c r="S77" s="78">
        <f t="shared" si="11"/>
        <v>1</v>
      </c>
      <c r="T77" s="79" t="str">
        <f t="shared" si="7"/>
        <v>CTC 9008</v>
      </c>
    </row>
    <row r="78" spans="2:20" hidden="1" x14ac:dyDescent="0.3">
      <c r="B78" s="36" t="str">
        <f t="shared" si="8"/>
        <v>202806-11</v>
      </c>
      <c r="C78" s="42">
        <v>1620</v>
      </c>
      <c r="D78" s="43">
        <v>8469</v>
      </c>
      <c r="E78" s="44">
        <v>46115</v>
      </c>
      <c r="F78" s="43">
        <v>3</v>
      </c>
      <c r="G78" s="43" t="s">
        <v>28</v>
      </c>
      <c r="H78" s="43">
        <v>202806</v>
      </c>
      <c r="I78" s="43" t="s">
        <v>39</v>
      </c>
      <c r="J78" s="43">
        <v>1</v>
      </c>
      <c r="K78" s="43">
        <v>11</v>
      </c>
      <c r="L78" s="43">
        <v>4</v>
      </c>
      <c r="M78" s="43" t="s">
        <v>32</v>
      </c>
      <c r="N78" s="43">
        <v>14.03</v>
      </c>
      <c r="O78" s="40">
        <f t="shared" si="9"/>
        <v>646993.44999999995</v>
      </c>
      <c r="P78" s="41">
        <f t="shared" si="10"/>
        <v>46112.174029965427</v>
      </c>
      <c r="Q78" s="67">
        <f t="shared" ca="1" si="12"/>
        <v>48</v>
      </c>
      <c r="R78" s="67">
        <f t="shared" ca="1" si="13"/>
        <v>50.825970034573402</v>
      </c>
      <c r="S78" s="78">
        <f t="shared" si="11"/>
        <v>1</v>
      </c>
      <c r="T78" s="79" t="str">
        <f t="shared" si="7"/>
        <v>CTC 9008</v>
      </c>
    </row>
    <row r="79" spans="2:20" hidden="1" x14ac:dyDescent="0.3">
      <c r="B79" s="36" t="str">
        <f t="shared" si="8"/>
        <v>208097-1</v>
      </c>
      <c r="C79" s="42">
        <v>1623</v>
      </c>
      <c r="D79" s="43">
        <v>8436</v>
      </c>
      <c r="E79" s="44">
        <v>46115</v>
      </c>
      <c r="F79" s="43">
        <v>3</v>
      </c>
      <c r="G79" s="43" t="s">
        <v>28</v>
      </c>
      <c r="H79" s="43">
        <v>208097</v>
      </c>
      <c r="I79" s="43" t="s">
        <v>54</v>
      </c>
      <c r="J79" s="43">
        <v>1</v>
      </c>
      <c r="K79" s="43">
        <v>1</v>
      </c>
      <c r="L79" s="43">
        <v>70</v>
      </c>
      <c r="M79" s="43" t="s">
        <v>40</v>
      </c>
      <c r="N79" s="43">
        <v>11.15</v>
      </c>
      <c r="O79" s="40">
        <f t="shared" si="9"/>
        <v>514182.25</v>
      </c>
      <c r="P79" s="41">
        <f t="shared" si="10"/>
        <v>46113.903394255882</v>
      </c>
      <c r="Q79" s="67">
        <f t="shared" ca="1" si="12"/>
        <v>48</v>
      </c>
      <c r="R79" s="67">
        <f t="shared" ca="1" si="13"/>
        <v>49.096605744118278</v>
      </c>
      <c r="S79" s="78">
        <f t="shared" si="11"/>
        <v>0.7389033942558747</v>
      </c>
      <c r="T79" s="79" t="str">
        <f t="shared" si="7"/>
        <v>CTC 3445</v>
      </c>
    </row>
    <row r="80" spans="2:20" hidden="1" x14ac:dyDescent="0.3">
      <c r="B80" s="36" t="str">
        <f t="shared" si="8"/>
        <v>208097-15</v>
      </c>
      <c r="C80" s="42">
        <v>1624</v>
      </c>
      <c r="D80" s="43">
        <v>8436</v>
      </c>
      <c r="E80" s="44">
        <v>46115</v>
      </c>
      <c r="F80" s="43">
        <v>3</v>
      </c>
      <c r="G80" s="43" t="s">
        <v>28</v>
      </c>
      <c r="H80" s="43">
        <v>208097</v>
      </c>
      <c r="I80" s="43" t="s">
        <v>54</v>
      </c>
      <c r="J80" s="43">
        <v>1</v>
      </c>
      <c r="K80" s="43">
        <v>15</v>
      </c>
      <c r="L80" s="43">
        <v>70</v>
      </c>
      <c r="M80" s="43" t="s">
        <v>40</v>
      </c>
      <c r="N80" s="43">
        <v>0.76</v>
      </c>
      <c r="O80" s="40">
        <f t="shared" si="9"/>
        <v>35047.4</v>
      </c>
      <c r="P80" s="41">
        <f t="shared" si="10"/>
        <v>46110.394195888759</v>
      </c>
      <c r="Q80" s="67">
        <f t="shared" ca="1" si="12"/>
        <v>48</v>
      </c>
      <c r="R80" s="67">
        <f t="shared" ca="1" si="13"/>
        <v>52.605804111241014</v>
      </c>
      <c r="S80" s="78">
        <f t="shared" si="11"/>
        <v>8.7061668681983076E-2</v>
      </c>
      <c r="T80" s="79" t="str">
        <f t="shared" si="7"/>
        <v>RB97 5242</v>
      </c>
    </row>
    <row r="81" spans="2:20" hidden="1" x14ac:dyDescent="0.3">
      <c r="B81" s="36" t="str">
        <f t="shared" si="8"/>
        <v>208097-16</v>
      </c>
      <c r="C81" s="42">
        <v>1625</v>
      </c>
      <c r="D81" s="43">
        <v>8349</v>
      </c>
      <c r="E81" s="44">
        <v>46115</v>
      </c>
      <c r="F81" s="43">
        <v>3</v>
      </c>
      <c r="G81" s="43" t="s">
        <v>28</v>
      </c>
      <c r="H81" s="43">
        <v>208097</v>
      </c>
      <c r="I81" s="43" t="s">
        <v>54</v>
      </c>
      <c r="J81" s="43">
        <v>1</v>
      </c>
      <c r="K81" s="43">
        <v>16</v>
      </c>
      <c r="L81" s="43">
        <v>70</v>
      </c>
      <c r="M81" s="43" t="s">
        <v>40</v>
      </c>
      <c r="N81" s="43">
        <v>2.25</v>
      </c>
      <c r="O81" s="40">
        <f t="shared" si="9"/>
        <v>103758.75</v>
      </c>
      <c r="P81" s="41">
        <f t="shared" si="10"/>
        <v>46105.016348773832</v>
      </c>
      <c r="Q81" s="67">
        <f t="shared" ca="1" si="12"/>
        <v>48</v>
      </c>
      <c r="R81" s="67">
        <f t="shared" ca="1" si="13"/>
        <v>57.983651226168149</v>
      </c>
      <c r="S81" s="78">
        <f t="shared" si="11"/>
        <v>0.17711171662125338</v>
      </c>
      <c r="T81" s="79" t="str">
        <f t="shared" ref="T81:T144" si="14">_xlfn.XLOOKUP(_xlfn.MAXIFS(S:S,H:H,H81,K:K,K81),S:S,M:M)</f>
        <v>SP83-2847</v>
      </c>
    </row>
    <row r="82" spans="2:20" hidden="1" x14ac:dyDescent="0.3">
      <c r="B82" s="36" t="str">
        <f t="shared" si="8"/>
        <v>208097-17</v>
      </c>
      <c r="C82" s="42">
        <v>1626</v>
      </c>
      <c r="D82" s="43">
        <v>8349</v>
      </c>
      <c r="E82" s="44">
        <v>46115</v>
      </c>
      <c r="F82" s="43">
        <v>3</v>
      </c>
      <c r="G82" s="43" t="s">
        <v>28</v>
      </c>
      <c r="H82" s="43">
        <v>208097</v>
      </c>
      <c r="I82" s="43" t="s">
        <v>54</v>
      </c>
      <c r="J82" s="43">
        <v>1</v>
      </c>
      <c r="K82" s="43">
        <v>17</v>
      </c>
      <c r="L82" s="43">
        <v>70</v>
      </c>
      <c r="M82" s="43" t="s">
        <v>40</v>
      </c>
      <c r="N82" s="43">
        <v>1.52</v>
      </c>
      <c r="O82" s="40">
        <f t="shared" si="9"/>
        <v>70094.8</v>
      </c>
      <c r="P82" s="41">
        <f t="shared" si="10"/>
        <v>46105.674148606813</v>
      </c>
      <c r="Q82" s="67">
        <f t="shared" ca="1" si="12"/>
        <v>48</v>
      </c>
      <c r="R82" s="67">
        <f t="shared" ca="1" si="13"/>
        <v>57.325851393186895</v>
      </c>
      <c r="S82" s="78">
        <f t="shared" si="11"/>
        <v>9.6749226006191957E-2</v>
      </c>
      <c r="T82" s="79" t="str">
        <f t="shared" si="14"/>
        <v>RB97 5242</v>
      </c>
    </row>
    <row r="83" spans="2:20" hidden="1" x14ac:dyDescent="0.3">
      <c r="B83" s="36" t="str">
        <f t="shared" si="8"/>
        <v>207982-5</v>
      </c>
      <c r="C83" s="42">
        <v>1627</v>
      </c>
      <c r="D83" s="43">
        <v>8524</v>
      </c>
      <c r="E83" s="44">
        <v>46115</v>
      </c>
      <c r="F83" s="43">
        <v>3</v>
      </c>
      <c r="G83" s="43" t="s">
        <v>28</v>
      </c>
      <c r="H83" s="43">
        <v>207982</v>
      </c>
      <c r="I83" s="43" t="s">
        <v>50</v>
      </c>
      <c r="J83" s="43">
        <v>1</v>
      </c>
      <c r="K83" s="43">
        <v>5</v>
      </c>
      <c r="L83" s="43">
        <v>70</v>
      </c>
      <c r="M83" s="43" t="s">
        <v>40</v>
      </c>
      <c r="N83" s="43">
        <v>7.67</v>
      </c>
      <c r="O83" s="40">
        <f t="shared" si="9"/>
        <v>353702.05</v>
      </c>
      <c r="P83" s="41">
        <f t="shared" si="10"/>
        <v>46115</v>
      </c>
      <c r="Q83" s="67">
        <f t="shared" ca="1" si="12"/>
        <v>48</v>
      </c>
      <c r="R83" s="67">
        <f t="shared" ca="1" si="13"/>
        <v>48</v>
      </c>
      <c r="S83" s="78">
        <f t="shared" si="11"/>
        <v>1</v>
      </c>
      <c r="T83" s="79" t="str">
        <f t="shared" si="14"/>
        <v>CTC 9008</v>
      </c>
    </row>
    <row r="84" spans="2:20" hidden="1" x14ac:dyDescent="0.3">
      <c r="B84" s="36" t="str">
        <f t="shared" si="8"/>
        <v>202806-10</v>
      </c>
      <c r="C84" s="42">
        <v>1621</v>
      </c>
      <c r="D84" s="43">
        <v>8469</v>
      </c>
      <c r="E84" s="44">
        <v>46116</v>
      </c>
      <c r="F84" s="43">
        <v>3</v>
      </c>
      <c r="G84" s="43" t="s">
        <v>28</v>
      </c>
      <c r="H84" s="43">
        <v>202806</v>
      </c>
      <c r="I84" s="43" t="s">
        <v>39</v>
      </c>
      <c r="J84" s="43">
        <v>1</v>
      </c>
      <c r="K84" s="43">
        <v>10</v>
      </c>
      <c r="L84" s="43">
        <v>4</v>
      </c>
      <c r="M84" s="43" t="s">
        <v>32</v>
      </c>
      <c r="N84" s="43">
        <v>10</v>
      </c>
      <c r="O84" s="40">
        <f t="shared" si="9"/>
        <v>461160</v>
      </c>
      <c r="P84" s="41">
        <f t="shared" si="10"/>
        <v>46116.506815084053</v>
      </c>
      <c r="Q84" s="67">
        <f t="shared" ca="1" si="12"/>
        <v>47</v>
      </c>
      <c r="R84" s="67">
        <f t="shared" ca="1" si="13"/>
        <v>46.493184915947495</v>
      </c>
      <c r="S84" s="78">
        <f t="shared" si="11"/>
        <v>1</v>
      </c>
      <c r="T84" s="79" t="str">
        <f t="shared" si="14"/>
        <v>CTC 9008</v>
      </c>
    </row>
    <row r="85" spans="2:20" hidden="1" x14ac:dyDescent="0.3">
      <c r="B85" s="36" t="str">
        <f t="shared" si="8"/>
        <v>202806-11</v>
      </c>
      <c r="C85" s="42">
        <v>1622</v>
      </c>
      <c r="D85" s="43">
        <v>8469</v>
      </c>
      <c r="E85" s="44">
        <v>46116</v>
      </c>
      <c r="F85" s="43">
        <v>3</v>
      </c>
      <c r="G85" s="43" t="s">
        <v>28</v>
      </c>
      <c r="H85" s="43">
        <v>202806</v>
      </c>
      <c r="I85" s="43" t="s">
        <v>39</v>
      </c>
      <c r="J85" s="43">
        <v>1</v>
      </c>
      <c r="K85" s="43">
        <v>11</v>
      </c>
      <c r="L85" s="43">
        <v>4</v>
      </c>
      <c r="M85" s="43" t="s">
        <v>32</v>
      </c>
      <c r="N85" s="43">
        <v>15.35</v>
      </c>
      <c r="O85" s="40">
        <f t="shared" si="9"/>
        <v>707880.6</v>
      </c>
      <c r="P85" s="41">
        <f t="shared" si="10"/>
        <v>46112.174029965427</v>
      </c>
      <c r="Q85" s="67">
        <f t="shared" ca="1" si="12"/>
        <v>47</v>
      </c>
      <c r="R85" s="67">
        <f t="shared" ca="1" si="13"/>
        <v>50.825970034573402</v>
      </c>
      <c r="S85" s="78">
        <f t="shared" si="11"/>
        <v>1</v>
      </c>
      <c r="T85" s="79" t="str">
        <f t="shared" si="14"/>
        <v>CTC 9008</v>
      </c>
    </row>
    <row r="86" spans="2:20" hidden="1" x14ac:dyDescent="0.3">
      <c r="B86" s="36" t="str">
        <f t="shared" si="8"/>
        <v>207982-2</v>
      </c>
      <c r="C86" s="42">
        <v>1630</v>
      </c>
      <c r="D86" s="43">
        <v>8524</v>
      </c>
      <c r="E86" s="44">
        <v>46116</v>
      </c>
      <c r="F86" s="43">
        <v>3</v>
      </c>
      <c r="G86" s="43" t="s">
        <v>28</v>
      </c>
      <c r="H86" s="43">
        <v>207982</v>
      </c>
      <c r="I86" s="43" t="s">
        <v>50</v>
      </c>
      <c r="J86" s="43">
        <v>1</v>
      </c>
      <c r="K86" s="43">
        <v>2</v>
      </c>
      <c r="L86" s="43">
        <v>70</v>
      </c>
      <c r="M86" s="43" t="s">
        <v>40</v>
      </c>
      <c r="N86" s="43">
        <v>8</v>
      </c>
      <c r="O86" s="40">
        <f t="shared" si="9"/>
        <v>368928</v>
      </c>
      <c r="P86" s="41">
        <f t="shared" si="10"/>
        <v>46124.802805923617</v>
      </c>
      <c r="Q86" s="67">
        <f t="shared" ca="1" si="12"/>
        <v>47</v>
      </c>
      <c r="R86" s="67">
        <f t="shared" ca="1" si="13"/>
        <v>38.197194076383312</v>
      </c>
      <c r="S86" s="78">
        <f t="shared" si="11"/>
        <v>0.31176929072486359</v>
      </c>
      <c r="T86" s="79" t="str">
        <f t="shared" si="14"/>
        <v>RB97 5201</v>
      </c>
    </row>
    <row r="87" spans="2:20" hidden="1" x14ac:dyDescent="0.3">
      <c r="B87" s="36" t="str">
        <f t="shared" si="8"/>
        <v>207982-4</v>
      </c>
      <c r="C87" s="42">
        <v>1631</v>
      </c>
      <c r="D87" s="43">
        <v>8524</v>
      </c>
      <c r="E87" s="44">
        <v>46116</v>
      </c>
      <c r="F87" s="43">
        <v>3</v>
      </c>
      <c r="G87" s="43" t="s">
        <v>28</v>
      </c>
      <c r="H87" s="43">
        <v>207982</v>
      </c>
      <c r="I87" s="43" t="s">
        <v>50</v>
      </c>
      <c r="J87" s="43">
        <v>1</v>
      </c>
      <c r="K87" s="43">
        <v>4</v>
      </c>
      <c r="L87" s="43">
        <v>70</v>
      </c>
      <c r="M87" s="43" t="s">
        <v>40</v>
      </c>
      <c r="N87" s="43">
        <v>8.4499999999999993</v>
      </c>
      <c r="O87" s="40">
        <f t="shared" si="9"/>
        <v>389680.19999999995</v>
      </c>
      <c r="P87" s="41">
        <f t="shared" si="10"/>
        <v>46116.419243986253</v>
      </c>
      <c r="Q87" s="67">
        <f t="shared" ca="1" si="12"/>
        <v>47</v>
      </c>
      <c r="R87" s="67">
        <f t="shared" ca="1" si="13"/>
        <v>46.580756013747305</v>
      </c>
      <c r="S87" s="78">
        <f t="shared" si="11"/>
        <v>1</v>
      </c>
      <c r="T87" s="79" t="str">
        <f t="shared" si="14"/>
        <v>CTC 9008</v>
      </c>
    </row>
    <row r="88" spans="2:20" hidden="1" x14ac:dyDescent="0.3">
      <c r="B88" s="36" t="str">
        <f t="shared" si="8"/>
        <v>202806-11</v>
      </c>
      <c r="C88" s="42">
        <v>1628</v>
      </c>
      <c r="D88" s="43">
        <v>8469</v>
      </c>
      <c r="E88" s="44">
        <v>46117</v>
      </c>
      <c r="F88" s="43">
        <v>3</v>
      </c>
      <c r="G88" s="43" t="s">
        <v>28</v>
      </c>
      <c r="H88" s="43">
        <v>202806</v>
      </c>
      <c r="I88" s="43" t="s">
        <v>39</v>
      </c>
      <c r="J88" s="43">
        <v>1</v>
      </c>
      <c r="K88" s="43">
        <v>11</v>
      </c>
      <c r="L88" s="43">
        <v>4</v>
      </c>
      <c r="M88" s="43" t="s">
        <v>32</v>
      </c>
      <c r="N88" s="43">
        <v>6.19</v>
      </c>
      <c r="O88" s="40">
        <f t="shared" si="9"/>
        <v>285464.23000000004</v>
      </c>
      <c r="P88" s="41">
        <f t="shared" si="10"/>
        <v>46112.174029965427</v>
      </c>
      <c r="Q88" s="67">
        <f t="shared" ca="1" si="12"/>
        <v>46</v>
      </c>
      <c r="R88" s="67">
        <f t="shared" ca="1" si="13"/>
        <v>50.825970034573402</v>
      </c>
      <c r="S88" s="78">
        <f t="shared" si="11"/>
        <v>1</v>
      </c>
      <c r="T88" s="79" t="str">
        <f t="shared" si="14"/>
        <v>CTC 9008</v>
      </c>
    </row>
    <row r="89" spans="2:20" hidden="1" x14ac:dyDescent="0.3">
      <c r="B89" s="36" t="str">
        <f t="shared" si="8"/>
        <v>202806-17</v>
      </c>
      <c r="C89" s="42">
        <v>1629</v>
      </c>
      <c r="D89" s="43">
        <v>8469</v>
      </c>
      <c r="E89" s="44">
        <v>46117</v>
      </c>
      <c r="F89" s="43">
        <v>3</v>
      </c>
      <c r="G89" s="43" t="s">
        <v>28</v>
      </c>
      <c r="H89" s="43">
        <v>202806</v>
      </c>
      <c r="I89" s="43" t="s">
        <v>39</v>
      </c>
      <c r="J89" s="43">
        <v>1</v>
      </c>
      <c r="K89" s="43">
        <v>17</v>
      </c>
      <c r="L89" s="43">
        <v>4</v>
      </c>
      <c r="M89" s="43" t="s">
        <v>32</v>
      </c>
      <c r="N89" s="43">
        <v>18.63</v>
      </c>
      <c r="O89" s="40">
        <f t="shared" si="9"/>
        <v>859159.71</v>
      </c>
      <c r="P89" s="41">
        <f t="shared" si="10"/>
        <v>46110.723461939524</v>
      </c>
      <c r="Q89" s="67">
        <f t="shared" ca="1" si="12"/>
        <v>46</v>
      </c>
      <c r="R89" s="67">
        <f t="shared" ca="1" si="13"/>
        <v>52.276538060476014</v>
      </c>
      <c r="S89" s="78">
        <f t="shared" si="11"/>
        <v>1</v>
      </c>
      <c r="T89" s="79" t="str">
        <f t="shared" si="14"/>
        <v>CTC 9008</v>
      </c>
    </row>
    <row r="90" spans="2:20" hidden="1" x14ac:dyDescent="0.3">
      <c r="B90" s="36" t="str">
        <f t="shared" si="8"/>
        <v>207982-3</v>
      </c>
      <c r="C90" s="42">
        <v>1632</v>
      </c>
      <c r="D90" s="43">
        <v>8524</v>
      </c>
      <c r="E90" s="44">
        <v>46117</v>
      </c>
      <c r="F90" s="43">
        <v>3</v>
      </c>
      <c r="G90" s="43" t="s">
        <v>28</v>
      </c>
      <c r="H90" s="43">
        <v>207982</v>
      </c>
      <c r="I90" s="43" t="s">
        <v>50</v>
      </c>
      <c r="J90" s="43">
        <v>1</v>
      </c>
      <c r="K90" s="43">
        <v>3</v>
      </c>
      <c r="L90" s="43">
        <v>70</v>
      </c>
      <c r="M90" s="43" t="s">
        <v>40</v>
      </c>
      <c r="N90" s="43">
        <v>14.13</v>
      </c>
      <c r="O90" s="40">
        <f t="shared" si="9"/>
        <v>651633.21000000008</v>
      </c>
      <c r="P90" s="41">
        <f t="shared" si="10"/>
        <v>46117</v>
      </c>
      <c r="Q90" s="67">
        <f t="shared" ca="1" si="12"/>
        <v>46</v>
      </c>
      <c r="R90" s="67">
        <f t="shared" ca="1" si="13"/>
        <v>46</v>
      </c>
      <c r="S90" s="78">
        <f t="shared" si="11"/>
        <v>1</v>
      </c>
      <c r="T90" s="79" t="str">
        <f t="shared" si="14"/>
        <v>CTC 9008</v>
      </c>
    </row>
    <row r="91" spans="2:20" hidden="1" x14ac:dyDescent="0.3">
      <c r="B91" s="36" t="str">
        <f t="shared" si="8"/>
        <v>207982-4</v>
      </c>
      <c r="C91" s="42">
        <v>1633</v>
      </c>
      <c r="D91" s="43">
        <v>8524</v>
      </c>
      <c r="E91" s="44">
        <v>46117</v>
      </c>
      <c r="F91" s="43">
        <v>3</v>
      </c>
      <c r="G91" s="43" t="s">
        <v>28</v>
      </c>
      <c r="H91" s="43">
        <v>207982</v>
      </c>
      <c r="I91" s="43" t="s">
        <v>50</v>
      </c>
      <c r="J91" s="43">
        <v>1</v>
      </c>
      <c r="K91" s="43">
        <v>4</v>
      </c>
      <c r="L91" s="43">
        <v>70</v>
      </c>
      <c r="M91" s="43" t="s">
        <v>40</v>
      </c>
      <c r="N91" s="43">
        <v>6.1</v>
      </c>
      <c r="O91" s="40">
        <f t="shared" si="9"/>
        <v>281313.7</v>
      </c>
      <c r="P91" s="41">
        <f t="shared" si="10"/>
        <v>46116.419243986253</v>
      </c>
      <c r="Q91" s="67">
        <f t="shared" ca="1" si="12"/>
        <v>46</v>
      </c>
      <c r="R91" s="67">
        <f t="shared" ca="1" si="13"/>
        <v>46.580756013747305</v>
      </c>
      <c r="S91" s="78">
        <f t="shared" si="11"/>
        <v>1</v>
      </c>
      <c r="T91" s="79" t="str">
        <f t="shared" si="14"/>
        <v>CTC 9008</v>
      </c>
    </row>
    <row r="92" spans="2:20" hidden="1" x14ac:dyDescent="0.3">
      <c r="B92" s="36" t="str">
        <f t="shared" si="8"/>
        <v>207982-6</v>
      </c>
      <c r="C92" s="42">
        <v>1635</v>
      </c>
      <c r="D92" s="43">
        <v>8524</v>
      </c>
      <c r="E92" s="44">
        <v>46118</v>
      </c>
      <c r="F92" s="43">
        <v>3</v>
      </c>
      <c r="G92" s="43" t="s">
        <v>28</v>
      </c>
      <c r="H92" s="43">
        <v>207982</v>
      </c>
      <c r="I92" s="43" t="s">
        <v>50</v>
      </c>
      <c r="J92" s="43">
        <v>1</v>
      </c>
      <c r="K92" s="43">
        <v>6</v>
      </c>
      <c r="L92" s="43">
        <v>70</v>
      </c>
      <c r="M92" s="43" t="s">
        <v>40</v>
      </c>
      <c r="N92" s="43">
        <v>7</v>
      </c>
      <c r="O92" s="40">
        <f t="shared" si="9"/>
        <v>322826</v>
      </c>
      <c r="P92" s="41">
        <f t="shared" si="10"/>
        <v>46123.873501997332</v>
      </c>
      <c r="Q92" s="67">
        <f t="shared" ca="1" si="12"/>
        <v>45</v>
      </c>
      <c r="R92" s="67">
        <f t="shared" ca="1" si="13"/>
        <v>39.126498002668086</v>
      </c>
      <c r="S92" s="78">
        <f t="shared" si="11"/>
        <v>0.4660452729693742</v>
      </c>
      <c r="T92" s="79" t="str">
        <f t="shared" si="14"/>
        <v>RB97 5201</v>
      </c>
    </row>
    <row r="93" spans="2:20" hidden="1" x14ac:dyDescent="0.3">
      <c r="B93" s="36" t="str">
        <f t="shared" si="8"/>
        <v>202806-10</v>
      </c>
      <c r="C93" s="42">
        <v>1636</v>
      </c>
      <c r="D93" s="43">
        <v>8469</v>
      </c>
      <c r="E93" s="44">
        <v>46118</v>
      </c>
      <c r="F93" s="43">
        <v>3</v>
      </c>
      <c r="G93" s="43" t="s">
        <v>28</v>
      </c>
      <c r="H93" s="43">
        <v>202806</v>
      </c>
      <c r="I93" s="43" t="s">
        <v>39</v>
      </c>
      <c r="J93" s="43">
        <v>1</v>
      </c>
      <c r="K93" s="43">
        <v>10</v>
      </c>
      <c r="L93" s="43">
        <v>4</v>
      </c>
      <c r="M93" s="43" t="s">
        <v>32</v>
      </c>
      <c r="N93" s="43">
        <v>5.75</v>
      </c>
      <c r="O93" s="40">
        <f t="shared" si="9"/>
        <v>265178.5</v>
      </c>
      <c r="P93" s="41">
        <f t="shared" si="10"/>
        <v>46116.506815084053</v>
      </c>
      <c r="Q93" s="67">
        <f t="shared" ca="1" si="12"/>
        <v>45</v>
      </c>
      <c r="R93" s="67">
        <f t="shared" ca="1" si="13"/>
        <v>46.493184915947495</v>
      </c>
      <c r="S93" s="78">
        <f t="shared" si="11"/>
        <v>1</v>
      </c>
      <c r="T93" s="79" t="str">
        <f t="shared" si="14"/>
        <v>CTC 9008</v>
      </c>
    </row>
    <row r="94" spans="2:20" hidden="1" x14ac:dyDescent="0.3">
      <c r="B94" s="36" t="str">
        <f t="shared" si="8"/>
        <v>202806-17</v>
      </c>
      <c r="C94" s="42">
        <v>1637</v>
      </c>
      <c r="D94" s="43">
        <v>8469</v>
      </c>
      <c r="E94" s="44">
        <v>46118</v>
      </c>
      <c r="F94" s="43">
        <v>3</v>
      </c>
      <c r="G94" s="43" t="s">
        <v>28</v>
      </c>
      <c r="H94" s="43">
        <v>202806</v>
      </c>
      <c r="I94" s="43" t="s">
        <v>39</v>
      </c>
      <c r="J94" s="43">
        <v>1</v>
      </c>
      <c r="K94" s="43">
        <v>17</v>
      </c>
      <c r="L94" s="43">
        <v>4</v>
      </c>
      <c r="M94" s="43" t="s">
        <v>32</v>
      </c>
      <c r="N94" s="43">
        <v>8</v>
      </c>
      <c r="O94" s="40">
        <f t="shared" si="9"/>
        <v>368944</v>
      </c>
      <c r="P94" s="41">
        <f t="shared" si="10"/>
        <v>46110.723461939524</v>
      </c>
      <c r="Q94" s="67">
        <f t="shared" ca="1" si="12"/>
        <v>45</v>
      </c>
      <c r="R94" s="67">
        <f t="shared" ca="1" si="13"/>
        <v>52.276538060476014</v>
      </c>
      <c r="S94" s="78">
        <f t="shared" si="11"/>
        <v>1</v>
      </c>
      <c r="T94" s="79" t="str">
        <f t="shared" si="14"/>
        <v>CTC 9008</v>
      </c>
    </row>
    <row r="95" spans="2:20" hidden="1" x14ac:dyDescent="0.3">
      <c r="B95" s="36" t="str">
        <f t="shared" si="8"/>
        <v>202806-10</v>
      </c>
      <c r="C95" s="42">
        <v>1638</v>
      </c>
      <c r="D95" s="43">
        <v>8469</v>
      </c>
      <c r="E95" s="44">
        <v>46119</v>
      </c>
      <c r="F95" s="43">
        <v>3</v>
      </c>
      <c r="G95" s="43" t="s">
        <v>28</v>
      </c>
      <c r="H95" s="43">
        <v>202806</v>
      </c>
      <c r="I95" s="43" t="s">
        <v>39</v>
      </c>
      <c r="J95" s="43">
        <v>1</v>
      </c>
      <c r="K95" s="43">
        <v>10</v>
      </c>
      <c r="L95" s="43">
        <v>4</v>
      </c>
      <c r="M95" s="43" t="s">
        <v>32</v>
      </c>
      <c r="N95" s="43">
        <v>4.2699999999999996</v>
      </c>
      <c r="O95" s="40">
        <f t="shared" si="9"/>
        <v>196928.12999999998</v>
      </c>
      <c r="P95" s="41">
        <f t="shared" si="10"/>
        <v>46116.506815084053</v>
      </c>
      <c r="Q95" s="67">
        <f t="shared" ca="1" si="12"/>
        <v>44</v>
      </c>
      <c r="R95" s="67">
        <f t="shared" ca="1" si="13"/>
        <v>46.493184915947495</v>
      </c>
      <c r="S95" s="78">
        <f t="shared" si="11"/>
        <v>1</v>
      </c>
      <c r="T95" s="79" t="str">
        <f t="shared" si="14"/>
        <v>CTC 9008</v>
      </c>
    </row>
    <row r="96" spans="2:20" hidden="1" x14ac:dyDescent="0.3">
      <c r="B96" s="36" t="str">
        <f t="shared" si="8"/>
        <v>202806-17</v>
      </c>
      <c r="C96" s="42">
        <v>1639</v>
      </c>
      <c r="D96" s="43">
        <v>8469</v>
      </c>
      <c r="E96" s="44">
        <v>46119</v>
      </c>
      <c r="F96" s="43">
        <v>3</v>
      </c>
      <c r="G96" s="43" t="s">
        <v>28</v>
      </c>
      <c r="H96" s="43">
        <v>202806</v>
      </c>
      <c r="I96" s="43" t="s">
        <v>39</v>
      </c>
      <c r="J96" s="43">
        <v>1</v>
      </c>
      <c r="K96" s="43">
        <v>17</v>
      </c>
      <c r="L96" s="43">
        <v>4</v>
      </c>
      <c r="M96" s="43" t="s">
        <v>32</v>
      </c>
      <c r="N96" s="43">
        <v>5.57</v>
      </c>
      <c r="O96" s="40">
        <f t="shared" si="9"/>
        <v>256882.83000000002</v>
      </c>
      <c r="P96" s="41">
        <f t="shared" si="10"/>
        <v>46110.723461939524</v>
      </c>
      <c r="Q96" s="67">
        <f t="shared" ca="1" si="12"/>
        <v>44</v>
      </c>
      <c r="R96" s="67">
        <f t="shared" ca="1" si="13"/>
        <v>52.276538060476014</v>
      </c>
      <c r="S96" s="78">
        <f t="shared" si="11"/>
        <v>1</v>
      </c>
      <c r="T96" s="79" t="str">
        <f t="shared" si="14"/>
        <v>CTC 9008</v>
      </c>
    </row>
    <row r="97" spans="2:20" hidden="1" x14ac:dyDescent="0.3">
      <c r="B97" s="36" t="str">
        <f t="shared" si="8"/>
        <v>202806-10</v>
      </c>
      <c r="C97" s="42">
        <v>1640</v>
      </c>
      <c r="D97" s="43">
        <v>8469</v>
      </c>
      <c r="E97" s="44">
        <v>46122</v>
      </c>
      <c r="F97" s="43">
        <v>3</v>
      </c>
      <c r="G97" s="43" t="s">
        <v>28</v>
      </c>
      <c r="H97" s="43">
        <v>202806</v>
      </c>
      <c r="I97" s="43" t="s">
        <v>39</v>
      </c>
      <c r="J97" s="43">
        <v>1</v>
      </c>
      <c r="K97" s="43">
        <v>10</v>
      </c>
      <c r="L97" s="43">
        <v>4</v>
      </c>
      <c r="M97" s="43" t="s">
        <v>32</v>
      </c>
      <c r="N97" s="43">
        <v>4</v>
      </c>
      <c r="O97" s="40">
        <f t="shared" si="9"/>
        <v>184488</v>
      </c>
      <c r="P97" s="41">
        <f t="shared" si="10"/>
        <v>46116.506815084053</v>
      </c>
      <c r="Q97" s="67">
        <f t="shared" ca="1" si="12"/>
        <v>41</v>
      </c>
      <c r="R97" s="67">
        <f t="shared" ca="1" si="13"/>
        <v>46.493184915947495</v>
      </c>
      <c r="S97" s="78">
        <f t="shared" si="11"/>
        <v>1</v>
      </c>
      <c r="T97" s="79" t="str">
        <f t="shared" si="14"/>
        <v>CTC 9008</v>
      </c>
    </row>
    <row r="98" spans="2:20" hidden="1" x14ac:dyDescent="0.3">
      <c r="B98" s="36" t="str">
        <f t="shared" si="8"/>
        <v>200518-2</v>
      </c>
      <c r="C98" s="42">
        <v>1644</v>
      </c>
      <c r="D98" s="43">
        <v>8563</v>
      </c>
      <c r="E98" s="44">
        <v>46122</v>
      </c>
      <c r="F98" s="43">
        <v>3</v>
      </c>
      <c r="G98" s="43" t="s">
        <v>28</v>
      </c>
      <c r="H98" s="43">
        <v>200518</v>
      </c>
      <c r="I98" s="43" t="s">
        <v>31</v>
      </c>
      <c r="J98" s="43">
        <v>1</v>
      </c>
      <c r="K98" s="43">
        <v>2</v>
      </c>
      <c r="L98" s="43">
        <v>4</v>
      </c>
      <c r="M98" s="43" t="s">
        <v>32</v>
      </c>
      <c r="N98" s="43">
        <v>8</v>
      </c>
      <c r="O98" s="40">
        <f t="shared" si="9"/>
        <v>368976</v>
      </c>
      <c r="P98" s="41">
        <f t="shared" si="10"/>
        <v>46126.371703997742</v>
      </c>
      <c r="Q98" s="67">
        <f t="shared" ca="1" si="12"/>
        <v>41</v>
      </c>
      <c r="R98" s="67">
        <f t="shared" ca="1" si="13"/>
        <v>36.628296002258139</v>
      </c>
      <c r="S98" s="78">
        <f t="shared" si="11"/>
        <v>1</v>
      </c>
      <c r="T98" s="79" t="str">
        <f t="shared" si="14"/>
        <v>CTC 9008</v>
      </c>
    </row>
    <row r="99" spans="2:20" x14ac:dyDescent="0.3">
      <c r="B99" s="36" t="str">
        <f t="shared" si="8"/>
        <v>200518-3</v>
      </c>
      <c r="C99" s="42">
        <v>1645</v>
      </c>
      <c r="D99" s="43">
        <v>8563</v>
      </c>
      <c r="E99" s="44">
        <v>46122</v>
      </c>
      <c r="F99" s="43">
        <v>3</v>
      </c>
      <c r="G99" s="43" t="s">
        <v>28</v>
      </c>
      <c r="H99" s="43">
        <v>200518</v>
      </c>
      <c r="I99" s="43" t="s">
        <v>31</v>
      </c>
      <c r="J99" s="43">
        <v>1</v>
      </c>
      <c r="K99" s="43">
        <v>3</v>
      </c>
      <c r="L99" s="43">
        <v>4</v>
      </c>
      <c r="M99" s="43" t="s">
        <v>32</v>
      </c>
      <c r="N99" s="43">
        <v>5.62</v>
      </c>
      <c r="O99" s="40">
        <f t="shared" si="9"/>
        <v>259205.64</v>
      </c>
      <c r="P99" s="41">
        <f t="shared" si="10"/>
        <v>46127.339454354682</v>
      </c>
      <c r="Q99" s="67">
        <f t="shared" ca="1" si="12"/>
        <v>41</v>
      </c>
      <c r="R99" s="67">
        <f t="shared" ca="1" si="13"/>
        <v>35.660545645318052</v>
      </c>
      <c r="S99" s="78">
        <f t="shared" si="11"/>
        <v>0.97061909758656884</v>
      </c>
      <c r="T99" s="79" t="str">
        <f t="shared" si="14"/>
        <v>RB97 5242</v>
      </c>
    </row>
    <row r="100" spans="2:20" hidden="1" x14ac:dyDescent="0.3">
      <c r="B100" s="36" t="str">
        <f t="shared" si="8"/>
        <v>200518-25</v>
      </c>
      <c r="C100" s="42">
        <v>1646</v>
      </c>
      <c r="D100" s="43">
        <v>8499</v>
      </c>
      <c r="E100" s="44">
        <v>46122</v>
      </c>
      <c r="F100" s="43">
        <v>3</v>
      </c>
      <c r="G100" s="43" t="s">
        <v>28</v>
      </c>
      <c r="H100" s="43">
        <v>200518</v>
      </c>
      <c r="I100" s="43" t="s">
        <v>31</v>
      </c>
      <c r="J100" s="43">
        <v>1</v>
      </c>
      <c r="K100" s="43">
        <v>25</v>
      </c>
      <c r="L100" s="43">
        <v>4</v>
      </c>
      <c r="M100" s="43" t="s">
        <v>32</v>
      </c>
      <c r="N100" s="43">
        <v>3</v>
      </c>
      <c r="O100" s="40">
        <f t="shared" si="9"/>
        <v>138366</v>
      </c>
      <c r="P100" s="41">
        <f t="shared" si="10"/>
        <v>46126.460380573706</v>
      </c>
      <c r="Q100" s="67">
        <f t="shared" ca="1" si="12"/>
        <v>41</v>
      </c>
      <c r="R100" s="67">
        <f t="shared" ca="1" si="13"/>
        <v>36.539619426293939</v>
      </c>
      <c r="S100" s="78">
        <f t="shared" si="11"/>
        <v>0.9431979551263846</v>
      </c>
      <c r="T100" s="79" t="str">
        <f t="shared" si="14"/>
        <v>RB97 5242</v>
      </c>
    </row>
    <row r="101" spans="2:20" hidden="1" x14ac:dyDescent="0.3">
      <c r="B101" s="36" t="str">
        <f t="shared" si="8"/>
        <v>200518-26</v>
      </c>
      <c r="C101" s="42">
        <v>1647</v>
      </c>
      <c r="D101" s="43">
        <v>8499</v>
      </c>
      <c r="E101" s="44">
        <v>46122</v>
      </c>
      <c r="F101" s="43">
        <v>3</v>
      </c>
      <c r="G101" s="43" t="s">
        <v>28</v>
      </c>
      <c r="H101" s="43">
        <v>200518</v>
      </c>
      <c r="I101" s="43" t="s">
        <v>31</v>
      </c>
      <c r="J101" s="43">
        <v>1</v>
      </c>
      <c r="K101" s="43">
        <v>26</v>
      </c>
      <c r="L101" s="43">
        <v>4</v>
      </c>
      <c r="M101" s="43" t="s">
        <v>32</v>
      </c>
      <c r="N101" s="43">
        <v>2</v>
      </c>
      <c r="O101" s="40">
        <f t="shared" si="9"/>
        <v>92244</v>
      </c>
      <c r="P101" s="41">
        <f t="shared" si="10"/>
        <v>46127.007308547822</v>
      </c>
      <c r="Q101" s="67">
        <f t="shared" ca="1" si="12"/>
        <v>41</v>
      </c>
      <c r="R101" s="67">
        <f t="shared" ca="1" si="13"/>
        <v>35.992691452178406</v>
      </c>
      <c r="S101" s="78">
        <f t="shared" si="11"/>
        <v>0.93644741023196698</v>
      </c>
      <c r="T101" s="79" t="str">
        <f t="shared" si="14"/>
        <v>RB97 5242</v>
      </c>
    </row>
    <row r="102" spans="2:20" hidden="1" x14ac:dyDescent="0.3">
      <c r="B102" s="36" t="str">
        <f t="shared" si="8"/>
        <v>202807-20</v>
      </c>
      <c r="C102" s="42">
        <v>1641</v>
      </c>
      <c r="D102" s="43">
        <v>8500</v>
      </c>
      <c r="E102" s="44">
        <v>46123</v>
      </c>
      <c r="F102" s="43">
        <v>3</v>
      </c>
      <c r="G102" s="43" t="s">
        <v>28</v>
      </c>
      <c r="H102" s="43">
        <v>202807</v>
      </c>
      <c r="I102" s="43" t="s">
        <v>42</v>
      </c>
      <c r="J102" s="43">
        <v>1</v>
      </c>
      <c r="K102" s="43">
        <v>20</v>
      </c>
      <c r="L102" s="43">
        <v>4</v>
      </c>
      <c r="M102" s="43" t="s">
        <v>32</v>
      </c>
      <c r="N102" s="43">
        <v>7.72</v>
      </c>
      <c r="O102" s="40">
        <f t="shared" si="9"/>
        <v>356069.56</v>
      </c>
      <c r="P102" s="41">
        <f t="shared" si="10"/>
        <v>46123</v>
      </c>
      <c r="Q102" s="67">
        <f t="shared" ca="1" si="12"/>
        <v>40</v>
      </c>
      <c r="R102" s="67">
        <f t="shared" ca="1" si="13"/>
        <v>40</v>
      </c>
      <c r="S102" s="78">
        <f t="shared" si="11"/>
        <v>1</v>
      </c>
      <c r="T102" s="79" t="str">
        <f t="shared" si="14"/>
        <v>CTC 9008</v>
      </c>
    </row>
    <row r="103" spans="2:20" hidden="1" x14ac:dyDescent="0.3">
      <c r="B103" s="36" t="str">
        <f t="shared" si="8"/>
        <v>200518-2</v>
      </c>
      <c r="C103" s="42">
        <v>1642</v>
      </c>
      <c r="D103" s="43">
        <v>8563</v>
      </c>
      <c r="E103" s="44">
        <v>46123</v>
      </c>
      <c r="F103" s="43">
        <v>3</v>
      </c>
      <c r="G103" s="43" t="s">
        <v>28</v>
      </c>
      <c r="H103" s="43">
        <v>200518</v>
      </c>
      <c r="I103" s="43" t="s">
        <v>31</v>
      </c>
      <c r="J103" s="43">
        <v>1</v>
      </c>
      <c r="K103" s="43">
        <v>2</v>
      </c>
      <c r="L103" s="43">
        <v>4</v>
      </c>
      <c r="M103" s="43" t="s">
        <v>32</v>
      </c>
      <c r="N103" s="43">
        <v>14.15</v>
      </c>
      <c r="O103" s="40">
        <f t="shared" si="9"/>
        <v>652640.45000000007</v>
      </c>
      <c r="P103" s="41">
        <f t="shared" si="10"/>
        <v>46126.371703997742</v>
      </c>
      <c r="Q103" s="67">
        <f t="shared" ca="1" si="12"/>
        <v>40</v>
      </c>
      <c r="R103" s="67">
        <f t="shared" ca="1" si="13"/>
        <v>36.628296002258139</v>
      </c>
      <c r="S103" s="78">
        <f t="shared" si="11"/>
        <v>1</v>
      </c>
      <c r="T103" s="79" t="str">
        <f t="shared" si="14"/>
        <v>CTC 9008</v>
      </c>
    </row>
    <row r="104" spans="2:20" x14ac:dyDescent="0.3">
      <c r="B104" s="36" t="str">
        <f t="shared" si="8"/>
        <v>200518-3</v>
      </c>
      <c r="C104" s="42">
        <v>1643</v>
      </c>
      <c r="D104" s="43">
        <v>8563</v>
      </c>
      <c r="E104" s="44">
        <v>46123</v>
      </c>
      <c r="F104" s="43">
        <v>3</v>
      </c>
      <c r="G104" s="43" t="s">
        <v>28</v>
      </c>
      <c r="H104" s="43">
        <v>200518</v>
      </c>
      <c r="I104" s="43" t="s">
        <v>31</v>
      </c>
      <c r="J104" s="43">
        <v>1</v>
      </c>
      <c r="K104" s="43">
        <v>3</v>
      </c>
      <c r="L104" s="43">
        <v>4</v>
      </c>
      <c r="M104" s="43" t="s">
        <v>32</v>
      </c>
      <c r="N104" s="43">
        <v>8.44</v>
      </c>
      <c r="O104" s="40">
        <f t="shared" si="9"/>
        <v>389278.12</v>
      </c>
      <c r="P104" s="41">
        <f t="shared" si="10"/>
        <v>46127.339454354682</v>
      </c>
      <c r="Q104" s="67">
        <f t="shared" ca="1" si="12"/>
        <v>40</v>
      </c>
      <c r="R104" s="67">
        <f t="shared" ca="1" si="13"/>
        <v>35.660545645318052</v>
      </c>
      <c r="S104" s="78">
        <f t="shared" si="11"/>
        <v>0.97061909758656884</v>
      </c>
      <c r="T104" s="79" t="str">
        <f t="shared" si="14"/>
        <v>RB97 5242</v>
      </c>
    </row>
    <row r="105" spans="2:20" hidden="1" x14ac:dyDescent="0.3">
      <c r="B105" s="36" t="str">
        <f t="shared" si="8"/>
        <v>202807-21</v>
      </c>
      <c r="C105" s="42">
        <v>1655</v>
      </c>
      <c r="D105" s="43">
        <v>8500</v>
      </c>
      <c r="E105" s="44">
        <v>46123</v>
      </c>
      <c r="F105" s="43">
        <v>3</v>
      </c>
      <c r="G105" s="43" t="s">
        <v>28</v>
      </c>
      <c r="H105" s="43">
        <v>202807</v>
      </c>
      <c r="I105" s="43" t="s">
        <v>42</v>
      </c>
      <c r="J105" s="43">
        <v>1</v>
      </c>
      <c r="K105" s="43">
        <v>21</v>
      </c>
      <c r="L105" s="43">
        <v>12</v>
      </c>
      <c r="M105" s="43" t="s">
        <v>43</v>
      </c>
      <c r="N105" s="43">
        <v>9.5399999999999991</v>
      </c>
      <c r="O105" s="40">
        <f t="shared" si="9"/>
        <v>440013.42</v>
      </c>
      <c r="P105" s="41">
        <f t="shared" si="10"/>
        <v>46124.723374041459</v>
      </c>
      <c r="Q105" s="67">
        <f t="shared" ca="1" si="12"/>
        <v>40</v>
      </c>
      <c r="R105" s="67">
        <f t="shared" ca="1" si="13"/>
        <v>38.276625958540535</v>
      </c>
      <c r="S105" s="78">
        <f t="shared" si="11"/>
        <v>1</v>
      </c>
      <c r="T105" s="79" t="str">
        <f t="shared" si="14"/>
        <v>CTC 9008</v>
      </c>
    </row>
    <row r="106" spans="2:20" hidden="1" x14ac:dyDescent="0.3">
      <c r="B106" s="36" t="str">
        <f t="shared" si="8"/>
        <v>202807-10</v>
      </c>
      <c r="C106" s="42">
        <v>1648</v>
      </c>
      <c r="D106" s="43">
        <v>8500</v>
      </c>
      <c r="E106" s="44">
        <v>46124</v>
      </c>
      <c r="F106" s="43">
        <v>3</v>
      </c>
      <c r="G106" s="43" t="s">
        <v>28</v>
      </c>
      <c r="H106" s="43">
        <v>202807</v>
      </c>
      <c r="I106" s="43" t="s">
        <v>42</v>
      </c>
      <c r="J106" s="43">
        <v>1</v>
      </c>
      <c r="K106" s="43">
        <v>10</v>
      </c>
      <c r="L106" s="43">
        <v>12</v>
      </c>
      <c r="M106" s="43" t="s">
        <v>43</v>
      </c>
      <c r="N106" s="43">
        <v>6</v>
      </c>
      <c r="O106" s="40">
        <f t="shared" si="9"/>
        <v>276744</v>
      </c>
      <c r="P106" s="41">
        <f t="shared" si="10"/>
        <v>46125.278188539742</v>
      </c>
      <c r="Q106" s="67">
        <f t="shared" ca="1" si="12"/>
        <v>39</v>
      </c>
      <c r="R106" s="67">
        <f t="shared" ca="1" si="13"/>
        <v>37.721811460258323</v>
      </c>
      <c r="S106" s="78">
        <f t="shared" si="11"/>
        <v>0.13863216266173753</v>
      </c>
      <c r="T106" s="79" t="str">
        <f t="shared" si="14"/>
        <v>RB07 5322</v>
      </c>
    </row>
    <row r="107" spans="2:20" hidden="1" x14ac:dyDescent="0.3">
      <c r="B107" s="36" t="str">
        <f t="shared" si="8"/>
        <v>202807-21</v>
      </c>
      <c r="C107" s="42">
        <v>1649</v>
      </c>
      <c r="D107" s="43">
        <v>8500</v>
      </c>
      <c r="E107" s="44">
        <v>46124</v>
      </c>
      <c r="F107" s="43">
        <v>3</v>
      </c>
      <c r="G107" s="43" t="s">
        <v>28</v>
      </c>
      <c r="H107" s="43">
        <v>202807</v>
      </c>
      <c r="I107" s="43" t="s">
        <v>42</v>
      </c>
      <c r="J107" s="43">
        <v>1</v>
      </c>
      <c r="K107" s="43">
        <v>21</v>
      </c>
      <c r="L107" s="43">
        <v>12</v>
      </c>
      <c r="M107" s="43" t="s">
        <v>43</v>
      </c>
      <c r="N107" s="43">
        <v>14</v>
      </c>
      <c r="O107" s="40">
        <f t="shared" si="9"/>
        <v>645736</v>
      </c>
      <c r="P107" s="41">
        <f t="shared" si="10"/>
        <v>46124.723374041459</v>
      </c>
      <c r="Q107" s="67">
        <f t="shared" ca="1" si="12"/>
        <v>39</v>
      </c>
      <c r="R107" s="67">
        <f t="shared" ca="1" si="13"/>
        <v>38.276625958540535</v>
      </c>
      <c r="S107" s="78">
        <f t="shared" si="11"/>
        <v>1</v>
      </c>
      <c r="T107" s="79" t="str">
        <f t="shared" si="14"/>
        <v>CTC 9008</v>
      </c>
    </row>
    <row r="108" spans="2:20" hidden="1" x14ac:dyDescent="0.3">
      <c r="B108" s="36" t="str">
        <f t="shared" si="8"/>
        <v>200518-2</v>
      </c>
      <c r="C108" s="42">
        <v>1650</v>
      </c>
      <c r="D108" s="43">
        <v>8563</v>
      </c>
      <c r="E108" s="44">
        <v>46124</v>
      </c>
      <c r="F108" s="43">
        <v>3</v>
      </c>
      <c r="G108" s="43" t="s">
        <v>28</v>
      </c>
      <c r="H108" s="43">
        <v>200518</v>
      </c>
      <c r="I108" s="43" t="s">
        <v>31</v>
      </c>
      <c r="J108" s="43">
        <v>1</v>
      </c>
      <c r="K108" s="43">
        <v>2</v>
      </c>
      <c r="L108" s="43">
        <v>4</v>
      </c>
      <c r="M108" s="43" t="s">
        <v>32</v>
      </c>
      <c r="N108" s="43">
        <v>5</v>
      </c>
      <c r="O108" s="40">
        <f t="shared" si="9"/>
        <v>230620</v>
      </c>
      <c r="P108" s="41">
        <f t="shared" si="10"/>
        <v>46126.371703997742</v>
      </c>
      <c r="Q108" s="67">
        <f t="shared" ca="1" si="12"/>
        <v>39</v>
      </c>
      <c r="R108" s="67">
        <f t="shared" ca="1" si="13"/>
        <v>36.628296002258139</v>
      </c>
      <c r="S108" s="78">
        <f t="shared" si="11"/>
        <v>1</v>
      </c>
      <c r="T108" s="79" t="str">
        <f t="shared" si="14"/>
        <v>CTC 9008</v>
      </c>
    </row>
    <row r="109" spans="2:20" x14ac:dyDescent="0.3">
      <c r="B109" s="36" t="str">
        <f t="shared" si="8"/>
        <v>200518-3</v>
      </c>
      <c r="C109" s="42">
        <v>1651</v>
      </c>
      <c r="D109" s="43">
        <v>8563</v>
      </c>
      <c r="E109" s="44">
        <v>46124</v>
      </c>
      <c r="F109" s="43">
        <v>3</v>
      </c>
      <c r="G109" s="43" t="s">
        <v>28</v>
      </c>
      <c r="H109" s="43">
        <v>200518</v>
      </c>
      <c r="I109" s="43" t="s">
        <v>31</v>
      </c>
      <c r="J109" s="43">
        <v>1</v>
      </c>
      <c r="K109" s="43">
        <v>3</v>
      </c>
      <c r="L109" s="43">
        <v>4</v>
      </c>
      <c r="M109" s="43" t="s">
        <v>32</v>
      </c>
      <c r="N109" s="43">
        <v>8</v>
      </c>
      <c r="O109" s="40">
        <f t="shared" si="9"/>
        <v>368992</v>
      </c>
      <c r="P109" s="41">
        <f t="shared" si="10"/>
        <v>46127.339454354682</v>
      </c>
      <c r="Q109" s="67">
        <f t="shared" ca="1" si="12"/>
        <v>39</v>
      </c>
      <c r="R109" s="67">
        <f t="shared" ca="1" si="13"/>
        <v>35.660545645318052</v>
      </c>
      <c r="S109" s="78">
        <f t="shared" si="11"/>
        <v>0.97061909758656884</v>
      </c>
      <c r="T109" s="79" t="str">
        <f t="shared" si="14"/>
        <v>RB97 5242</v>
      </c>
    </row>
    <row r="110" spans="2:20" hidden="1" x14ac:dyDescent="0.3">
      <c r="B110" s="36" t="str">
        <f t="shared" si="8"/>
        <v>200518-25</v>
      </c>
      <c r="C110" s="42">
        <v>1652</v>
      </c>
      <c r="D110" s="43">
        <v>8499</v>
      </c>
      <c r="E110" s="44">
        <v>46124</v>
      </c>
      <c r="F110" s="43">
        <v>3</v>
      </c>
      <c r="G110" s="43" t="s">
        <v>28</v>
      </c>
      <c r="H110" s="43">
        <v>200518</v>
      </c>
      <c r="I110" s="43" t="s">
        <v>31</v>
      </c>
      <c r="J110" s="43">
        <v>1</v>
      </c>
      <c r="K110" s="43">
        <v>25</v>
      </c>
      <c r="L110" s="43">
        <v>4</v>
      </c>
      <c r="M110" s="43" t="s">
        <v>32</v>
      </c>
      <c r="N110" s="43">
        <v>4.9000000000000004</v>
      </c>
      <c r="O110" s="40">
        <f t="shared" si="9"/>
        <v>226007.6</v>
      </c>
      <c r="P110" s="41">
        <f t="shared" si="10"/>
        <v>46126.460380573706</v>
      </c>
      <c r="Q110" s="67">
        <f t="shared" ca="1" si="12"/>
        <v>39</v>
      </c>
      <c r="R110" s="67">
        <f t="shared" ca="1" si="13"/>
        <v>36.539619426293939</v>
      </c>
      <c r="S110" s="78">
        <f t="shared" si="11"/>
        <v>0.9431979551263846</v>
      </c>
      <c r="T110" s="79" t="str">
        <f t="shared" si="14"/>
        <v>RB97 5242</v>
      </c>
    </row>
    <row r="111" spans="2:20" hidden="1" x14ac:dyDescent="0.3">
      <c r="B111" s="36" t="str">
        <f t="shared" si="8"/>
        <v>200518-26</v>
      </c>
      <c r="C111" s="42">
        <v>1653</v>
      </c>
      <c r="D111" s="43">
        <v>8499</v>
      </c>
      <c r="E111" s="44">
        <v>46124</v>
      </c>
      <c r="F111" s="43">
        <v>3</v>
      </c>
      <c r="G111" s="43" t="s">
        <v>28</v>
      </c>
      <c r="H111" s="43">
        <v>200518</v>
      </c>
      <c r="I111" s="43" t="s">
        <v>31</v>
      </c>
      <c r="J111" s="43">
        <v>1</v>
      </c>
      <c r="K111" s="43">
        <v>26</v>
      </c>
      <c r="L111" s="43">
        <v>4</v>
      </c>
      <c r="M111" s="43" t="s">
        <v>32</v>
      </c>
      <c r="N111" s="43">
        <v>5</v>
      </c>
      <c r="O111" s="40">
        <f t="shared" si="9"/>
        <v>230620</v>
      </c>
      <c r="P111" s="41">
        <f t="shared" si="10"/>
        <v>46127.007308547822</v>
      </c>
      <c r="Q111" s="67">
        <f t="shared" ca="1" si="12"/>
        <v>39</v>
      </c>
      <c r="R111" s="67">
        <f t="shared" ca="1" si="13"/>
        <v>35.992691452178406</v>
      </c>
      <c r="S111" s="78">
        <f t="shared" si="11"/>
        <v>0.93644741023196698</v>
      </c>
      <c r="T111" s="79" t="str">
        <f t="shared" si="14"/>
        <v>RB97 5242</v>
      </c>
    </row>
    <row r="112" spans="2:20" hidden="1" x14ac:dyDescent="0.3">
      <c r="B112" s="36" t="str">
        <f t="shared" si="8"/>
        <v>202807-10</v>
      </c>
      <c r="C112" s="42">
        <v>1656</v>
      </c>
      <c r="D112" s="43">
        <v>8500</v>
      </c>
      <c r="E112" s="44">
        <v>46125</v>
      </c>
      <c r="F112" s="43">
        <v>3</v>
      </c>
      <c r="G112" s="43" t="s">
        <v>28</v>
      </c>
      <c r="H112" s="43">
        <v>202807</v>
      </c>
      <c r="I112" s="43" t="s">
        <v>42</v>
      </c>
      <c r="J112" s="43">
        <v>1</v>
      </c>
      <c r="K112" s="43">
        <v>10</v>
      </c>
      <c r="L112" s="43">
        <v>72</v>
      </c>
      <c r="M112" s="43" t="s">
        <v>44</v>
      </c>
      <c r="N112" s="43">
        <v>19.239999999999998</v>
      </c>
      <c r="O112" s="40">
        <f t="shared" si="9"/>
        <v>887444.99999999988</v>
      </c>
      <c r="P112" s="41">
        <f t="shared" si="10"/>
        <v>46125.278188539742</v>
      </c>
      <c r="Q112" s="67">
        <f t="shared" ca="1" si="12"/>
        <v>38</v>
      </c>
      <c r="R112" s="67">
        <f t="shared" ca="1" si="13"/>
        <v>37.721811460258323</v>
      </c>
      <c r="S112" s="78">
        <f t="shared" si="11"/>
        <v>0.8613678373382625</v>
      </c>
      <c r="T112" s="79" t="str">
        <f t="shared" si="14"/>
        <v>RB07 5322</v>
      </c>
    </row>
    <row r="113" spans="2:20" hidden="1" x14ac:dyDescent="0.3">
      <c r="B113" s="36" t="str">
        <f t="shared" si="8"/>
        <v>200518-25</v>
      </c>
      <c r="C113" s="42">
        <v>1657</v>
      </c>
      <c r="D113" s="43">
        <v>8499</v>
      </c>
      <c r="E113" s="44">
        <v>46125</v>
      </c>
      <c r="F113" s="43">
        <v>3</v>
      </c>
      <c r="G113" s="43" t="s">
        <v>28</v>
      </c>
      <c r="H113" s="43">
        <v>200518</v>
      </c>
      <c r="I113" s="43" t="s">
        <v>31</v>
      </c>
      <c r="J113" s="43">
        <v>1</v>
      </c>
      <c r="K113" s="43">
        <v>25</v>
      </c>
      <c r="L113" s="43">
        <v>4</v>
      </c>
      <c r="M113" s="43" t="s">
        <v>32</v>
      </c>
      <c r="N113" s="43">
        <v>15.1</v>
      </c>
      <c r="O113" s="40">
        <f t="shared" si="9"/>
        <v>696487.5</v>
      </c>
      <c r="P113" s="41">
        <f t="shared" si="10"/>
        <v>46126.460380573706</v>
      </c>
      <c r="Q113" s="67">
        <f t="shared" ca="1" si="12"/>
        <v>38</v>
      </c>
      <c r="R113" s="67">
        <f t="shared" ca="1" si="13"/>
        <v>36.539619426293939</v>
      </c>
      <c r="S113" s="78">
        <f t="shared" si="11"/>
        <v>0.9431979551263846</v>
      </c>
      <c r="T113" s="79" t="str">
        <f t="shared" si="14"/>
        <v>RB97 5242</v>
      </c>
    </row>
    <row r="114" spans="2:20" hidden="1" x14ac:dyDescent="0.3">
      <c r="B114" s="36" t="str">
        <f t="shared" si="8"/>
        <v>200518-26</v>
      </c>
      <c r="C114" s="42">
        <v>1658</v>
      </c>
      <c r="D114" s="43">
        <v>8499</v>
      </c>
      <c r="E114" s="44">
        <v>46125</v>
      </c>
      <c r="F114" s="43">
        <v>3</v>
      </c>
      <c r="G114" s="43" t="s">
        <v>28</v>
      </c>
      <c r="H114" s="43">
        <v>200518</v>
      </c>
      <c r="I114" s="43" t="s">
        <v>31</v>
      </c>
      <c r="J114" s="43">
        <v>1</v>
      </c>
      <c r="K114" s="43">
        <v>26</v>
      </c>
      <c r="L114" s="43">
        <v>4</v>
      </c>
      <c r="M114" s="43" t="s">
        <v>32</v>
      </c>
      <c r="N114" s="43">
        <v>8.1</v>
      </c>
      <c r="O114" s="40">
        <f t="shared" si="9"/>
        <v>373612.5</v>
      </c>
      <c r="P114" s="41">
        <f t="shared" si="10"/>
        <v>46127.007308547822</v>
      </c>
      <c r="Q114" s="67">
        <f t="shared" ca="1" si="12"/>
        <v>38</v>
      </c>
      <c r="R114" s="67">
        <f t="shared" ca="1" si="13"/>
        <v>35.992691452178406</v>
      </c>
      <c r="S114" s="78">
        <f t="shared" si="11"/>
        <v>0.93644741023196698</v>
      </c>
      <c r="T114" s="79" t="str">
        <f t="shared" si="14"/>
        <v>RB97 5242</v>
      </c>
    </row>
    <row r="115" spans="2:20" hidden="1" x14ac:dyDescent="0.3">
      <c r="B115" s="36" t="str">
        <f t="shared" si="8"/>
        <v>200518-27</v>
      </c>
      <c r="C115" s="42">
        <v>1659</v>
      </c>
      <c r="D115" s="43">
        <v>8499</v>
      </c>
      <c r="E115" s="44">
        <v>46125</v>
      </c>
      <c r="F115" s="43">
        <v>3</v>
      </c>
      <c r="G115" s="43" t="s">
        <v>28</v>
      </c>
      <c r="H115" s="43">
        <v>200518</v>
      </c>
      <c r="I115" s="43" t="s">
        <v>31</v>
      </c>
      <c r="J115" s="43">
        <v>1</v>
      </c>
      <c r="K115" s="43">
        <v>27</v>
      </c>
      <c r="L115" s="43">
        <v>4</v>
      </c>
      <c r="M115" s="43" t="s">
        <v>32</v>
      </c>
      <c r="N115" s="43">
        <v>2.52</v>
      </c>
      <c r="O115" s="40">
        <f t="shared" si="9"/>
        <v>116235</v>
      </c>
      <c r="P115" s="41">
        <f t="shared" si="10"/>
        <v>46129.243539202798</v>
      </c>
      <c r="Q115" s="67">
        <f t="shared" ca="1" si="12"/>
        <v>38</v>
      </c>
      <c r="R115" s="67">
        <f t="shared" ca="1" si="13"/>
        <v>33.756460797201726</v>
      </c>
      <c r="S115" s="78">
        <f t="shared" si="11"/>
        <v>0.86771791502409112</v>
      </c>
      <c r="T115" s="79" t="str">
        <f t="shared" si="14"/>
        <v>RB97 5242</v>
      </c>
    </row>
    <row r="116" spans="2:20" hidden="1" x14ac:dyDescent="0.3">
      <c r="B116" s="36" t="str">
        <f t="shared" si="8"/>
        <v>200518-25</v>
      </c>
      <c r="C116" s="42">
        <v>1660</v>
      </c>
      <c r="D116" s="43">
        <v>8499</v>
      </c>
      <c r="E116" s="44">
        <v>46126</v>
      </c>
      <c r="F116" s="43">
        <v>3</v>
      </c>
      <c r="G116" s="43" t="s">
        <v>28</v>
      </c>
      <c r="H116" s="43">
        <v>200518</v>
      </c>
      <c r="I116" s="43" t="s">
        <v>31</v>
      </c>
      <c r="J116" s="43">
        <v>1</v>
      </c>
      <c r="K116" s="43">
        <v>25</v>
      </c>
      <c r="L116" s="43">
        <v>4</v>
      </c>
      <c r="M116" s="43" t="s">
        <v>32</v>
      </c>
      <c r="N116" s="43">
        <v>5.0999999999999996</v>
      </c>
      <c r="O116" s="40">
        <f t="shared" si="9"/>
        <v>235242.59999999998</v>
      </c>
      <c r="P116" s="41">
        <f t="shared" si="10"/>
        <v>46126.460380573706</v>
      </c>
      <c r="Q116" s="67">
        <f t="shared" ca="1" si="12"/>
        <v>37</v>
      </c>
      <c r="R116" s="67">
        <f t="shared" ca="1" si="13"/>
        <v>36.539619426293939</v>
      </c>
      <c r="S116" s="78">
        <f t="shared" si="11"/>
        <v>0.9431979551263846</v>
      </c>
      <c r="T116" s="79" t="str">
        <f t="shared" si="14"/>
        <v>RB97 5242</v>
      </c>
    </row>
    <row r="117" spans="2:20" hidden="1" x14ac:dyDescent="0.3">
      <c r="B117" s="36" t="str">
        <f t="shared" si="8"/>
        <v>200518-26</v>
      </c>
      <c r="C117" s="42">
        <v>1661</v>
      </c>
      <c r="D117" s="43">
        <v>8499</v>
      </c>
      <c r="E117" s="44">
        <v>46126</v>
      </c>
      <c r="F117" s="43">
        <v>3</v>
      </c>
      <c r="G117" s="43" t="s">
        <v>28</v>
      </c>
      <c r="H117" s="43">
        <v>200518</v>
      </c>
      <c r="I117" s="43" t="s">
        <v>31</v>
      </c>
      <c r="J117" s="43">
        <v>1</v>
      </c>
      <c r="K117" s="43">
        <v>26</v>
      </c>
      <c r="L117" s="43">
        <v>4</v>
      </c>
      <c r="M117" s="43" t="s">
        <v>32</v>
      </c>
      <c r="N117" s="43">
        <v>4.57</v>
      </c>
      <c r="O117" s="40">
        <f t="shared" si="9"/>
        <v>210795.82</v>
      </c>
      <c r="P117" s="41">
        <f t="shared" si="10"/>
        <v>46127.007308547822</v>
      </c>
      <c r="Q117" s="67">
        <f t="shared" ca="1" si="12"/>
        <v>37</v>
      </c>
      <c r="R117" s="67">
        <f t="shared" ca="1" si="13"/>
        <v>35.992691452178406</v>
      </c>
      <c r="S117" s="78">
        <f t="shared" si="11"/>
        <v>0.93644741023196698</v>
      </c>
      <c r="T117" s="79" t="str">
        <f t="shared" si="14"/>
        <v>RB97 5242</v>
      </c>
    </row>
    <row r="118" spans="2:20" hidden="1" x14ac:dyDescent="0.3">
      <c r="B118" s="36" t="str">
        <f t="shared" si="8"/>
        <v>200518-27</v>
      </c>
      <c r="C118" s="42">
        <v>1662</v>
      </c>
      <c r="D118" s="43">
        <v>8499</v>
      </c>
      <c r="E118" s="44">
        <v>46126</v>
      </c>
      <c r="F118" s="43">
        <v>3</v>
      </c>
      <c r="G118" s="43" t="s">
        <v>28</v>
      </c>
      <c r="H118" s="43">
        <v>200518</v>
      </c>
      <c r="I118" s="43" t="s">
        <v>31</v>
      </c>
      <c r="J118" s="43">
        <v>1</v>
      </c>
      <c r="K118" s="43">
        <v>27</v>
      </c>
      <c r="L118" s="43">
        <v>4</v>
      </c>
      <c r="M118" s="43" t="s">
        <v>32</v>
      </c>
      <c r="N118" s="43">
        <v>13.2</v>
      </c>
      <c r="O118" s="40">
        <f t="shared" si="9"/>
        <v>608863.19999999995</v>
      </c>
      <c r="P118" s="41">
        <f t="shared" si="10"/>
        <v>46129.243539202798</v>
      </c>
      <c r="Q118" s="67">
        <f t="shared" ca="1" si="12"/>
        <v>37</v>
      </c>
      <c r="R118" s="67">
        <f t="shared" ca="1" si="13"/>
        <v>33.756460797201726</v>
      </c>
      <c r="S118" s="78">
        <f t="shared" si="11"/>
        <v>0.86771791502409112</v>
      </c>
      <c r="T118" s="79" t="str">
        <f t="shared" si="14"/>
        <v>RB97 5242</v>
      </c>
    </row>
    <row r="119" spans="2:20" hidden="1" x14ac:dyDescent="0.3">
      <c r="B119" s="36" t="str">
        <f t="shared" si="8"/>
        <v>202807-10</v>
      </c>
      <c r="C119" s="42">
        <v>1663</v>
      </c>
      <c r="D119" s="43">
        <v>8500</v>
      </c>
      <c r="E119" s="44">
        <v>46126</v>
      </c>
      <c r="F119" s="43">
        <v>3</v>
      </c>
      <c r="G119" s="43" t="s">
        <v>28</v>
      </c>
      <c r="H119" s="43">
        <v>202807</v>
      </c>
      <c r="I119" s="43" t="s">
        <v>42</v>
      </c>
      <c r="J119" s="43">
        <v>1</v>
      </c>
      <c r="K119" s="43">
        <v>10</v>
      </c>
      <c r="L119" s="43">
        <v>72</v>
      </c>
      <c r="M119" s="43" t="s">
        <v>44</v>
      </c>
      <c r="N119" s="43">
        <v>18.04</v>
      </c>
      <c r="O119" s="40">
        <f t="shared" si="9"/>
        <v>832113.03999999992</v>
      </c>
      <c r="P119" s="41">
        <f t="shared" si="10"/>
        <v>46125.278188539742</v>
      </c>
      <c r="Q119" s="67">
        <f t="shared" ca="1" si="12"/>
        <v>37</v>
      </c>
      <c r="R119" s="67">
        <f t="shared" ca="1" si="13"/>
        <v>37.721811460258323</v>
      </c>
      <c r="S119" s="78">
        <f t="shared" si="11"/>
        <v>0.8613678373382625</v>
      </c>
      <c r="T119" s="79" t="str">
        <f t="shared" si="14"/>
        <v>RB07 5322</v>
      </c>
    </row>
    <row r="120" spans="2:20" hidden="1" x14ac:dyDescent="0.3">
      <c r="B120" s="36" t="str">
        <f t="shared" si="8"/>
        <v>202807-21</v>
      </c>
      <c r="C120" s="42">
        <v>1664</v>
      </c>
      <c r="D120" s="43">
        <v>8500</v>
      </c>
      <c r="E120" s="44">
        <v>46127</v>
      </c>
      <c r="F120" s="43">
        <v>3</v>
      </c>
      <c r="G120" s="43" t="s">
        <v>28</v>
      </c>
      <c r="H120" s="43">
        <v>202807</v>
      </c>
      <c r="I120" s="43" t="s">
        <v>42</v>
      </c>
      <c r="J120" s="43">
        <v>1</v>
      </c>
      <c r="K120" s="43">
        <v>21</v>
      </c>
      <c r="L120" s="43">
        <v>12</v>
      </c>
      <c r="M120" s="43" t="s">
        <v>43</v>
      </c>
      <c r="N120" s="43">
        <v>11.67</v>
      </c>
      <c r="O120" s="40">
        <f t="shared" si="9"/>
        <v>538302.09</v>
      </c>
      <c r="P120" s="41">
        <f t="shared" si="10"/>
        <v>46124.723374041459</v>
      </c>
      <c r="Q120" s="67">
        <f t="shared" ca="1" si="12"/>
        <v>36</v>
      </c>
      <c r="R120" s="67">
        <f t="shared" ca="1" si="13"/>
        <v>38.276625958540535</v>
      </c>
      <c r="S120" s="78">
        <f t="shared" si="11"/>
        <v>1</v>
      </c>
      <c r="T120" s="79" t="str">
        <f t="shared" si="14"/>
        <v>CTC 9008</v>
      </c>
    </row>
    <row r="121" spans="2:20" hidden="1" x14ac:dyDescent="0.3">
      <c r="B121" s="36" t="str">
        <f t="shared" si="8"/>
        <v>200518-25</v>
      </c>
      <c r="C121" s="42">
        <v>1665</v>
      </c>
      <c r="D121" s="43">
        <v>8499</v>
      </c>
      <c r="E121" s="44">
        <v>46127</v>
      </c>
      <c r="F121" s="43">
        <v>3</v>
      </c>
      <c r="G121" s="43" t="s">
        <v>28</v>
      </c>
      <c r="H121" s="43">
        <v>200518</v>
      </c>
      <c r="I121" s="43" t="s">
        <v>31</v>
      </c>
      <c r="J121" s="43">
        <v>1</v>
      </c>
      <c r="K121" s="43">
        <v>25</v>
      </c>
      <c r="L121" s="43">
        <v>4</v>
      </c>
      <c r="M121" s="43" t="s">
        <v>32</v>
      </c>
      <c r="N121" s="43">
        <v>5.1100000000000003</v>
      </c>
      <c r="O121" s="40">
        <f t="shared" si="9"/>
        <v>235708.97</v>
      </c>
      <c r="P121" s="41">
        <f t="shared" si="10"/>
        <v>46126.460380573706</v>
      </c>
      <c r="Q121" s="67">
        <f t="shared" ca="1" si="12"/>
        <v>36</v>
      </c>
      <c r="R121" s="67">
        <f t="shared" ca="1" si="13"/>
        <v>36.539619426293939</v>
      </c>
      <c r="S121" s="78">
        <f t="shared" si="11"/>
        <v>0.9431979551263846</v>
      </c>
      <c r="T121" s="79" t="str">
        <f t="shared" si="14"/>
        <v>RB97 5242</v>
      </c>
    </row>
    <row r="122" spans="2:20" hidden="1" x14ac:dyDescent="0.3">
      <c r="B122" s="36" t="str">
        <f t="shared" si="8"/>
        <v>200518-26</v>
      </c>
      <c r="C122" s="42">
        <v>1666</v>
      </c>
      <c r="D122" s="43">
        <v>8499</v>
      </c>
      <c r="E122" s="44">
        <v>46127</v>
      </c>
      <c r="F122" s="43">
        <v>3</v>
      </c>
      <c r="G122" s="43" t="s">
        <v>28</v>
      </c>
      <c r="H122" s="43">
        <v>200518</v>
      </c>
      <c r="I122" s="43" t="s">
        <v>31</v>
      </c>
      <c r="J122" s="43">
        <v>1</v>
      </c>
      <c r="K122" s="43">
        <v>26</v>
      </c>
      <c r="L122" s="43">
        <v>4</v>
      </c>
      <c r="M122" s="43" t="s">
        <v>32</v>
      </c>
      <c r="N122" s="43">
        <v>9.8000000000000007</v>
      </c>
      <c r="O122" s="40">
        <f t="shared" si="9"/>
        <v>452044.60000000003</v>
      </c>
      <c r="P122" s="41">
        <f t="shared" si="10"/>
        <v>46127.007308547822</v>
      </c>
      <c r="Q122" s="67">
        <f t="shared" ca="1" si="12"/>
        <v>36</v>
      </c>
      <c r="R122" s="67">
        <f t="shared" ca="1" si="13"/>
        <v>35.992691452178406</v>
      </c>
      <c r="S122" s="78">
        <f t="shared" si="11"/>
        <v>0.93644741023196698</v>
      </c>
      <c r="T122" s="79" t="str">
        <f t="shared" si="14"/>
        <v>RB97 5242</v>
      </c>
    </row>
    <row r="123" spans="2:20" hidden="1" x14ac:dyDescent="0.3">
      <c r="B123" s="36" t="str">
        <f t="shared" si="8"/>
        <v>200518-27</v>
      </c>
      <c r="C123" s="42">
        <v>1667</v>
      </c>
      <c r="D123" s="43">
        <v>8499</v>
      </c>
      <c r="E123" s="44">
        <v>46127</v>
      </c>
      <c r="F123" s="43">
        <v>3</v>
      </c>
      <c r="G123" s="43" t="s">
        <v>28</v>
      </c>
      <c r="H123" s="43">
        <v>200518</v>
      </c>
      <c r="I123" s="43" t="s">
        <v>31</v>
      </c>
      <c r="J123" s="43">
        <v>1</v>
      </c>
      <c r="K123" s="43">
        <v>27</v>
      </c>
      <c r="L123" s="43">
        <v>4</v>
      </c>
      <c r="M123" s="43" t="s">
        <v>32</v>
      </c>
      <c r="N123" s="43">
        <v>4.09</v>
      </c>
      <c r="O123" s="40">
        <f t="shared" si="9"/>
        <v>188659.43</v>
      </c>
      <c r="P123" s="41">
        <f t="shared" si="10"/>
        <v>46129.243539202798</v>
      </c>
      <c r="Q123" s="67">
        <f t="shared" ca="1" si="12"/>
        <v>36</v>
      </c>
      <c r="R123" s="67">
        <f t="shared" ca="1" si="13"/>
        <v>33.756460797201726</v>
      </c>
      <c r="S123" s="78">
        <f t="shared" si="11"/>
        <v>0.86771791502409112</v>
      </c>
      <c r="T123" s="79" t="str">
        <f t="shared" si="14"/>
        <v>RB97 5242</v>
      </c>
    </row>
    <row r="124" spans="2:20" x14ac:dyDescent="0.3">
      <c r="B124" s="36" t="str">
        <f t="shared" si="8"/>
        <v>200518-3</v>
      </c>
      <c r="C124" s="42">
        <v>1668</v>
      </c>
      <c r="D124" s="43">
        <v>8563</v>
      </c>
      <c r="E124" s="44">
        <v>46127</v>
      </c>
      <c r="F124" s="43">
        <v>3</v>
      </c>
      <c r="G124" s="43" t="s">
        <v>28</v>
      </c>
      <c r="H124" s="43">
        <v>200518</v>
      </c>
      <c r="I124" s="43" t="s">
        <v>31</v>
      </c>
      <c r="J124" s="43">
        <v>1</v>
      </c>
      <c r="K124" s="43">
        <v>3</v>
      </c>
      <c r="L124" s="43">
        <v>4</v>
      </c>
      <c r="M124" s="43" t="s">
        <v>32</v>
      </c>
      <c r="N124" s="43">
        <v>4.74</v>
      </c>
      <c r="O124" s="40">
        <f t="shared" si="9"/>
        <v>218641.98</v>
      </c>
      <c r="P124" s="41">
        <f t="shared" si="10"/>
        <v>46127.339454354682</v>
      </c>
      <c r="Q124" s="67">
        <f t="shared" ca="1" si="12"/>
        <v>36</v>
      </c>
      <c r="R124" s="67">
        <f t="shared" ca="1" si="13"/>
        <v>35.660545645318052</v>
      </c>
      <c r="S124" s="78">
        <f t="shared" si="11"/>
        <v>0.97061909758656884</v>
      </c>
      <c r="T124" s="79" t="str">
        <f t="shared" si="14"/>
        <v>RB97 5242</v>
      </c>
    </row>
    <row r="125" spans="2:20" x14ac:dyDescent="0.3">
      <c r="B125" s="36" t="str">
        <f t="shared" si="8"/>
        <v>200518-3</v>
      </c>
      <c r="C125" s="42">
        <v>1669</v>
      </c>
      <c r="D125" s="43">
        <v>8563</v>
      </c>
      <c r="E125" s="44">
        <v>46128</v>
      </c>
      <c r="F125" s="43">
        <v>3</v>
      </c>
      <c r="G125" s="43" t="s">
        <v>28</v>
      </c>
      <c r="H125" s="43">
        <v>200518</v>
      </c>
      <c r="I125" s="43" t="s">
        <v>31</v>
      </c>
      <c r="J125" s="43">
        <v>1</v>
      </c>
      <c r="K125" s="43">
        <v>3</v>
      </c>
      <c r="L125" s="43">
        <v>4</v>
      </c>
      <c r="M125" s="43" t="s">
        <v>32</v>
      </c>
      <c r="N125" s="43">
        <v>4.4000000000000004</v>
      </c>
      <c r="O125" s="40">
        <f t="shared" si="9"/>
        <v>202963.20000000001</v>
      </c>
      <c r="P125" s="41">
        <f t="shared" si="10"/>
        <v>46127.339454354682</v>
      </c>
      <c r="Q125" s="67">
        <f t="shared" ca="1" si="12"/>
        <v>35</v>
      </c>
      <c r="R125" s="67">
        <f t="shared" ca="1" si="13"/>
        <v>35.660545645318052</v>
      </c>
      <c r="S125" s="78">
        <f t="shared" si="11"/>
        <v>0.97061909758656884</v>
      </c>
      <c r="T125" s="79" t="str">
        <f t="shared" si="14"/>
        <v>RB97 5242</v>
      </c>
    </row>
    <row r="126" spans="2:20" hidden="1" x14ac:dyDescent="0.3">
      <c r="B126" s="36" t="str">
        <f t="shared" si="8"/>
        <v>200518-4</v>
      </c>
      <c r="C126" s="42">
        <v>1670</v>
      </c>
      <c r="D126" s="43">
        <v>8633</v>
      </c>
      <c r="E126" s="44">
        <v>46128</v>
      </c>
      <c r="F126" s="43">
        <v>3</v>
      </c>
      <c r="G126" s="43" t="s">
        <v>28</v>
      </c>
      <c r="H126" s="43">
        <v>200518</v>
      </c>
      <c r="I126" s="43" t="s">
        <v>31</v>
      </c>
      <c r="J126" s="43">
        <v>1</v>
      </c>
      <c r="K126" s="43">
        <v>4</v>
      </c>
      <c r="L126" s="43">
        <v>4</v>
      </c>
      <c r="M126" s="43" t="s">
        <v>32</v>
      </c>
      <c r="N126" s="43">
        <v>21.1</v>
      </c>
      <c r="O126" s="40">
        <f t="shared" si="9"/>
        <v>973300.8</v>
      </c>
      <c r="P126" s="41">
        <f t="shared" si="10"/>
        <v>46131.5206559445</v>
      </c>
      <c r="Q126" s="67">
        <f t="shared" ca="1" si="12"/>
        <v>35</v>
      </c>
      <c r="R126" s="67">
        <f t="shared" ca="1" si="13"/>
        <v>31.479344055500405</v>
      </c>
      <c r="S126" s="78">
        <f t="shared" si="11"/>
        <v>1</v>
      </c>
      <c r="T126" s="79" t="str">
        <f t="shared" si="14"/>
        <v>CTC 9008</v>
      </c>
    </row>
    <row r="127" spans="2:20" hidden="1" x14ac:dyDescent="0.3">
      <c r="B127" s="36" t="str">
        <f t="shared" si="8"/>
        <v>207982-1</v>
      </c>
      <c r="C127" s="42">
        <v>1671</v>
      </c>
      <c r="D127" s="43">
        <v>8632</v>
      </c>
      <c r="E127" s="44">
        <v>46128</v>
      </c>
      <c r="F127" s="43">
        <v>3</v>
      </c>
      <c r="G127" s="43" t="s">
        <v>28</v>
      </c>
      <c r="H127" s="43">
        <v>207982</v>
      </c>
      <c r="I127" s="43" t="s">
        <v>50</v>
      </c>
      <c r="J127" s="43">
        <v>1</v>
      </c>
      <c r="K127" s="43">
        <v>1</v>
      </c>
      <c r="L127" s="43">
        <v>70</v>
      </c>
      <c r="M127" s="43" t="s">
        <v>40</v>
      </c>
      <c r="N127" s="43">
        <v>14.44</v>
      </c>
      <c r="O127" s="40">
        <f t="shared" si="9"/>
        <v>666088.31999999995</v>
      </c>
      <c r="P127" s="41">
        <f t="shared" si="10"/>
        <v>46128.172018348625</v>
      </c>
      <c r="Q127" s="67">
        <f t="shared" ca="1" si="12"/>
        <v>35</v>
      </c>
      <c r="R127" s="67">
        <f t="shared" ca="1" si="13"/>
        <v>34.827981651375012</v>
      </c>
      <c r="S127" s="78">
        <f t="shared" si="11"/>
        <v>0.82798165137614688</v>
      </c>
      <c r="T127" s="79" t="str">
        <f t="shared" si="14"/>
        <v>CTC 3445</v>
      </c>
    </row>
    <row r="128" spans="2:20" hidden="1" x14ac:dyDescent="0.3">
      <c r="B128" s="36" t="str">
        <f t="shared" si="8"/>
        <v>207982-2</v>
      </c>
      <c r="C128" s="42">
        <v>1672</v>
      </c>
      <c r="D128" s="43">
        <v>8632</v>
      </c>
      <c r="E128" s="44">
        <v>46128</v>
      </c>
      <c r="F128" s="43">
        <v>3</v>
      </c>
      <c r="G128" s="43" t="s">
        <v>28</v>
      </c>
      <c r="H128" s="43">
        <v>207982</v>
      </c>
      <c r="I128" s="43" t="s">
        <v>50</v>
      </c>
      <c r="J128" s="43">
        <v>1</v>
      </c>
      <c r="K128" s="43">
        <v>2</v>
      </c>
      <c r="L128" s="43">
        <v>72</v>
      </c>
      <c r="M128" s="43" t="s">
        <v>44</v>
      </c>
      <c r="N128" s="43">
        <v>3.7</v>
      </c>
      <c r="O128" s="40">
        <f t="shared" si="9"/>
        <v>170673.6</v>
      </c>
      <c r="P128" s="41">
        <f t="shared" si="10"/>
        <v>46124.802805923617</v>
      </c>
      <c r="Q128" s="67">
        <f t="shared" ca="1" si="12"/>
        <v>35</v>
      </c>
      <c r="R128" s="67">
        <f t="shared" ca="1" si="13"/>
        <v>38.197194076383312</v>
      </c>
      <c r="S128" s="78">
        <f t="shared" si="11"/>
        <v>0.14419329696024943</v>
      </c>
      <c r="T128" s="79" t="str">
        <f t="shared" si="14"/>
        <v>RB97 5201</v>
      </c>
    </row>
    <row r="129" spans="2:20" hidden="1" x14ac:dyDescent="0.3">
      <c r="B129" s="36" t="str">
        <f t="shared" si="8"/>
        <v>207870-11</v>
      </c>
      <c r="C129" s="42">
        <v>1673</v>
      </c>
      <c r="D129" s="43">
        <v>8648</v>
      </c>
      <c r="E129" s="44">
        <v>46129</v>
      </c>
      <c r="F129" s="43">
        <v>3</v>
      </c>
      <c r="G129" s="43" t="s">
        <v>28</v>
      </c>
      <c r="H129" s="43">
        <v>207870</v>
      </c>
      <c r="I129" s="43" t="s">
        <v>47</v>
      </c>
      <c r="J129" s="43">
        <v>1</v>
      </c>
      <c r="K129" s="43">
        <v>11</v>
      </c>
      <c r="L129" s="43">
        <v>18</v>
      </c>
      <c r="M129" s="43" t="s">
        <v>48</v>
      </c>
      <c r="N129" s="43">
        <v>21.28</v>
      </c>
      <c r="O129" s="40">
        <f t="shared" si="9"/>
        <v>981625.12</v>
      </c>
      <c r="P129" s="41">
        <f t="shared" si="10"/>
        <v>46129.241895261846</v>
      </c>
      <c r="Q129" s="67">
        <f t="shared" ca="1" si="12"/>
        <v>34</v>
      </c>
      <c r="R129" s="67">
        <f t="shared" ca="1" si="13"/>
        <v>33.758104738153634</v>
      </c>
      <c r="S129" s="78">
        <f t="shared" si="11"/>
        <v>1</v>
      </c>
      <c r="T129" s="79" t="str">
        <f t="shared" si="14"/>
        <v>CTC 9008</v>
      </c>
    </row>
    <row r="130" spans="2:20" hidden="1" x14ac:dyDescent="0.3">
      <c r="B130" s="36" t="str">
        <f t="shared" ref="B130:B193" si="15">CONCATENATE(H130,"-",K130)</f>
        <v>207982-1</v>
      </c>
      <c r="C130" s="42">
        <v>1677</v>
      </c>
      <c r="D130" s="43">
        <v>8632</v>
      </c>
      <c r="E130" s="44">
        <v>46129</v>
      </c>
      <c r="F130" s="43">
        <v>3</v>
      </c>
      <c r="G130" s="43" t="s">
        <v>28</v>
      </c>
      <c r="H130" s="43">
        <v>207982</v>
      </c>
      <c r="I130" s="43" t="s">
        <v>50</v>
      </c>
      <c r="J130" s="43">
        <v>1</v>
      </c>
      <c r="K130" s="43">
        <v>1</v>
      </c>
      <c r="L130" s="43">
        <v>5</v>
      </c>
      <c r="M130" s="43" t="s">
        <v>51</v>
      </c>
      <c r="N130" s="43">
        <v>3</v>
      </c>
      <c r="O130" s="40">
        <f t="shared" ref="O130:O193" si="16">IFERROR(E130*N130,"")</f>
        <v>138387</v>
      </c>
      <c r="P130" s="41">
        <f t="shared" ref="P130:P193" si="17">IFERROR(SUMIFS(O:O,B:B,B130)/SUMIFS(N:N,B:B,B130),"")</f>
        <v>46128.172018348625</v>
      </c>
      <c r="Q130" s="67">
        <f t="shared" ca="1" si="12"/>
        <v>34</v>
      </c>
      <c r="R130" s="67">
        <f t="shared" ca="1" si="13"/>
        <v>34.827981651375012</v>
      </c>
      <c r="S130" s="78">
        <f t="shared" ref="S130:S193" si="18">SUMIFS(N:N,B:B,B130,M:M,M130)/SUMIFS(N:N,B:B,B130)</f>
        <v>0.17201834862385323</v>
      </c>
      <c r="T130" s="79" t="str">
        <f t="shared" si="14"/>
        <v>CTC 3445</v>
      </c>
    </row>
    <row r="131" spans="2:20" hidden="1" x14ac:dyDescent="0.3">
      <c r="B131" s="36" t="str">
        <f t="shared" si="15"/>
        <v>207982-2</v>
      </c>
      <c r="C131" s="42">
        <v>1678</v>
      </c>
      <c r="D131" s="43">
        <v>8632</v>
      </c>
      <c r="E131" s="44">
        <v>46129</v>
      </c>
      <c r="F131" s="43">
        <v>3</v>
      </c>
      <c r="G131" s="43" t="s">
        <v>28</v>
      </c>
      <c r="H131" s="43">
        <v>207982</v>
      </c>
      <c r="I131" s="43" t="s">
        <v>50</v>
      </c>
      <c r="J131" s="43">
        <v>1</v>
      </c>
      <c r="K131" s="43">
        <v>2</v>
      </c>
      <c r="L131" s="43">
        <v>5</v>
      </c>
      <c r="M131" s="43" t="s">
        <v>51</v>
      </c>
      <c r="N131" s="43">
        <v>13.96</v>
      </c>
      <c r="O131" s="40">
        <f t="shared" si="16"/>
        <v>643960.84000000008</v>
      </c>
      <c r="P131" s="41">
        <f t="shared" si="17"/>
        <v>46124.802805923617</v>
      </c>
      <c r="Q131" s="67">
        <f t="shared" ref="Q131:Q194" ca="1" si="19">TODAY()-E131</f>
        <v>34</v>
      </c>
      <c r="R131" s="67">
        <f t="shared" ref="R131:R194" ca="1" si="20">TODAY()-P131</f>
        <v>38.197194076383312</v>
      </c>
      <c r="S131" s="78">
        <f t="shared" si="18"/>
        <v>0.544037412314887</v>
      </c>
      <c r="T131" s="79" t="str">
        <f t="shared" si="14"/>
        <v>RB97 5201</v>
      </c>
    </row>
    <row r="132" spans="2:20" hidden="1" x14ac:dyDescent="0.3">
      <c r="B132" s="36" t="str">
        <f t="shared" si="15"/>
        <v>207982-6</v>
      </c>
      <c r="C132" s="42">
        <v>1679</v>
      </c>
      <c r="D132" s="43">
        <v>8632</v>
      </c>
      <c r="E132" s="44">
        <v>46129</v>
      </c>
      <c r="F132" s="43">
        <v>3</v>
      </c>
      <c r="G132" s="43" t="s">
        <v>28</v>
      </c>
      <c r="H132" s="43">
        <v>207982</v>
      </c>
      <c r="I132" s="43" t="s">
        <v>50</v>
      </c>
      <c r="J132" s="43">
        <v>1</v>
      </c>
      <c r="K132" s="43">
        <v>6</v>
      </c>
      <c r="L132" s="43">
        <v>5</v>
      </c>
      <c r="M132" s="43" t="s">
        <v>51</v>
      </c>
      <c r="N132" s="43">
        <v>8.02</v>
      </c>
      <c r="O132" s="40">
        <f t="shared" si="16"/>
        <v>369954.57999999996</v>
      </c>
      <c r="P132" s="41">
        <f t="shared" si="17"/>
        <v>46123.873501997332</v>
      </c>
      <c r="Q132" s="67">
        <f t="shared" ca="1" si="19"/>
        <v>34</v>
      </c>
      <c r="R132" s="67">
        <f t="shared" ca="1" si="20"/>
        <v>39.126498002668086</v>
      </c>
      <c r="S132" s="78">
        <f t="shared" si="18"/>
        <v>0.53395472703062585</v>
      </c>
      <c r="T132" s="79" t="str">
        <f t="shared" si="14"/>
        <v>RB97 5201</v>
      </c>
    </row>
    <row r="133" spans="2:20" hidden="1" x14ac:dyDescent="0.3">
      <c r="B133" s="36" t="str">
        <f t="shared" si="15"/>
        <v>207870-10</v>
      </c>
      <c r="C133" s="42">
        <v>1674</v>
      </c>
      <c r="D133" s="43">
        <v>8648</v>
      </c>
      <c r="E133" s="44">
        <v>46130</v>
      </c>
      <c r="F133" s="43">
        <v>3</v>
      </c>
      <c r="G133" s="43" t="s">
        <v>28</v>
      </c>
      <c r="H133" s="43">
        <v>207870</v>
      </c>
      <c r="I133" s="43" t="s">
        <v>47</v>
      </c>
      <c r="J133" s="43">
        <v>1</v>
      </c>
      <c r="K133" s="43">
        <v>10</v>
      </c>
      <c r="L133" s="43">
        <v>18</v>
      </c>
      <c r="M133" s="43" t="s">
        <v>48</v>
      </c>
      <c r="N133" s="43">
        <v>17.2</v>
      </c>
      <c r="O133" s="40">
        <f t="shared" si="16"/>
        <v>793436</v>
      </c>
      <c r="P133" s="41">
        <f t="shared" si="17"/>
        <v>46130</v>
      </c>
      <c r="Q133" s="67">
        <f t="shared" ca="1" si="19"/>
        <v>33</v>
      </c>
      <c r="R133" s="67">
        <f t="shared" ca="1" si="20"/>
        <v>33</v>
      </c>
      <c r="S133" s="78">
        <f t="shared" si="18"/>
        <v>1</v>
      </c>
      <c r="T133" s="79" t="str">
        <f t="shared" si="14"/>
        <v>CTC 9008</v>
      </c>
    </row>
    <row r="134" spans="2:20" hidden="1" x14ac:dyDescent="0.3">
      <c r="B134" s="36" t="str">
        <f t="shared" si="15"/>
        <v>207870-11</v>
      </c>
      <c r="C134" s="42">
        <v>1675</v>
      </c>
      <c r="D134" s="43">
        <v>8648</v>
      </c>
      <c r="E134" s="44">
        <v>46130</v>
      </c>
      <c r="F134" s="43">
        <v>3</v>
      </c>
      <c r="G134" s="43" t="s">
        <v>28</v>
      </c>
      <c r="H134" s="43">
        <v>207870</v>
      </c>
      <c r="I134" s="43" t="s">
        <v>47</v>
      </c>
      <c r="J134" s="43">
        <v>1</v>
      </c>
      <c r="K134" s="43">
        <v>11</v>
      </c>
      <c r="L134" s="43">
        <v>18</v>
      </c>
      <c r="M134" s="43" t="s">
        <v>48</v>
      </c>
      <c r="N134" s="43">
        <v>6.79</v>
      </c>
      <c r="O134" s="40">
        <f t="shared" si="16"/>
        <v>313222.7</v>
      </c>
      <c r="P134" s="41">
        <f t="shared" si="17"/>
        <v>46129.241895261846</v>
      </c>
      <c r="Q134" s="67">
        <f t="shared" ca="1" si="19"/>
        <v>33</v>
      </c>
      <c r="R134" s="67">
        <f t="shared" ca="1" si="20"/>
        <v>33.758104738153634</v>
      </c>
      <c r="S134" s="78">
        <f t="shared" si="18"/>
        <v>1</v>
      </c>
      <c r="T134" s="79" t="str">
        <f t="shared" si="14"/>
        <v>CTC 9008</v>
      </c>
    </row>
    <row r="135" spans="2:20" hidden="1" x14ac:dyDescent="0.3">
      <c r="B135" s="36" t="str">
        <f t="shared" si="15"/>
        <v>207870-12</v>
      </c>
      <c r="C135" s="42">
        <v>1676</v>
      </c>
      <c r="D135" s="43">
        <v>8648</v>
      </c>
      <c r="E135" s="44">
        <v>46130</v>
      </c>
      <c r="F135" s="43">
        <v>3</v>
      </c>
      <c r="G135" s="43" t="s">
        <v>28</v>
      </c>
      <c r="H135" s="43">
        <v>207870</v>
      </c>
      <c r="I135" s="43" t="s">
        <v>47</v>
      </c>
      <c r="J135" s="43">
        <v>1</v>
      </c>
      <c r="K135" s="43">
        <v>12</v>
      </c>
      <c r="L135" s="43">
        <v>18</v>
      </c>
      <c r="M135" s="43" t="s">
        <v>48</v>
      </c>
      <c r="N135" s="43">
        <v>1.21</v>
      </c>
      <c r="O135" s="40">
        <f t="shared" si="16"/>
        <v>55817.299999999996</v>
      </c>
      <c r="P135" s="41">
        <f t="shared" si="17"/>
        <v>46131.412562665879</v>
      </c>
      <c r="Q135" s="67">
        <f t="shared" ca="1" si="19"/>
        <v>33</v>
      </c>
      <c r="R135" s="67">
        <f t="shared" ca="1" si="20"/>
        <v>31.587437334121205</v>
      </c>
      <c r="S135" s="78">
        <f t="shared" si="18"/>
        <v>0.97051017398997341</v>
      </c>
      <c r="T135" s="79" t="str">
        <f t="shared" si="14"/>
        <v>RB12 7825</v>
      </c>
    </row>
    <row r="136" spans="2:20" hidden="1" x14ac:dyDescent="0.3">
      <c r="B136" s="36" t="str">
        <f t="shared" si="15"/>
        <v>207870-15</v>
      </c>
      <c r="C136" s="42">
        <v>1680</v>
      </c>
      <c r="D136" s="43">
        <v>8648</v>
      </c>
      <c r="E136" s="44">
        <v>46130</v>
      </c>
      <c r="F136" s="43">
        <v>3</v>
      </c>
      <c r="G136" s="43" t="s">
        <v>28</v>
      </c>
      <c r="H136" s="43">
        <v>207870</v>
      </c>
      <c r="I136" s="43" t="s">
        <v>47</v>
      </c>
      <c r="J136" s="43">
        <v>1</v>
      </c>
      <c r="K136" s="43">
        <v>15</v>
      </c>
      <c r="L136" s="43">
        <v>18</v>
      </c>
      <c r="M136" s="43" t="s">
        <v>48</v>
      </c>
      <c r="N136" s="43">
        <v>11.27</v>
      </c>
      <c r="O136" s="40">
        <f t="shared" si="16"/>
        <v>519885.1</v>
      </c>
      <c r="P136" s="41">
        <f t="shared" si="17"/>
        <v>46130.504179498457</v>
      </c>
      <c r="Q136" s="67">
        <f t="shared" ca="1" si="19"/>
        <v>33</v>
      </c>
      <c r="R136" s="67">
        <f t="shared" ca="1" si="20"/>
        <v>32.495820501542767</v>
      </c>
      <c r="S136" s="78">
        <f t="shared" si="18"/>
        <v>1</v>
      </c>
      <c r="T136" s="79" t="str">
        <f t="shared" si="14"/>
        <v>CTC 9008</v>
      </c>
    </row>
    <row r="137" spans="2:20" hidden="1" x14ac:dyDescent="0.3">
      <c r="B137" s="36" t="str">
        <f t="shared" si="15"/>
        <v>207870-15</v>
      </c>
      <c r="C137" s="42">
        <v>1681</v>
      </c>
      <c r="D137" s="43">
        <v>8648</v>
      </c>
      <c r="E137" s="44">
        <v>46131</v>
      </c>
      <c r="F137" s="43">
        <v>3</v>
      </c>
      <c r="G137" s="43" t="s">
        <v>28</v>
      </c>
      <c r="H137" s="43">
        <v>207870</v>
      </c>
      <c r="I137" s="43" t="s">
        <v>47</v>
      </c>
      <c r="J137" s="43">
        <v>1</v>
      </c>
      <c r="K137" s="43">
        <v>15</v>
      </c>
      <c r="L137" s="43">
        <v>18</v>
      </c>
      <c r="M137" s="43" t="s">
        <v>48</v>
      </c>
      <c r="N137" s="43">
        <v>11.46</v>
      </c>
      <c r="O137" s="40">
        <f t="shared" si="16"/>
        <v>528661.26</v>
      </c>
      <c r="P137" s="41">
        <f t="shared" si="17"/>
        <v>46130.504179498457</v>
      </c>
      <c r="Q137" s="67">
        <f t="shared" ca="1" si="19"/>
        <v>32</v>
      </c>
      <c r="R137" s="67">
        <f t="shared" ca="1" si="20"/>
        <v>32.495820501542767</v>
      </c>
      <c r="S137" s="78">
        <f t="shared" si="18"/>
        <v>1</v>
      </c>
      <c r="T137" s="79" t="str">
        <f t="shared" si="14"/>
        <v>CTC 9008</v>
      </c>
    </row>
    <row r="138" spans="2:20" hidden="1" x14ac:dyDescent="0.3">
      <c r="B138" s="36" t="str">
        <f t="shared" si="15"/>
        <v>207870-16</v>
      </c>
      <c r="C138" s="42">
        <v>1682</v>
      </c>
      <c r="D138" s="43">
        <v>8648</v>
      </c>
      <c r="E138" s="44">
        <v>46131</v>
      </c>
      <c r="F138" s="43">
        <v>3</v>
      </c>
      <c r="G138" s="43" t="s">
        <v>28</v>
      </c>
      <c r="H138" s="43">
        <v>207870</v>
      </c>
      <c r="I138" s="43" t="s">
        <v>47</v>
      </c>
      <c r="J138" s="43">
        <v>1</v>
      </c>
      <c r="K138" s="43">
        <v>16</v>
      </c>
      <c r="L138" s="43">
        <v>18</v>
      </c>
      <c r="M138" s="43" t="s">
        <v>48</v>
      </c>
      <c r="N138" s="43">
        <v>4.08</v>
      </c>
      <c r="O138" s="40">
        <f t="shared" si="16"/>
        <v>188214.48</v>
      </c>
      <c r="P138" s="41">
        <f t="shared" si="17"/>
        <v>46131.923404255322</v>
      </c>
      <c r="Q138" s="67">
        <f t="shared" ca="1" si="19"/>
        <v>32</v>
      </c>
      <c r="R138" s="67">
        <f t="shared" ca="1" si="20"/>
        <v>31.076595744678343</v>
      </c>
      <c r="S138" s="78">
        <f t="shared" si="18"/>
        <v>0.86808510638297876</v>
      </c>
      <c r="T138" s="79" t="str">
        <f t="shared" si="14"/>
        <v>RB12 7825</v>
      </c>
    </row>
    <row r="139" spans="2:20" hidden="1" x14ac:dyDescent="0.3">
      <c r="B139" s="36" t="str">
        <f t="shared" si="15"/>
        <v>207870-12</v>
      </c>
      <c r="C139" s="42">
        <v>1683</v>
      </c>
      <c r="D139" s="43">
        <v>8648</v>
      </c>
      <c r="E139" s="44">
        <v>46131</v>
      </c>
      <c r="F139" s="43">
        <v>3</v>
      </c>
      <c r="G139" s="43" t="s">
        <v>28</v>
      </c>
      <c r="H139" s="43">
        <v>207870</v>
      </c>
      <c r="I139" s="43" t="s">
        <v>47</v>
      </c>
      <c r="J139" s="43">
        <v>1</v>
      </c>
      <c r="K139" s="43">
        <v>12</v>
      </c>
      <c r="L139" s="43">
        <v>18</v>
      </c>
      <c r="M139" s="43" t="s">
        <v>48</v>
      </c>
      <c r="N139" s="43">
        <v>26.1</v>
      </c>
      <c r="O139" s="40">
        <f t="shared" si="16"/>
        <v>1204019.1000000001</v>
      </c>
      <c r="P139" s="41">
        <f t="shared" si="17"/>
        <v>46131.412562665879</v>
      </c>
      <c r="Q139" s="67">
        <f t="shared" ca="1" si="19"/>
        <v>32</v>
      </c>
      <c r="R139" s="67">
        <f t="shared" ca="1" si="20"/>
        <v>31.587437334121205</v>
      </c>
      <c r="S139" s="78">
        <f t="shared" si="18"/>
        <v>0.97051017398997341</v>
      </c>
      <c r="T139" s="79" t="str">
        <f t="shared" si="14"/>
        <v>RB12 7825</v>
      </c>
    </row>
    <row r="140" spans="2:20" hidden="1" x14ac:dyDescent="0.3">
      <c r="B140" s="36" t="str">
        <f t="shared" si="15"/>
        <v>207870-13</v>
      </c>
      <c r="C140" s="42">
        <v>1684</v>
      </c>
      <c r="D140" s="43">
        <v>8648</v>
      </c>
      <c r="E140" s="44">
        <v>46131</v>
      </c>
      <c r="F140" s="43">
        <v>3</v>
      </c>
      <c r="G140" s="43" t="s">
        <v>28</v>
      </c>
      <c r="H140" s="43">
        <v>207870</v>
      </c>
      <c r="I140" s="43" t="s">
        <v>47</v>
      </c>
      <c r="J140" s="43">
        <v>1</v>
      </c>
      <c r="K140" s="43">
        <v>13</v>
      </c>
      <c r="L140" s="43">
        <v>18</v>
      </c>
      <c r="M140" s="43" t="s">
        <v>48</v>
      </c>
      <c r="N140" s="43">
        <v>10.039999999999999</v>
      </c>
      <c r="O140" s="40">
        <f t="shared" si="16"/>
        <v>463155.23999999993</v>
      </c>
      <c r="P140" s="41">
        <f t="shared" si="17"/>
        <v>46131.885156828845</v>
      </c>
      <c r="Q140" s="67">
        <f t="shared" ca="1" si="19"/>
        <v>32</v>
      </c>
      <c r="R140" s="67">
        <f t="shared" ca="1" si="20"/>
        <v>31.114843171155371</v>
      </c>
      <c r="S140" s="78">
        <f t="shared" si="18"/>
        <v>1</v>
      </c>
      <c r="T140" s="79" t="str">
        <f t="shared" si="14"/>
        <v>CTC 9008</v>
      </c>
    </row>
    <row r="141" spans="2:20" hidden="1" x14ac:dyDescent="0.3">
      <c r="B141" s="36" t="str">
        <f t="shared" si="15"/>
        <v>207870-8</v>
      </c>
      <c r="C141" s="42">
        <v>1685</v>
      </c>
      <c r="D141" s="43">
        <v>8648</v>
      </c>
      <c r="E141" s="44">
        <v>46132</v>
      </c>
      <c r="F141" s="43">
        <v>3</v>
      </c>
      <c r="G141" s="43" t="s">
        <v>28</v>
      </c>
      <c r="H141" s="43">
        <v>207870</v>
      </c>
      <c r="I141" s="43" t="s">
        <v>47</v>
      </c>
      <c r="J141" s="43">
        <v>1</v>
      </c>
      <c r="K141" s="43">
        <v>8</v>
      </c>
      <c r="L141" s="43">
        <v>18</v>
      </c>
      <c r="M141" s="43" t="s">
        <v>48</v>
      </c>
      <c r="N141" s="43">
        <v>10.35</v>
      </c>
      <c r="O141" s="40">
        <f t="shared" si="16"/>
        <v>477466.2</v>
      </c>
      <c r="P141" s="41">
        <f t="shared" si="17"/>
        <v>46132.649876135423</v>
      </c>
      <c r="Q141" s="67">
        <f t="shared" ca="1" si="19"/>
        <v>31</v>
      </c>
      <c r="R141" s="67">
        <f t="shared" ca="1" si="20"/>
        <v>30.350123864576744</v>
      </c>
      <c r="S141" s="78">
        <f t="shared" si="18"/>
        <v>1</v>
      </c>
      <c r="T141" s="79" t="str">
        <f t="shared" si="14"/>
        <v>CTC 9008</v>
      </c>
    </row>
    <row r="142" spans="2:20" hidden="1" x14ac:dyDescent="0.3">
      <c r="B142" s="36" t="str">
        <f t="shared" si="15"/>
        <v>207870-13</v>
      </c>
      <c r="C142" s="42">
        <v>1686</v>
      </c>
      <c r="D142" s="43">
        <v>8648</v>
      </c>
      <c r="E142" s="44">
        <v>46132</v>
      </c>
      <c r="F142" s="43">
        <v>3</v>
      </c>
      <c r="G142" s="43" t="s">
        <v>28</v>
      </c>
      <c r="H142" s="43">
        <v>207870</v>
      </c>
      <c r="I142" s="43" t="s">
        <v>47</v>
      </c>
      <c r="J142" s="43">
        <v>1</v>
      </c>
      <c r="K142" s="43">
        <v>13</v>
      </c>
      <c r="L142" s="43">
        <v>18</v>
      </c>
      <c r="M142" s="43" t="s">
        <v>48</v>
      </c>
      <c r="N142" s="43">
        <v>8</v>
      </c>
      <c r="O142" s="40">
        <f t="shared" si="16"/>
        <v>369056</v>
      </c>
      <c r="P142" s="41">
        <f t="shared" si="17"/>
        <v>46131.885156828845</v>
      </c>
      <c r="Q142" s="67">
        <f t="shared" ca="1" si="19"/>
        <v>31</v>
      </c>
      <c r="R142" s="67">
        <f t="shared" ca="1" si="20"/>
        <v>31.114843171155371</v>
      </c>
      <c r="S142" s="78">
        <f t="shared" si="18"/>
        <v>1</v>
      </c>
      <c r="T142" s="79" t="str">
        <f t="shared" si="14"/>
        <v>CTC 9008</v>
      </c>
    </row>
    <row r="143" spans="2:20" hidden="1" x14ac:dyDescent="0.3">
      <c r="B143" s="36" t="str">
        <f t="shared" si="15"/>
        <v>207870-13</v>
      </c>
      <c r="C143" s="42">
        <v>1687</v>
      </c>
      <c r="D143" s="43">
        <v>8648</v>
      </c>
      <c r="E143" s="44">
        <v>46132</v>
      </c>
      <c r="F143" s="43">
        <v>3</v>
      </c>
      <c r="G143" s="43" t="s">
        <v>28</v>
      </c>
      <c r="H143" s="43">
        <v>207870</v>
      </c>
      <c r="I143" s="43" t="s">
        <v>47</v>
      </c>
      <c r="J143" s="43">
        <v>1</v>
      </c>
      <c r="K143" s="43">
        <v>13</v>
      </c>
      <c r="L143" s="43">
        <v>18</v>
      </c>
      <c r="M143" s="43" t="s">
        <v>48</v>
      </c>
      <c r="N143" s="43">
        <v>17.059999999999999</v>
      </c>
      <c r="O143" s="40">
        <f t="shared" si="16"/>
        <v>787011.91999999993</v>
      </c>
      <c r="P143" s="41">
        <f t="shared" si="17"/>
        <v>46131.885156828845</v>
      </c>
      <c r="Q143" s="67">
        <f t="shared" ca="1" si="19"/>
        <v>31</v>
      </c>
      <c r="R143" s="67">
        <f t="shared" ca="1" si="20"/>
        <v>31.114843171155371</v>
      </c>
      <c r="S143" s="78">
        <f t="shared" si="18"/>
        <v>1</v>
      </c>
      <c r="T143" s="79" t="str">
        <f t="shared" si="14"/>
        <v>CTC 9008</v>
      </c>
    </row>
    <row r="144" spans="2:20" hidden="1" x14ac:dyDescent="0.3">
      <c r="B144" s="36" t="str">
        <f t="shared" si="15"/>
        <v>207870-14</v>
      </c>
      <c r="C144" s="42">
        <v>1688</v>
      </c>
      <c r="D144" s="43">
        <v>8648</v>
      </c>
      <c r="E144" s="44">
        <v>46132</v>
      </c>
      <c r="F144" s="43">
        <v>3</v>
      </c>
      <c r="G144" s="43" t="s">
        <v>28</v>
      </c>
      <c r="H144" s="43">
        <v>207870</v>
      </c>
      <c r="I144" s="43" t="s">
        <v>47</v>
      </c>
      <c r="J144" s="43">
        <v>1</v>
      </c>
      <c r="K144" s="43">
        <v>14</v>
      </c>
      <c r="L144" s="43">
        <v>18</v>
      </c>
      <c r="M144" s="43" t="s">
        <v>48</v>
      </c>
      <c r="N144" s="43">
        <v>8</v>
      </c>
      <c r="O144" s="40">
        <f t="shared" si="16"/>
        <v>369056</v>
      </c>
      <c r="P144" s="41">
        <f t="shared" si="17"/>
        <v>46133.274691358027</v>
      </c>
      <c r="Q144" s="67">
        <f t="shared" ca="1" si="19"/>
        <v>31</v>
      </c>
      <c r="R144" s="67">
        <f t="shared" ca="1" si="20"/>
        <v>29.725308641973243</v>
      </c>
      <c r="S144" s="78">
        <f t="shared" si="18"/>
        <v>0.86488340192043889</v>
      </c>
      <c r="T144" s="79" t="str">
        <f t="shared" si="14"/>
        <v>RB12 7825</v>
      </c>
    </row>
    <row r="145" spans="2:20" hidden="1" x14ac:dyDescent="0.3">
      <c r="B145" s="36" t="str">
        <f t="shared" si="15"/>
        <v>207870-8</v>
      </c>
      <c r="C145" s="42">
        <v>1689</v>
      </c>
      <c r="D145" s="43">
        <v>8648</v>
      </c>
      <c r="E145" s="44">
        <v>46133</v>
      </c>
      <c r="F145" s="43">
        <v>3</v>
      </c>
      <c r="G145" s="43" t="s">
        <v>28</v>
      </c>
      <c r="H145" s="43">
        <v>207870</v>
      </c>
      <c r="I145" s="43" t="s">
        <v>47</v>
      </c>
      <c r="J145" s="43">
        <v>1</v>
      </c>
      <c r="K145" s="43">
        <v>8</v>
      </c>
      <c r="L145" s="43">
        <v>18</v>
      </c>
      <c r="M145" s="43" t="s">
        <v>48</v>
      </c>
      <c r="N145" s="43">
        <v>12</v>
      </c>
      <c r="O145" s="40">
        <f t="shared" si="16"/>
        <v>553596</v>
      </c>
      <c r="P145" s="41">
        <f t="shared" si="17"/>
        <v>46132.649876135423</v>
      </c>
      <c r="Q145" s="67">
        <f t="shared" ca="1" si="19"/>
        <v>30</v>
      </c>
      <c r="R145" s="67">
        <f t="shared" ca="1" si="20"/>
        <v>30.350123864576744</v>
      </c>
      <c r="S145" s="78">
        <f t="shared" si="18"/>
        <v>1</v>
      </c>
      <c r="T145" s="79" t="str">
        <f t="shared" ref="T145:T208" si="21">_xlfn.XLOOKUP(_xlfn.MAXIFS(S:S,H:H,H145,K:K,K145),S:S,M:M)</f>
        <v>CTC 9008</v>
      </c>
    </row>
    <row r="146" spans="2:20" hidden="1" x14ac:dyDescent="0.3">
      <c r="B146" s="36" t="str">
        <f t="shared" si="15"/>
        <v>207870-7</v>
      </c>
      <c r="C146" s="42">
        <v>1690</v>
      </c>
      <c r="D146" s="43">
        <v>8729</v>
      </c>
      <c r="E146" s="44">
        <v>46133</v>
      </c>
      <c r="F146" s="43">
        <v>3</v>
      </c>
      <c r="G146" s="43" t="s">
        <v>28</v>
      </c>
      <c r="H146" s="43">
        <v>207870</v>
      </c>
      <c r="I146" s="43" t="s">
        <v>47</v>
      </c>
      <c r="J146" s="43">
        <v>1</v>
      </c>
      <c r="K146" s="43">
        <v>7</v>
      </c>
      <c r="L146" s="43">
        <v>18</v>
      </c>
      <c r="M146" s="43" t="s">
        <v>48</v>
      </c>
      <c r="N146" s="43">
        <v>5.65</v>
      </c>
      <c r="O146" s="40">
        <f t="shared" si="16"/>
        <v>260651.45</v>
      </c>
      <c r="P146" s="41">
        <f t="shared" si="17"/>
        <v>46133.711292795095</v>
      </c>
      <c r="Q146" s="67">
        <f t="shared" ca="1" si="19"/>
        <v>30</v>
      </c>
      <c r="R146" s="67">
        <f t="shared" ca="1" si="20"/>
        <v>29.288707204905222</v>
      </c>
      <c r="S146" s="78">
        <f t="shared" si="18"/>
        <v>1</v>
      </c>
      <c r="T146" s="79" t="str">
        <f t="shared" si="21"/>
        <v>CTC 9008</v>
      </c>
    </row>
    <row r="147" spans="2:20" hidden="1" x14ac:dyDescent="0.3">
      <c r="B147" s="36" t="str">
        <f t="shared" si="15"/>
        <v>207870-12</v>
      </c>
      <c r="C147" s="42">
        <v>1691</v>
      </c>
      <c r="D147" s="43">
        <v>8648</v>
      </c>
      <c r="E147" s="44">
        <v>46133</v>
      </c>
      <c r="F147" s="43">
        <v>3</v>
      </c>
      <c r="G147" s="43" t="s">
        <v>28</v>
      </c>
      <c r="H147" s="43">
        <v>207870</v>
      </c>
      <c r="I147" s="43" t="s">
        <v>47</v>
      </c>
      <c r="J147" s="43">
        <v>1</v>
      </c>
      <c r="K147" s="43">
        <v>12</v>
      </c>
      <c r="L147" s="43">
        <v>18</v>
      </c>
      <c r="M147" s="43" t="s">
        <v>48</v>
      </c>
      <c r="N147" s="43">
        <v>5.6</v>
      </c>
      <c r="O147" s="40">
        <f t="shared" si="16"/>
        <v>258344.8</v>
      </c>
      <c r="P147" s="41">
        <f t="shared" si="17"/>
        <v>46131.412562665879</v>
      </c>
      <c r="Q147" s="67">
        <f t="shared" ca="1" si="19"/>
        <v>30</v>
      </c>
      <c r="R147" s="67">
        <f t="shared" ca="1" si="20"/>
        <v>31.587437334121205</v>
      </c>
      <c r="S147" s="78">
        <f t="shared" si="18"/>
        <v>0.97051017398997341</v>
      </c>
      <c r="T147" s="79" t="str">
        <f t="shared" si="21"/>
        <v>RB12 7825</v>
      </c>
    </row>
    <row r="148" spans="2:20" hidden="1" x14ac:dyDescent="0.3">
      <c r="B148" s="36" t="str">
        <f t="shared" si="15"/>
        <v>207870-14</v>
      </c>
      <c r="C148" s="42">
        <v>1692</v>
      </c>
      <c r="D148" s="43">
        <v>8648</v>
      </c>
      <c r="E148" s="44">
        <v>46133</v>
      </c>
      <c r="F148" s="43">
        <v>3</v>
      </c>
      <c r="G148" s="43" t="s">
        <v>28</v>
      </c>
      <c r="H148" s="43">
        <v>207870</v>
      </c>
      <c r="I148" s="43" t="s">
        <v>47</v>
      </c>
      <c r="J148" s="43">
        <v>1</v>
      </c>
      <c r="K148" s="43">
        <v>14</v>
      </c>
      <c r="L148" s="43">
        <v>18</v>
      </c>
      <c r="M148" s="43" t="s">
        <v>48</v>
      </c>
      <c r="N148" s="43">
        <v>9.09</v>
      </c>
      <c r="O148" s="40">
        <f t="shared" si="16"/>
        <v>419348.97</v>
      </c>
      <c r="P148" s="41">
        <f t="shared" si="17"/>
        <v>46133.274691358027</v>
      </c>
      <c r="Q148" s="67">
        <f t="shared" ca="1" si="19"/>
        <v>30</v>
      </c>
      <c r="R148" s="67">
        <f t="shared" ca="1" si="20"/>
        <v>29.725308641973243</v>
      </c>
      <c r="S148" s="78">
        <f t="shared" si="18"/>
        <v>0.86488340192043889</v>
      </c>
      <c r="T148" s="79" t="str">
        <f t="shared" si="21"/>
        <v>RB12 7825</v>
      </c>
    </row>
    <row r="149" spans="2:20" hidden="1" x14ac:dyDescent="0.3">
      <c r="B149" s="36" t="str">
        <f t="shared" si="15"/>
        <v>207870-13</v>
      </c>
      <c r="C149" s="42">
        <v>1693</v>
      </c>
      <c r="D149" s="43">
        <v>8648</v>
      </c>
      <c r="E149" s="44">
        <v>46133</v>
      </c>
      <c r="F149" s="43">
        <v>3</v>
      </c>
      <c r="G149" s="43" t="s">
        <v>28</v>
      </c>
      <c r="H149" s="43">
        <v>207870</v>
      </c>
      <c r="I149" s="43" t="s">
        <v>47</v>
      </c>
      <c r="J149" s="43">
        <v>1</v>
      </c>
      <c r="K149" s="43">
        <v>13</v>
      </c>
      <c r="L149" s="43">
        <v>18</v>
      </c>
      <c r="M149" s="43" t="s">
        <v>48</v>
      </c>
      <c r="N149" s="43">
        <v>5.39</v>
      </c>
      <c r="O149" s="40">
        <f t="shared" si="16"/>
        <v>248656.87</v>
      </c>
      <c r="P149" s="41">
        <f t="shared" si="17"/>
        <v>46131.885156828845</v>
      </c>
      <c r="Q149" s="67">
        <f t="shared" ca="1" si="19"/>
        <v>30</v>
      </c>
      <c r="R149" s="67">
        <f t="shared" ca="1" si="20"/>
        <v>31.114843171155371</v>
      </c>
      <c r="S149" s="78">
        <f t="shared" si="18"/>
        <v>1</v>
      </c>
      <c r="T149" s="79" t="str">
        <f t="shared" si="21"/>
        <v>CTC 9008</v>
      </c>
    </row>
    <row r="150" spans="2:20" hidden="1" x14ac:dyDescent="0.3">
      <c r="B150" s="36" t="str">
        <f t="shared" si="15"/>
        <v>207870-9</v>
      </c>
      <c r="C150" s="42">
        <v>1694</v>
      </c>
      <c r="D150" s="43">
        <v>8648</v>
      </c>
      <c r="E150" s="44">
        <v>46133</v>
      </c>
      <c r="F150" s="43">
        <v>3</v>
      </c>
      <c r="G150" s="43" t="s">
        <v>28</v>
      </c>
      <c r="H150" s="43">
        <v>207870</v>
      </c>
      <c r="I150" s="43" t="s">
        <v>47</v>
      </c>
      <c r="J150" s="43">
        <v>1</v>
      </c>
      <c r="K150" s="43">
        <v>9</v>
      </c>
      <c r="L150" s="43">
        <v>18</v>
      </c>
      <c r="M150" s="43" t="s">
        <v>48</v>
      </c>
      <c r="N150" s="43">
        <v>3.71</v>
      </c>
      <c r="O150" s="40">
        <f t="shared" si="16"/>
        <v>171153.43</v>
      </c>
      <c r="P150" s="41">
        <f t="shared" si="17"/>
        <v>46134.362946912246</v>
      </c>
      <c r="Q150" s="67">
        <f t="shared" ca="1" si="19"/>
        <v>30</v>
      </c>
      <c r="R150" s="67">
        <f t="shared" ca="1" si="20"/>
        <v>28.637053087753884</v>
      </c>
      <c r="S150" s="78">
        <f t="shared" si="18"/>
        <v>0.53656554712892746</v>
      </c>
      <c r="T150" s="79" t="str">
        <f t="shared" si="21"/>
        <v>RB12 7825</v>
      </c>
    </row>
    <row r="151" spans="2:20" hidden="1" x14ac:dyDescent="0.3">
      <c r="B151" s="36" t="str">
        <f t="shared" si="15"/>
        <v>207870-7</v>
      </c>
      <c r="C151" s="42">
        <v>1695</v>
      </c>
      <c r="D151" s="43">
        <v>8729</v>
      </c>
      <c r="E151" s="44">
        <v>46134</v>
      </c>
      <c r="F151" s="43">
        <v>3</v>
      </c>
      <c r="G151" s="43" t="s">
        <v>28</v>
      </c>
      <c r="H151" s="43">
        <v>207870</v>
      </c>
      <c r="I151" s="43" t="s">
        <v>47</v>
      </c>
      <c r="J151" s="43">
        <v>1</v>
      </c>
      <c r="K151" s="43">
        <v>7</v>
      </c>
      <c r="L151" s="43">
        <v>18</v>
      </c>
      <c r="M151" s="43" t="s">
        <v>48</v>
      </c>
      <c r="N151" s="43">
        <v>13.92</v>
      </c>
      <c r="O151" s="40">
        <f t="shared" si="16"/>
        <v>642185.28</v>
      </c>
      <c r="P151" s="41">
        <f t="shared" si="17"/>
        <v>46133.711292795095</v>
      </c>
      <c r="Q151" s="67">
        <f t="shared" ca="1" si="19"/>
        <v>29</v>
      </c>
      <c r="R151" s="67">
        <f t="shared" ca="1" si="20"/>
        <v>29.288707204905222</v>
      </c>
      <c r="S151" s="78">
        <f t="shared" si="18"/>
        <v>1</v>
      </c>
      <c r="T151" s="79" t="str">
        <f t="shared" si="21"/>
        <v>CTC 9008</v>
      </c>
    </row>
    <row r="152" spans="2:20" hidden="1" x14ac:dyDescent="0.3">
      <c r="B152" s="36" t="str">
        <f t="shared" si="15"/>
        <v>207870-3</v>
      </c>
      <c r="C152" s="42">
        <v>1696</v>
      </c>
      <c r="D152" s="43">
        <v>8729</v>
      </c>
      <c r="E152" s="44">
        <v>46134</v>
      </c>
      <c r="F152" s="43">
        <v>3</v>
      </c>
      <c r="G152" s="43" t="s">
        <v>28</v>
      </c>
      <c r="H152" s="43">
        <v>207870</v>
      </c>
      <c r="I152" s="43" t="s">
        <v>47</v>
      </c>
      <c r="J152" s="43">
        <v>1</v>
      </c>
      <c r="K152" s="43">
        <v>3</v>
      </c>
      <c r="L152" s="43">
        <v>18</v>
      </c>
      <c r="M152" s="43" t="s">
        <v>48</v>
      </c>
      <c r="N152" s="43">
        <v>7.81</v>
      </c>
      <c r="O152" s="40">
        <f t="shared" si="16"/>
        <v>360306.54</v>
      </c>
      <c r="P152" s="41">
        <f t="shared" si="17"/>
        <v>46134.776421052629</v>
      </c>
      <c r="Q152" s="67">
        <f t="shared" ca="1" si="19"/>
        <v>29</v>
      </c>
      <c r="R152" s="67">
        <f t="shared" ca="1" si="20"/>
        <v>28.223578947370697</v>
      </c>
      <c r="S152" s="78">
        <f t="shared" si="18"/>
        <v>0.32884210526315788</v>
      </c>
      <c r="T152" s="79" t="str">
        <f t="shared" si="21"/>
        <v>CTC-4</v>
      </c>
    </row>
    <row r="153" spans="2:20" hidden="1" x14ac:dyDescent="0.3">
      <c r="B153" s="36" t="str">
        <f t="shared" si="15"/>
        <v>207870-8</v>
      </c>
      <c r="C153" s="42">
        <v>1697</v>
      </c>
      <c r="D153" s="43">
        <v>8648</v>
      </c>
      <c r="E153" s="44">
        <v>46134</v>
      </c>
      <c r="F153" s="43">
        <v>3</v>
      </c>
      <c r="G153" s="43" t="s">
        <v>28</v>
      </c>
      <c r="H153" s="43">
        <v>207870</v>
      </c>
      <c r="I153" s="43" t="s">
        <v>47</v>
      </c>
      <c r="J153" s="43">
        <v>1</v>
      </c>
      <c r="K153" s="43">
        <v>8</v>
      </c>
      <c r="L153" s="43">
        <v>18</v>
      </c>
      <c r="M153" s="43" t="s">
        <v>48</v>
      </c>
      <c r="N153" s="43">
        <v>1.87</v>
      </c>
      <c r="O153" s="40">
        <f t="shared" si="16"/>
        <v>86270.58</v>
      </c>
      <c r="P153" s="41">
        <f t="shared" si="17"/>
        <v>46132.649876135423</v>
      </c>
      <c r="Q153" s="67">
        <f t="shared" ca="1" si="19"/>
        <v>29</v>
      </c>
      <c r="R153" s="67">
        <f t="shared" ca="1" si="20"/>
        <v>30.350123864576744</v>
      </c>
      <c r="S153" s="78">
        <f t="shared" si="18"/>
        <v>1</v>
      </c>
      <c r="T153" s="79" t="str">
        <f t="shared" si="21"/>
        <v>CTC 9008</v>
      </c>
    </row>
    <row r="154" spans="2:20" hidden="1" x14ac:dyDescent="0.3">
      <c r="B154" s="36" t="str">
        <f t="shared" si="15"/>
        <v>207870-14</v>
      </c>
      <c r="C154" s="42">
        <v>1698</v>
      </c>
      <c r="D154" s="43">
        <v>8648</v>
      </c>
      <c r="E154" s="44">
        <v>46134</v>
      </c>
      <c r="F154" s="43">
        <v>3</v>
      </c>
      <c r="G154" s="43" t="s">
        <v>28</v>
      </c>
      <c r="H154" s="43">
        <v>207870</v>
      </c>
      <c r="I154" s="43" t="s">
        <v>47</v>
      </c>
      <c r="J154" s="43">
        <v>1</v>
      </c>
      <c r="K154" s="43">
        <v>14</v>
      </c>
      <c r="L154" s="43">
        <v>18</v>
      </c>
      <c r="M154" s="43" t="s">
        <v>48</v>
      </c>
      <c r="N154" s="43">
        <v>8.1300000000000008</v>
      </c>
      <c r="O154" s="40">
        <f t="shared" si="16"/>
        <v>375069.42000000004</v>
      </c>
      <c r="P154" s="41">
        <f t="shared" si="17"/>
        <v>46133.274691358027</v>
      </c>
      <c r="Q154" s="67">
        <f t="shared" ca="1" si="19"/>
        <v>29</v>
      </c>
      <c r="R154" s="67">
        <f t="shared" ca="1" si="20"/>
        <v>29.725308641973243</v>
      </c>
      <c r="S154" s="78">
        <f t="shared" si="18"/>
        <v>0.86488340192043889</v>
      </c>
      <c r="T154" s="79" t="str">
        <f t="shared" si="21"/>
        <v>RB12 7825</v>
      </c>
    </row>
    <row r="155" spans="2:20" hidden="1" x14ac:dyDescent="0.3">
      <c r="B155" s="36" t="str">
        <f t="shared" si="15"/>
        <v>207870-9</v>
      </c>
      <c r="C155" s="42">
        <v>1699</v>
      </c>
      <c r="D155" s="43">
        <v>8648</v>
      </c>
      <c r="E155" s="44">
        <v>46134</v>
      </c>
      <c r="F155" s="43">
        <v>3</v>
      </c>
      <c r="G155" s="43" t="s">
        <v>28</v>
      </c>
      <c r="H155" s="43">
        <v>207870</v>
      </c>
      <c r="I155" s="43" t="s">
        <v>47</v>
      </c>
      <c r="J155" s="43">
        <v>1</v>
      </c>
      <c r="K155" s="43">
        <v>9</v>
      </c>
      <c r="L155" s="43">
        <v>18</v>
      </c>
      <c r="M155" s="43" t="s">
        <v>48</v>
      </c>
      <c r="N155" s="43">
        <v>16.100000000000001</v>
      </c>
      <c r="O155" s="40">
        <f t="shared" si="16"/>
        <v>742757.4</v>
      </c>
      <c r="P155" s="41">
        <f t="shared" si="17"/>
        <v>46134.362946912246</v>
      </c>
      <c r="Q155" s="67">
        <f t="shared" ca="1" si="19"/>
        <v>29</v>
      </c>
      <c r="R155" s="67">
        <f t="shared" ca="1" si="20"/>
        <v>28.637053087753884</v>
      </c>
      <c r="S155" s="78">
        <f t="shared" si="18"/>
        <v>0.53656554712892746</v>
      </c>
      <c r="T155" s="79" t="str">
        <f t="shared" si="21"/>
        <v>RB12 7825</v>
      </c>
    </row>
    <row r="156" spans="2:20" hidden="1" x14ac:dyDescent="0.3">
      <c r="B156" s="36" t="str">
        <f t="shared" si="15"/>
        <v>207870-3</v>
      </c>
      <c r="C156" s="42">
        <v>1700</v>
      </c>
      <c r="D156" s="43">
        <v>8729</v>
      </c>
      <c r="E156" s="44">
        <v>46135</v>
      </c>
      <c r="F156" s="43">
        <v>3</v>
      </c>
      <c r="G156" s="43" t="s">
        <v>28</v>
      </c>
      <c r="H156" s="43">
        <v>207870</v>
      </c>
      <c r="I156" s="43" t="s">
        <v>47</v>
      </c>
      <c r="J156" s="43">
        <v>1</v>
      </c>
      <c r="K156" s="43">
        <v>3</v>
      </c>
      <c r="L156" s="43">
        <v>53</v>
      </c>
      <c r="M156" s="43" t="s">
        <v>30</v>
      </c>
      <c r="N156" s="43">
        <v>14.69</v>
      </c>
      <c r="O156" s="40">
        <f t="shared" si="16"/>
        <v>677723.15</v>
      </c>
      <c r="P156" s="41">
        <f t="shared" si="17"/>
        <v>46134.776421052629</v>
      </c>
      <c r="Q156" s="67">
        <f t="shared" ca="1" si="19"/>
        <v>28</v>
      </c>
      <c r="R156" s="67">
        <f t="shared" ca="1" si="20"/>
        <v>28.223578947370697</v>
      </c>
      <c r="S156" s="78">
        <f t="shared" si="18"/>
        <v>0.67115789473684206</v>
      </c>
      <c r="T156" s="79" t="str">
        <f t="shared" si="21"/>
        <v>CTC-4</v>
      </c>
    </row>
    <row r="157" spans="2:20" hidden="1" x14ac:dyDescent="0.3">
      <c r="B157" s="36" t="str">
        <f t="shared" si="15"/>
        <v>207870-4</v>
      </c>
      <c r="C157" s="42">
        <v>1701</v>
      </c>
      <c r="D157" s="43">
        <v>8729</v>
      </c>
      <c r="E157" s="44">
        <v>46135</v>
      </c>
      <c r="F157" s="43">
        <v>3</v>
      </c>
      <c r="G157" s="43" t="s">
        <v>28</v>
      </c>
      <c r="H157" s="43">
        <v>207870</v>
      </c>
      <c r="I157" s="43" t="s">
        <v>47</v>
      </c>
      <c r="J157" s="43">
        <v>1</v>
      </c>
      <c r="K157" s="43">
        <v>4</v>
      </c>
      <c r="L157" s="43">
        <v>53</v>
      </c>
      <c r="M157" s="43" t="s">
        <v>30</v>
      </c>
      <c r="N157" s="43">
        <v>10.029999999999999</v>
      </c>
      <c r="O157" s="40">
        <f t="shared" si="16"/>
        <v>462734.05</v>
      </c>
      <c r="P157" s="41">
        <f t="shared" si="17"/>
        <v>46135</v>
      </c>
      <c r="Q157" s="67">
        <f t="shared" ca="1" si="19"/>
        <v>28</v>
      </c>
      <c r="R157" s="67">
        <f t="shared" ca="1" si="20"/>
        <v>28</v>
      </c>
      <c r="S157" s="78">
        <f t="shared" si="18"/>
        <v>1</v>
      </c>
      <c r="T157" s="79" t="str">
        <f t="shared" si="21"/>
        <v>CTC 9008</v>
      </c>
    </row>
    <row r="158" spans="2:20" hidden="1" x14ac:dyDescent="0.3">
      <c r="B158" s="36" t="str">
        <f t="shared" si="15"/>
        <v>207870-9</v>
      </c>
      <c r="C158" s="42">
        <v>1702</v>
      </c>
      <c r="D158" s="43">
        <v>8648</v>
      </c>
      <c r="E158" s="44">
        <v>46135</v>
      </c>
      <c r="F158" s="43">
        <v>3</v>
      </c>
      <c r="G158" s="43" t="s">
        <v>28</v>
      </c>
      <c r="H158" s="43">
        <v>207870</v>
      </c>
      <c r="I158" s="43" t="s">
        <v>47</v>
      </c>
      <c r="J158" s="43">
        <v>1</v>
      </c>
      <c r="K158" s="43">
        <v>9</v>
      </c>
      <c r="L158" s="43">
        <v>53</v>
      </c>
      <c r="M158" s="43" t="s">
        <v>30</v>
      </c>
      <c r="N158" s="43">
        <v>17.11</v>
      </c>
      <c r="O158" s="40">
        <f t="shared" si="16"/>
        <v>789369.85</v>
      </c>
      <c r="P158" s="41">
        <f t="shared" si="17"/>
        <v>46134.362946912246</v>
      </c>
      <c r="Q158" s="67">
        <f t="shared" ca="1" si="19"/>
        <v>28</v>
      </c>
      <c r="R158" s="67">
        <f t="shared" ca="1" si="20"/>
        <v>28.637053087753884</v>
      </c>
      <c r="S158" s="78">
        <f t="shared" si="18"/>
        <v>0.46343445287107254</v>
      </c>
      <c r="T158" s="79" t="str">
        <f t="shared" si="21"/>
        <v>RB12 7825</v>
      </c>
    </row>
    <row r="159" spans="2:20" hidden="1" x14ac:dyDescent="0.3">
      <c r="B159" s="36" t="str">
        <f t="shared" si="15"/>
        <v>207870-12</v>
      </c>
      <c r="C159" s="42">
        <v>1703</v>
      </c>
      <c r="D159" s="43">
        <v>8648</v>
      </c>
      <c r="E159" s="44">
        <v>46135</v>
      </c>
      <c r="F159" s="43">
        <v>3</v>
      </c>
      <c r="G159" s="43" t="s">
        <v>28</v>
      </c>
      <c r="H159" s="43">
        <v>207870</v>
      </c>
      <c r="I159" s="43" t="s">
        <v>47</v>
      </c>
      <c r="J159" s="43">
        <v>1</v>
      </c>
      <c r="K159" s="43">
        <v>12</v>
      </c>
      <c r="L159" s="43">
        <v>53</v>
      </c>
      <c r="M159" s="43" t="s">
        <v>30</v>
      </c>
      <c r="N159" s="43">
        <v>1</v>
      </c>
      <c r="O159" s="40">
        <f t="shared" si="16"/>
        <v>46135</v>
      </c>
      <c r="P159" s="41">
        <f t="shared" si="17"/>
        <v>46131.412562665879</v>
      </c>
      <c r="Q159" s="67">
        <f t="shared" ca="1" si="19"/>
        <v>28</v>
      </c>
      <c r="R159" s="67">
        <f t="shared" ca="1" si="20"/>
        <v>31.587437334121205</v>
      </c>
      <c r="S159" s="78">
        <f t="shared" si="18"/>
        <v>2.9489826010026539E-2</v>
      </c>
      <c r="T159" s="79" t="str">
        <f t="shared" si="21"/>
        <v>RB12 7825</v>
      </c>
    </row>
    <row r="160" spans="2:20" hidden="1" x14ac:dyDescent="0.3">
      <c r="B160" s="36" t="str">
        <f t="shared" si="15"/>
        <v>207870-14</v>
      </c>
      <c r="C160" s="42">
        <v>1704</v>
      </c>
      <c r="D160" s="43">
        <v>8648</v>
      </c>
      <c r="E160" s="44">
        <v>46135</v>
      </c>
      <c r="F160" s="43">
        <v>3</v>
      </c>
      <c r="G160" s="43" t="s">
        <v>28</v>
      </c>
      <c r="H160" s="43">
        <v>207870</v>
      </c>
      <c r="I160" s="43" t="s">
        <v>47</v>
      </c>
      <c r="J160" s="43">
        <v>1</v>
      </c>
      <c r="K160" s="43">
        <v>14</v>
      </c>
      <c r="L160" s="43">
        <v>53</v>
      </c>
      <c r="M160" s="43" t="s">
        <v>30</v>
      </c>
      <c r="N160" s="43">
        <v>3.94</v>
      </c>
      <c r="O160" s="40">
        <f t="shared" si="16"/>
        <v>181771.9</v>
      </c>
      <c r="P160" s="41">
        <f t="shared" si="17"/>
        <v>46133.274691358027</v>
      </c>
      <c r="Q160" s="67">
        <f t="shared" ca="1" si="19"/>
        <v>28</v>
      </c>
      <c r="R160" s="67">
        <f t="shared" ca="1" si="20"/>
        <v>29.725308641973243</v>
      </c>
      <c r="S160" s="78">
        <f t="shared" si="18"/>
        <v>0.13511659807956103</v>
      </c>
      <c r="T160" s="79" t="str">
        <f t="shared" si="21"/>
        <v>RB12 7825</v>
      </c>
    </row>
    <row r="161" spans="2:20" hidden="1" x14ac:dyDescent="0.3">
      <c r="B161" s="36" t="str">
        <f t="shared" si="15"/>
        <v>207870-6</v>
      </c>
      <c r="C161" s="42">
        <v>1705</v>
      </c>
      <c r="D161" s="43">
        <v>8729</v>
      </c>
      <c r="E161" s="44">
        <v>46135</v>
      </c>
      <c r="F161" s="43">
        <v>3</v>
      </c>
      <c r="G161" s="43" t="s">
        <v>28</v>
      </c>
      <c r="H161" s="43">
        <v>207870</v>
      </c>
      <c r="I161" s="43" t="s">
        <v>47</v>
      </c>
      <c r="J161" s="43">
        <v>1</v>
      </c>
      <c r="K161" s="43">
        <v>6</v>
      </c>
      <c r="L161" s="43">
        <v>53</v>
      </c>
      <c r="M161" s="43" t="s">
        <v>30</v>
      </c>
      <c r="N161" s="43">
        <v>1.71</v>
      </c>
      <c r="O161" s="40">
        <f t="shared" si="16"/>
        <v>78890.849999999991</v>
      </c>
      <c r="P161" s="41">
        <f t="shared" si="17"/>
        <v>46136.179235356009</v>
      </c>
      <c r="Q161" s="67">
        <f t="shared" ca="1" si="19"/>
        <v>28</v>
      </c>
      <c r="R161" s="67">
        <f t="shared" ca="1" si="20"/>
        <v>26.820764643991424</v>
      </c>
      <c r="S161" s="78">
        <f t="shared" si="18"/>
        <v>1</v>
      </c>
      <c r="T161" s="79" t="str">
        <f t="shared" si="21"/>
        <v>CTC 9008</v>
      </c>
    </row>
    <row r="162" spans="2:20" hidden="1" x14ac:dyDescent="0.3">
      <c r="B162" s="36" t="str">
        <f t="shared" si="15"/>
        <v>200518-5</v>
      </c>
      <c r="C162" s="42">
        <v>1706</v>
      </c>
      <c r="D162" s="43">
        <v>8741</v>
      </c>
      <c r="E162" s="44">
        <v>46136</v>
      </c>
      <c r="F162" s="43">
        <v>3</v>
      </c>
      <c r="G162" s="43" t="s">
        <v>28</v>
      </c>
      <c r="H162" s="43">
        <v>200518</v>
      </c>
      <c r="I162" s="43" t="s">
        <v>31</v>
      </c>
      <c r="J162" s="43">
        <v>1</v>
      </c>
      <c r="K162" s="43">
        <v>5</v>
      </c>
      <c r="L162" s="43">
        <v>4</v>
      </c>
      <c r="M162" s="43" t="s">
        <v>32</v>
      </c>
      <c r="N162" s="43">
        <v>17.809999999999999</v>
      </c>
      <c r="O162" s="40">
        <f t="shared" si="16"/>
        <v>821682.15999999992</v>
      </c>
      <c r="P162" s="41">
        <f t="shared" si="17"/>
        <v>46136.507015902709</v>
      </c>
      <c r="Q162" s="67">
        <f t="shared" ca="1" si="19"/>
        <v>27</v>
      </c>
      <c r="R162" s="67">
        <f t="shared" ca="1" si="20"/>
        <v>26.492984097290901</v>
      </c>
      <c r="S162" s="78">
        <f t="shared" si="18"/>
        <v>1</v>
      </c>
      <c r="T162" s="79" t="str">
        <f t="shared" si="21"/>
        <v>CTC 9008</v>
      </c>
    </row>
    <row r="163" spans="2:20" hidden="1" x14ac:dyDescent="0.3">
      <c r="B163" s="36" t="str">
        <f t="shared" si="15"/>
        <v>207870-6</v>
      </c>
      <c r="C163" s="42">
        <v>1711</v>
      </c>
      <c r="D163" s="43">
        <v>8729</v>
      </c>
      <c r="E163" s="44">
        <v>46136</v>
      </c>
      <c r="F163" s="43">
        <v>3</v>
      </c>
      <c r="G163" s="43" t="s">
        <v>28</v>
      </c>
      <c r="H163" s="43">
        <v>207870</v>
      </c>
      <c r="I163" s="43" t="s">
        <v>47</v>
      </c>
      <c r="J163" s="43">
        <v>1</v>
      </c>
      <c r="K163" s="43">
        <v>6</v>
      </c>
      <c r="L163" s="43">
        <v>53</v>
      </c>
      <c r="M163" s="43" t="s">
        <v>30</v>
      </c>
      <c r="N163" s="43">
        <v>19.98</v>
      </c>
      <c r="O163" s="40">
        <f t="shared" si="16"/>
        <v>921797.28</v>
      </c>
      <c r="P163" s="41">
        <f t="shared" si="17"/>
        <v>46136.179235356009</v>
      </c>
      <c r="Q163" s="67">
        <f t="shared" ca="1" si="19"/>
        <v>27</v>
      </c>
      <c r="R163" s="67">
        <f t="shared" ca="1" si="20"/>
        <v>26.820764643991424</v>
      </c>
      <c r="S163" s="78">
        <f t="shared" si="18"/>
        <v>1</v>
      </c>
      <c r="T163" s="79" t="str">
        <f t="shared" si="21"/>
        <v>CTC 9008</v>
      </c>
    </row>
    <row r="164" spans="2:20" hidden="1" x14ac:dyDescent="0.3">
      <c r="B164" s="36" t="str">
        <f t="shared" si="15"/>
        <v>200518-5</v>
      </c>
      <c r="C164" s="42">
        <v>1707</v>
      </c>
      <c r="D164" s="43">
        <v>8741</v>
      </c>
      <c r="E164" s="44">
        <v>46137</v>
      </c>
      <c r="F164" s="43">
        <v>3</v>
      </c>
      <c r="G164" s="43" t="s">
        <v>28</v>
      </c>
      <c r="H164" s="43">
        <v>200518</v>
      </c>
      <c r="I164" s="43" t="s">
        <v>31</v>
      </c>
      <c r="J164" s="43">
        <v>1</v>
      </c>
      <c r="K164" s="43">
        <v>5</v>
      </c>
      <c r="L164" s="43">
        <v>4</v>
      </c>
      <c r="M164" s="43" t="s">
        <v>32</v>
      </c>
      <c r="N164" s="43">
        <v>12.26</v>
      </c>
      <c r="O164" s="40">
        <f t="shared" si="16"/>
        <v>565639.62</v>
      </c>
      <c r="P164" s="41">
        <f t="shared" si="17"/>
        <v>46136.507015902709</v>
      </c>
      <c r="Q164" s="67">
        <f t="shared" ca="1" si="19"/>
        <v>26</v>
      </c>
      <c r="R164" s="67">
        <f t="shared" ca="1" si="20"/>
        <v>26.492984097290901</v>
      </c>
      <c r="S164" s="78">
        <f t="shared" si="18"/>
        <v>1</v>
      </c>
      <c r="T164" s="79" t="str">
        <f t="shared" si="21"/>
        <v>CTC 9008</v>
      </c>
    </row>
    <row r="165" spans="2:20" x14ac:dyDescent="0.3">
      <c r="B165" s="36" t="str">
        <f t="shared" si="15"/>
        <v>200518-3</v>
      </c>
      <c r="C165" s="42">
        <v>1708</v>
      </c>
      <c r="D165" s="43">
        <v>8741</v>
      </c>
      <c r="E165" s="44">
        <v>46137</v>
      </c>
      <c r="F165" s="43">
        <v>3</v>
      </c>
      <c r="G165" s="43" t="s">
        <v>28</v>
      </c>
      <c r="H165" s="43">
        <v>200518</v>
      </c>
      <c r="I165" s="43" t="s">
        <v>31</v>
      </c>
      <c r="J165" s="43">
        <v>1</v>
      </c>
      <c r="K165" s="43">
        <v>3</v>
      </c>
      <c r="L165" s="43">
        <v>4</v>
      </c>
      <c r="M165" s="43" t="s">
        <v>32</v>
      </c>
      <c r="N165" s="43">
        <v>3</v>
      </c>
      <c r="O165" s="40">
        <f t="shared" si="16"/>
        <v>138411</v>
      </c>
      <c r="P165" s="41">
        <f t="shared" si="17"/>
        <v>46127.339454354682</v>
      </c>
      <c r="Q165" s="67">
        <f t="shared" ca="1" si="19"/>
        <v>26</v>
      </c>
      <c r="R165" s="67">
        <f t="shared" ca="1" si="20"/>
        <v>35.660545645318052</v>
      </c>
      <c r="S165" s="78">
        <f t="shared" si="18"/>
        <v>0.97061909758656884</v>
      </c>
      <c r="T165" s="79" t="str">
        <f t="shared" si="21"/>
        <v>RB97 5242</v>
      </c>
    </row>
    <row r="166" spans="2:20" hidden="1" x14ac:dyDescent="0.3">
      <c r="B166" s="36" t="str">
        <f t="shared" si="15"/>
        <v>200518-2</v>
      </c>
      <c r="C166" s="42">
        <v>1709</v>
      </c>
      <c r="D166" s="43">
        <v>8741</v>
      </c>
      <c r="E166" s="44">
        <v>46137</v>
      </c>
      <c r="F166" s="43">
        <v>3</v>
      </c>
      <c r="G166" s="43" t="s">
        <v>28</v>
      </c>
      <c r="H166" s="43">
        <v>200518</v>
      </c>
      <c r="I166" s="43" t="s">
        <v>31</v>
      </c>
      <c r="J166" s="43">
        <v>1</v>
      </c>
      <c r="K166" s="43">
        <v>2</v>
      </c>
      <c r="L166" s="43">
        <v>4</v>
      </c>
      <c r="M166" s="43" t="s">
        <v>32</v>
      </c>
      <c r="N166" s="43">
        <v>4</v>
      </c>
      <c r="O166" s="40">
        <f t="shared" si="16"/>
        <v>184548</v>
      </c>
      <c r="P166" s="41">
        <f t="shared" si="17"/>
        <v>46126.371703997742</v>
      </c>
      <c r="Q166" s="67">
        <f t="shared" ca="1" si="19"/>
        <v>26</v>
      </c>
      <c r="R166" s="67">
        <f t="shared" ca="1" si="20"/>
        <v>36.628296002258139</v>
      </c>
      <c r="S166" s="78">
        <f t="shared" si="18"/>
        <v>1</v>
      </c>
      <c r="T166" s="79" t="str">
        <f t="shared" si="21"/>
        <v>CTC 9008</v>
      </c>
    </row>
    <row r="167" spans="2:20" hidden="1" x14ac:dyDescent="0.3">
      <c r="B167" s="36" t="str">
        <f t="shared" si="15"/>
        <v>200518-10</v>
      </c>
      <c r="C167" s="42">
        <v>1710</v>
      </c>
      <c r="D167" s="43">
        <v>8741</v>
      </c>
      <c r="E167" s="44">
        <v>46137</v>
      </c>
      <c r="F167" s="43">
        <v>3</v>
      </c>
      <c r="G167" s="43" t="s">
        <v>28</v>
      </c>
      <c r="H167" s="43">
        <v>200518</v>
      </c>
      <c r="I167" s="43" t="s">
        <v>31</v>
      </c>
      <c r="J167" s="43">
        <v>1</v>
      </c>
      <c r="K167" s="43">
        <v>10</v>
      </c>
      <c r="L167" s="43">
        <v>4</v>
      </c>
      <c r="M167" s="43" t="s">
        <v>32</v>
      </c>
      <c r="N167" s="43">
        <v>5.54</v>
      </c>
      <c r="O167" s="40">
        <f t="shared" si="16"/>
        <v>255598.98</v>
      </c>
      <c r="P167" s="41">
        <f t="shared" si="17"/>
        <v>46144.045272969372</v>
      </c>
      <c r="Q167" s="67">
        <f t="shared" ca="1" si="19"/>
        <v>26</v>
      </c>
      <c r="R167" s="67">
        <f t="shared" ca="1" si="20"/>
        <v>18.954727030628419</v>
      </c>
      <c r="S167" s="78">
        <f t="shared" si="18"/>
        <v>0.85006657789613849</v>
      </c>
      <c r="T167" s="79" t="str">
        <f t="shared" si="21"/>
        <v>RB97 5242</v>
      </c>
    </row>
    <row r="168" spans="2:20" hidden="1" x14ac:dyDescent="0.3">
      <c r="B168" s="36" t="str">
        <f t="shared" si="15"/>
        <v>207870-3</v>
      </c>
      <c r="C168" s="42">
        <v>1712</v>
      </c>
      <c r="D168" s="43">
        <v>8729</v>
      </c>
      <c r="E168" s="44">
        <v>46137</v>
      </c>
      <c r="F168" s="43">
        <v>3</v>
      </c>
      <c r="G168" s="43" t="s">
        <v>28</v>
      </c>
      <c r="H168" s="43">
        <v>207870</v>
      </c>
      <c r="I168" s="43" t="s">
        <v>47</v>
      </c>
      <c r="J168" s="43">
        <v>1</v>
      </c>
      <c r="K168" s="43">
        <v>3</v>
      </c>
      <c r="L168" s="43">
        <v>53</v>
      </c>
      <c r="M168" s="43" t="s">
        <v>30</v>
      </c>
      <c r="N168" s="43">
        <v>1.25</v>
      </c>
      <c r="O168" s="40">
        <f t="shared" si="16"/>
        <v>57671.25</v>
      </c>
      <c r="P168" s="41">
        <f t="shared" si="17"/>
        <v>46134.776421052629</v>
      </c>
      <c r="Q168" s="67">
        <f t="shared" ca="1" si="19"/>
        <v>26</v>
      </c>
      <c r="R168" s="67">
        <f t="shared" ca="1" si="20"/>
        <v>28.223578947370697</v>
      </c>
      <c r="S168" s="78">
        <f t="shared" si="18"/>
        <v>0.67115789473684206</v>
      </c>
      <c r="T168" s="79" t="str">
        <f t="shared" si="21"/>
        <v>CTC-4</v>
      </c>
    </row>
    <row r="169" spans="2:20" hidden="1" x14ac:dyDescent="0.3">
      <c r="B169" s="36" t="str">
        <f t="shared" si="15"/>
        <v>207870-6</v>
      </c>
      <c r="C169" s="42">
        <v>1713</v>
      </c>
      <c r="D169" s="43">
        <v>8729</v>
      </c>
      <c r="E169" s="44">
        <v>46137</v>
      </c>
      <c r="F169" s="43">
        <v>3</v>
      </c>
      <c r="G169" s="43" t="s">
        <v>28</v>
      </c>
      <c r="H169" s="43">
        <v>207870</v>
      </c>
      <c r="I169" s="43" t="s">
        <v>47</v>
      </c>
      <c r="J169" s="43">
        <v>1</v>
      </c>
      <c r="K169" s="43">
        <v>6</v>
      </c>
      <c r="L169" s="43">
        <v>53</v>
      </c>
      <c r="M169" s="43" t="s">
        <v>30</v>
      </c>
      <c r="N169" s="43">
        <v>6.82</v>
      </c>
      <c r="O169" s="40">
        <f t="shared" si="16"/>
        <v>314654.34000000003</v>
      </c>
      <c r="P169" s="41">
        <f t="shared" si="17"/>
        <v>46136.179235356009</v>
      </c>
      <c r="Q169" s="67">
        <f t="shared" ca="1" si="19"/>
        <v>26</v>
      </c>
      <c r="R169" s="67">
        <f t="shared" ca="1" si="20"/>
        <v>26.820764643991424</v>
      </c>
      <c r="S169" s="78">
        <f t="shared" si="18"/>
        <v>1</v>
      </c>
      <c r="T169" s="79" t="str">
        <f t="shared" si="21"/>
        <v>CTC 9008</v>
      </c>
    </row>
    <row r="170" spans="2:20" hidden="1" x14ac:dyDescent="0.3">
      <c r="B170" s="36" t="str">
        <f t="shared" si="15"/>
        <v>207870-1</v>
      </c>
      <c r="C170" s="42">
        <v>1714</v>
      </c>
      <c r="D170" s="43">
        <v>8729</v>
      </c>
      <c r="E170" s="44">
        <v>46137</v>
      </c>
      <c r="F170" s="43">
        <v>3</v>
      </c>
      <c r="G170" s="43" t="s">
        <v>28</v>
      </c>
      <c r="H170" s="43">
        <v>207870</v>
      </c>
      <c r="I170" s="43" t="s">
        <v>47</v>
      </c>
      <c r="J170" s="43">
        <v>1</v>
      </c>
      <c r="K170" s="43">
        <v>1</v>
      </c>
      <c r="L170" s="43">
        <v>53</v>
      </c>
      <c r="M170" s="43" t="s">
        <v>30</v>
      </c>
      <c r="N170" s="43">
        <v>7.04</v>
      </c>
      <c r="O170" s="40">
        <f t="shared" si="16"/>
        <v>324804.47999999998</v>
      </c>
      <c r="P170" s="41">
        <f t="shared" si="17"/>
        <v>46137.72702597906</v>
      </c>
      <c r="Q170" s="67">
        <f t="shared" ca="1" si="19"/>
        <v>26</v>
      </c>
      <c r="R170" s="67">
        <f t="shared" ca="1" si="20"/>
        <v>25.272974020939728</v>
      </c>
      <c r="S170" s="78">
        <f t="shared" si="18"/>
        <v>1</v>
      </c>
      <c r="T170" s="79" t="str">
        <f t="shared" si="21"/>
        <v>CTC 9008</v>
      </c>
    </row>
    <row r="171" spans="2:20" hidden="1" x14ac:dyDescent="0.3">
      <c r="B171" s="36" t="str">
        <f t="shared" si="15"/>
        <v>207870-16</v>
      </c>
      <c r="C171" s="42">
        <v>1715</v>
      </c>
      <c r="D171" s="43">
        <v>8729</v>
      </c>
      <c r="E171" s="44">
        <v>46138</v>
      </c>
      <c r="F171" s="43">
        <v>3</v>
      </c>
      <c r="G171" s="43" t="s">
        <v>28</v>
      </c>
      <c r="H171" s="43">
        <v>207870</v>
      </c>
      <c r="I171" s="43" t="s">
        <v>47</v>
      </c>
      <c r="J171" s="43">
        <v>1</v>
      </c>
      <c r="K171" s="43">
        <v>16</v>
      </c>
      <c r="L171" s="43">
        <v>53</v>
      </c>
      <c r="M171" s="43" t="s">
        <v>30</v>
      </c>
      <c r="N171" s="43">
        <v>0.62</v>
      </c>
      <c r="O171" s="40">
        <f t="shared" si="16"/>
        <v>28605.56</v>
      </c>
      <c r="P171" s="41">
        <f t="shared" si="17"/>
        <v>46131.923404255322</v>
      </c>
      <c r="Q171" s="67">
        <f t="shared" ca="1" si="19"/>
        <v>25</v>
      </c>
      <c r="R171" s="67">
        <f t="shared" ca="1" si="20"/>
        <v>31.076595744678343</v>
      </c>
      <c r="S171" s="78">
        <f t="shared" si="18"/>
        <v>0.13191489361702127</v>
      </c>
      <c r="T171" s="79" t="str">
        <f t="shared" si="21"/>
        <v>RB12 7825</v>
      </c>
    </row>
    <row r="172" spans="2:20" hidden="1" x14ac:dyDescent="0.3">
      <c r="B172" s="36" t="str">
        <f t="shared" si="15"/>
        <v>207870-1</v>
      </c>
      <c r="C172" s="42">
        <v>1716</v>
      </c>
      <c r="D172" s="43">
        <v>8729</v>
      </c>
      <c r="E172" s="44">
        <v>46138</v>
      </c>
      <c r="F172" s="43">
        <v>3</v>
      </c>
      <c r="G172" s="43" t="s">
        <v>28</v>
      </c>
      <c r="H172" s="43">
        <v>207870</v>
      </c>
      <c r="I172" s="43" t="s">
        <v>47</v>
      </c>
      <c r="J172" s="43">
        <v>1</v>
      </c>
      <c r="K172" s="43">
        <v>1</v>
      </c>
      <c r="L172" s="43">
        <v>53</v>
      </c>
      <c r="M172" s="43" t="s">
        <v>30</v>
      </c>
      <c r="N172" s="43">
        <v>18.75</v>
      </c>
      <c r="O172" s="40">
        <f t="shared" si="16"/>
        <v>865087.5</v>
      </c>
      <c r="P172" s="41">
        <f t="shared" si="17"/>
        <v>46137.72702597906</v>
      </c>
      <c r="Q172" s="67">
        <f t="shared" ca="1" si="19"/>
        <v>25</v>
      </c>
      <c r="R172" s="67">
        <f t="shared" ca="1" si="20"/>
        <v>25.272974020939728</v>
      </c>
      <c r="S172" s="78">
        <f t="shared" si="18"/>
        <v>1</v>
      </c>
      <c r="T172" s="79" t="str">
        <f t="shared" si="21"/>
        <v>CTC 9008</v>
      </c>
    </row>
    <row r="173" spans="2:20" hidden="1" x14ac:dyDescent="0.3">
      <c r="B173" s="36" t="str">
        <f t="shared" si="15"/>
        <v>200518-4</v>
      </c>
      <c r="C173" s="42">
        <v>1717</v>
      </c>
      <c r="D173" s="43">
        <v>8741</v>
      </c>
      <c r="E173" s="44">
        <v>46138</v>
      </c>
      <c r="F173" s="43">
        <v>3</v>
      </c>
      <c r="G173" s="43" t="s">
        <v>28</v>
      </c>
      <c r="H173" s="43">
        <v>200518</v>
      </c>
      <c r="I173" s="43" t="s">
        <v>31</v>
      </c>
      <c r="J173" s="43">
        <v>1</v>
      </c>
      <c r="K173" s="43">
        <v>4</v>
      </c>
      <c r="L173" s="43">
        <v>4</v>
      </c>
      <c r="M173" s="43" t="s">
        <v>32</v>
      </c>
      <c r="N173" s="43">
        <v>5.07</v>
      </c>
      <c r="O173" s="40">
        <f t="shared" si="16"/>
        <v>233919.66</v>
      </c>
      <c r="P173" s="41">
        <f t="shared" si="17"/>
        <v>46131.5206559445</v>
      </c>
      <c r="Q173" s="67">
        <f t="shared" ca="1" si="19"/>
        <v>25</v>
      </c>
      <c r="R173" s="67">
        <f t="shared" ca="1" si="20"/>
        <v>31.479344055500405</v>
      </c>
      <c r="S173" s="78">
        <f t="shared" si="18"/>
        <v>1</v>
      </c>
      <c r="T173" s="79" t="str">
        <f t="shared" si="21"/>
        <v>CTC 9008</v>
      </c>
    </row>
    <row r="174" spans="2:20" hidden="1" x14ac:dyDescent="0.3">
      <c r="B174" s="36" t="str">
        <f t="shared" si="15"/>
        <v>200518-5</v>
      </c>
      <c r="C174" s="42">
        <v>1718</v>
      </c>
      <c r="D174" s="43">
        <v>8741</v>
      </c>
      <c r="E174" s="44">
        <v>46138</v>
      </c>
      <c r="F174" s="43">
        <v>3</v>
      </c>
      <c r="G174" s="43" t="s">
        <v>28</v>
      </c>
      <c r="H174" s="43">
        <v>200518</v>
      </c>
      <c r="I174" s="43" t="s">
        <v>31</v>
      </c>
      <c r="J174" s="43">
        <v>1</v>
      </c>
      <c r="K174" s="43">
        <v>5</v>
      </c>
      <c r="L174" s="43">
        <v>4</v>
      </c>
      <c r="M174" s="43" t="s">
        <v>32</v>
      </c>
      <c r="N174" s="43">
        <v>2</v>
      </c>
      <c r="O174" s="40">
        <f t="shared" si="16"/>
        <v>92276</v>
      </c>
      <c r="P174" s="41">
        <f t="shared" si="17"/>
        <v>46136.507015902709</v>
      </c>
      <c r="Q174" s="67">
        <f t="shared" ca="1" si="19"/>
        <v>25</v>
      </c>
      <c r="R174" s="67">
        <f t="shared" ca="1" si="20"/>
        <v>26.492984097290901</v>
      </c>
      <c r="S174" s="78">
        <f t="shared" si="18"/>
        <v>1</v>
      </c>
      <c r="T174" s="79" t="str">
        <f t="shared" si="21"/>
        <v>CTC 9008</v>
      </c>
    </row>
    <row r="175" spans="2:20" hidden="1" x14ac:dyDescent="0.3">
      <c r="B175" s="36" t="str">
        <f t="shared" si="15"/>
        <v>200518-6</v>
      </c>
      <c r="C175" s="42">
        <v>1719</v>
      </c>
      <c r="D175" s="43">
        <v>8741</v>
      </c>
      <c r="E175" s="44">
        <v>46138</v>
      </c>
      <c r="F175" s="43">
        <v>3</v>
      </c>
      <c r="G175" s="43" t="s">
        <v>28</v>
      </c>
      <c r="H175" s="43">
        <v>200518</v>
      </c>
      <c r="I175" s="43" t="s">
        <v>31</v>
      </c>
      <c r="J175" s="43">
        <v>1</v>
      </c>
      <c r="K175" s="43">
        <v>6</v>
      </c>
      <c r="L175" s="43">
        <v>4</v>
      </c>
      <c r="M175" s="43" t="s">
        <v>32</v>
      </c>
      <c r="N175" s="43">
        <v>14.62</v>
      </c>
      <c r="O175" s="40">
        <f t="shared" si="16"/>
        <v>674537.55999999994</v>
      </c>
      <c r="P175" s="41">
        <f t="shared" si="17"/>
        <v>46141.400180668476</v>
      </c>
      <c r="Q175" s="67">
        <f t="shared" ca="1" si="19"/>
        <v>25</v>
      </c>
      <c r="R175" s="67">
        <f t="shared" ca="1" si="20"/>
        <v>21.599819331524486</v>
      </c>
      <c r="S175" s="78">
        <f t="shared" si="18"/>
        <v>0.93134598012646796</v>
      </c>
      <c r="T175" s="79" t="str">
        <f t="shared" si="21"/>
        <v>RB97 5242</v>
      </c>
    </row>
    <row r="176" spans="2:20" hidden="1" x14ac:dyDescent="0.3">
      <c r="B176" s="36" t="str">
        <f t="shared" si="15"/>
        <v>200560-6</v>
      </c>
      <c r="C176" s="42">
        <v>1721</v>
      </c>
      <c r="D176" s="43">
        <v>8751</v>
      </c>
      <c r="E176" s="44">
        <v>46139</v>
      </c>
      <c r="F176" s="43">
        <v>3</v>
      </c>
      <c r="G176" s="43" t="s">
        <v>28</v>
      </c>
      <c r="H176" s="43">
        <v>200560</v>
      </c>
      <c r="I176" s="43" t="s">
        <v>33</v>
      </c>
      <c r="J176" s="43">
        <v>1</v>
      </c>
      <c r="K176" s="43">
        <v>6</v>
      </c>
      <c r="L176" s="43">
        <v>45</v>
      </c>
      <c r="M176" s="43" t="s">
        <v>34</v>
      </c>
      <c r="N176" s="43">
        <v>13.07</v>
      </c>
      <c r="O176" s="40">
        <f t="shared" si="16"/>
        <v>603036.73</v>
      </c>
      <c r="P176" s="41">
        <f t="shared" si="17"/>
        <v>46139.498657460681</v>
      </c>
      <c r="Q176" s="67">
        <f t="shared" ca="1" si="19"/>
        <v>24</v>
      </c>
      <c r="R176" s="67">
        <f t="shared" ca="1" si="20"/>
        <v>23.501342539319012</v>
      </c>
      <c r="S176" s="78">
        <f t="shared" si="18"/>
        <v>1</v>
      </c>
      <c r="T176" s="79" t="str">
        <f t="shared" si="21"/>
        <v>CTC 9008</v>
      </c>
    </row>
    <row r="177" spans="2:20" hidden="1" x14ac:dyDescent="0.3">
      <c r="B177" s="36" t="str">
        <f t="shared" si="15"/>
        <v>200518-12</v>
      </c>
      <c r="C177" s="42">
        <v>1722</v>
      </c>
      <c r="D177" s="43">
        <v>8768</v>
      </c>
      <c r="E177" s="44">
        <v>46139</v>
      </c>
      <c r="F177" s="43">
        <v>3</v>
      </c>
      <c r="G177" s="43" t="s">
        <v>28</v>
      </c>
      <c r="H177" s="43">
        <v>200518</v>
      </c>
      <c r="I177" s="43" t="s">
        <v>31</v>
      </c>
      <c r="J177" s="43">
        <v>1</v>
      </c>
      <c r="K177" s="43">
        <v>12</v>
      </c>
      <c r="L177" s="43">
        <v>4</v>
      </c>
      <c r="M177" s="43" t="s">
        <v>32</v>
      </c>
      <c r="N177" s="43">
        <v>12.66</v>
      </c>
      <c r="O177" s="40">
        <f t="shared" si="16"/>
        <v>584119.74</v>
      </c>
      <c r="P177" s="41">
        <f t="shared" si="17"/>
        <v>46139.721801159161</v>
      </c>
      <c r="Q177" s="67">
        <f t="shared" ca="1" si="19"/>
        <v>24</v>
      </c>
      <c r="R177" s="67">
        <f t="shared" ca="1" si="20"/>
        <v>23.278198840838741</v>
      </c>
      <c r="S177" s="78">
        <f t="shared" si="18"/>
        <v>1</v>
      </c>
      <c r="T177" s="79" t="str">
        <f t="shared" si="21"/>
        <v>CTC 9008</v>
      </c>
    </row>
    <row r="178" spans="2:20" hidden="1" x14ac:dyDescent="0.3">
      <c r="B178" s="36" t="str">
        <f t="shared" si="15"/>
        <v>200518-2</v>
      </c>
      <c r="C178" s="42">
        <v>1723</v>
      </c>
      <c r="D178" s="43">
        <v>8741</v>
      </c>
      <c r="E178" s="44">
        <v>46139</v>
      </c>
      <c r="F178" s="43">
        <v>3</v>
      </c>
      <c r="G178" s="43" t="s">
        <v>28</v>
      </c>
      <c r="H178" s="43">
        <v>200518</v>
      </c>
      <c r="I178" s="43" t="s">
        <v>31</v>
      </c>
      <c r="J178" s="43">
        <v>1</v>
      </c>
      <c r="K178" s="43">
        <v>2</v>
      </c>
      <c r="L178" s="43">
        <v>4</v>
      </c>
      <c r="M178" s="43" t="s">
        <v>32</v>
      </c>
      <c r="N178" s="43">
        <v>4.12</v>
      </c>
      <c r="O178" s="40">
        <f t="shared" si="16"/>
        <v>190092.68</v>
      </c>
      <c r="P178" s="41">
        <f t="shared" si="17"/>
        <v>46126.371703997742</v>
      </c>
      <c r="Q178" s="67">
        <f t="shared" ca="1" si="19"/>
        <v>24</v>
      </c>
      <c r="R178" s="67">
        <f t="shared" ca="1" si="20"/>
        <v>36.628296002258139</v>
      </c>
      <c r="S178" s="78">
        <f t="shared" si="18"/>
        <v>1</v>
      </c>
      <c r="T178" s="79" t="str">
        <f t="shared" si="21"/>
        <v>CTC 9008</v>
      </c>
    </row>
    <row r="179" spans="2:20" hidden="1" x14ac:dyDescent="0.3">
      <c r="B179" s="36" t="str">
        <f t="shared" si="15"/>
        <v>200518-4</v>
      </c>
      <c r="C179" s="42">
        <v>1724</v>
      </c>
      <c r="D179" s="43">
        <v>8741</v>
      </c>
      <c r="E179" s="44">
        <v>46139</v>
      </c>
      <c r="F179" s="43">
        <v>3</v>
      </c>
      <c r="G179" s="43" t="s">
        <v>28</v>
      </c>
      <c r="H179" s="43">
        <v>200518</v>
      </c>
      <c r="I179" s="43" t="s">
        <v>31</v>
      </c>
      <c r="J179" s="43">
        <v>1</v>
      </c>
      <c r="K179" s="43">
        <v>4</v>
      </c>
      <c r="L179" s="43">
        <v>4</v>
      </c>
      <c r="M179" s="43" t="s">
        <v>32</v>
      </c>
      <c r="N179" s="43">
        <v>5.54</v>
      </c>
      <c r="O179" s="40">
        <f t="shared" si="16"/>
        <v>255610.06</v>
      </c>
      <c r="P179" s="41">
        <f t="shared" si="17"/>
        <v>46131.5206559445</v>
      </c>
      <c r="Q179" s="67">
        <f t="shared" ca="1" si="19"/>
        <v>24</v>
      </c>
      <c r="R179" s="67">
        <f t="shared" ca="1" si="20"/>
        <v>31.479344055500405</v>
      </c>
      <c r="S179" s="78">
        <f t="shared" si="18"/>
        <v>1</v>
      </c>
      <c r="T179" s="79" t="str">
        <f t="shared" si="21"/>
        <v>CTC 9008</v>
      </c>
    </row>
    <row r="180" spans="2:20" hidden="1" x14ac:dyDescent="0.3">
      <c r="B180" s="36" t="str">
        <f t="shared" si="15"/>
        <v>200560-6</v>
      </c>
      <c r="C180" s="42">
        <v>1725</v>
      </c>
      <c r="D180" s="43">
        <v>8751</v>
      </c>
      <c r="E180" s="44">
        <v>46140</v>
      </c>
      <c r="F180" s="43">
        <v>3</v>
      </c>
      <c r="G180" s="43" t="s">
        <v>28</v>
      </c>
      <c r="H180" s="43">
        <v>200560</v>
      </c>
      <c r="I180" s="43" t="s">
        <v>33</v>
      </c>
      <c r="J180" s="43">
        <v>1</v>
      </c>
      <c r="K180" s="43">
        <v>6</v>
      </c>
      <c r="L180" s="43">
        <v>45</v>
      </c>
      <c r="M180" s="43" t="s">
        <v>34</v>
      </c>
      <c r="N180" s="43">
        <v>13</v>
      </c>
      <c r="O180" s="40">
        <f t="shared" si="16"/>
        <v>599820</v>
      </c>
      <c r="P180" s="41">
        <f t="shared" si="17"/>
        <v>46139.498657460681</v>
      </c>
      <c r="Q180" s="67">
        <f t="shared" ca="1" si="19"/>
        <v>23</v>
      </c>
      <c r="R180" s="67">
        <f t="shared" ca="1" si="20"/>
        <v>23.501342539319012</v>
      </c>
      <c r="S180" s="78">
        <f t="shared" si="18"/>
        <v>1</v>
      </c>
      <c r="T180" s="79" t="str">
        <f t="shared" si="21"/>
        <v>CTC 9008</v>
      </c>
    </row>
    <row r="181" spans="2:20" hidden="1" x14ac:dyDescent="0.3">
      <c r="B181" s="36" t="str">
        <f t="shared" si="15"/>
        <v>200560-9</v>
      </c>
      <c r="C181" s="42">
        <v>1726</v>
      </c>
      <c r="D181" s="43">
        <v>8751</v>
      </c>
      <c r="E181" s="44">
        <v>46140</v>
      </c>
      <c r="F181" s="43">
        <v>3</v>
      </c>
      <c r="G181" s="43" t="s">
        <v>28</v>
      </c>
      <c r="H181" s="43">
        <v>200560</v>
      </c>
      <c r="I181" s="43" t="s">
        <v>33</v>
      </c>
      <c r="J181" s="43">
        <v>1</v>
      </c>
      <c r="K181" s="43">
        <v>9</v>
      </c>
      <c r="L181" s="43">
        <v>45</v>
      </c>
      <c r="M181" s="43" t="s">
        <v>34</v>
      </c>
      <c r="N181" s="43">
        <v>11.65</v>
      </c>
      <c r="O181" s="40">
        <f t="shared" si="16"/>
        <v>537531</v>
      </c>
      <c r="P181" s="41">
        <f t="shared" si="17"/>
        <v>46140</v>
      </c>
      <c r="Q181" s="67">
        <f t="shared" ca="1" si="19"/>
        <v>23</v>
      </c>
      <c r="R181" s="67">
        <f t="shared" ca="1" si="20"/>
        <v>23</v>
      </c>
      <c r="S181" s="78">
        <f t="shared" si="18"/>
        <v>1</v>
      </c>
      <c r="T181" s="79" t="str">
        <f t="shared" si="21"/>
        <v>CTC 9008</v>
      </c>
    </row>
    <row r="182" spans="2:20" x14ac:dyDescent="0.3">
      <c r="B182" s="36" t="str">
        <f t="shared" si="15"/>
        <v>200518-3</v>
      </c>
      <c r="C182" s="42">
        <v>1727</v>
      </c>
      <c r="D182" s="43">
        <v>8741</v>
      </c>
      <c r="E182" s="44">
        <v>46140</v>
      </c>
      <c r="F182" s="43">
        <v>3</v>
      </c>
      <c r="G182" s="43" t="s">
        <v>28</v>
      </c>
      <c r="H182" s="43">
        <v>200518</v>
      </c>
      <c r="I182" s="43" t="s">
        <v>31</v>
      </c>
      <c r="J182" s="43">
        <v>1</v>
      </c>
      <c r="K182" s="43">
        <v>3</v>
      </c>
      <c r="L182" s="43">
        <v>4</v>
      </c>
      <c r="M182" s="43" t="s">
        <v>32</v>
      </c>
      <c r="N182" s="43">
        <v>2.8</v>
      </c>
      <c r="O182" s="40">
        <f t="shared" si="16"/>
        <v>129191.99999999999</v>
      </c>
      <c r="P182" s="41">
        <f t="shared" si="17"/>
        <v>46127.339454354682</v>
      </c>
      <c r="Q182" s="67">
        <f t="shared" ca="1" si="19"/>
        <v>23</v>
      </c>
      <c r="R182" s="67">
        <f t="shared" ca="1" si="20"/>
        <v>35.660545645318052</v>
      </c>
      <c r="S182" s="78">
        <f t="shared" si="18"/>
        <v>0.97061909758656884</v>
      </c>
      <c r="T182" s="79" t="str">
        <f t="shared" si="21"/>
        <v>RB97 5242</v>
      </c>
    </row>
    <row r="183" spans="2:20" hidden="1" x14ac:dyDescent="0.3">
      <c r="B183" s="36" t="str">
        <f t="shared" si="15"/>
        <v>200518-12</v>
      </c>
      <c r="C183" s="42">
        <v>1728</v>
      </c>
      <c r="D183" s="43">
        <v>8768</v>
      </c>
      <c r="E183" s="44">
        <v>46140</v>
      </c>
      <c r="F183" s="43">
        <v>3</v>
      </c>
      <c r="G183" s="43" t="s">
        <v>28</v>
      </c>
      <c r="H183" s="43">
        <v>200518</v>
      </c>
      <c r="I183" s="43" t="s">
        <v>31</v>
      </c>
      <c r="J183" s="43">
        <v>1</v>
      </c>
      <c r="K183" s="43">
        <v>12</v>
      </c>
      <c r="L183" s="43">
        <v>4</v>
      </c>
      <c r="M183" s="43" t="s">
        <v>32</v>
      </c>
      <c r="N183" s="43">
        <v>8.6999999999999993</v>
      </c>
      <c r="O183" s="40">
        <f t="shared" si="16"/>
        <v>401417.99999999994</v>
      </c>
      <c r="P183" s="41">
        <f t="shared" si="17"/>
        <v>46139.721801159161</v>
      </c>
      <c r="Q183" s="67">
        <f t="shared" ca="1" si="19"/>
        <v>23</v>
      </c>
      <c r="R183" s="67">
        <f t="shared" ca="1" si="20"/>
        <v>23.278198840838741</v>
      </c>
      <c r="S183" s="78">
        <f t="shared" si="18"/>
        <v>1</v>
      </c>
      <c r="T183" s="79" t="str">
        <f t="shared" si="21"/>
        <v>CTC 9008</v>
      </c>
    </row>
    <row r="184" spans="2:20" hidden="1" x14ac:dyDescent="0.3">
      <c r="B184" s="36" t="str">
        <f t="shared" si="15"/>
        <v>200518-13</v>
      </c>
      <c r="C184" s="42">
        <v>1729</v>
      </c>
      <c r="D184" s="43">
        <v>8768</v>
      </c>
      <c r="E184" s="44">
        <v>46140</v>
      </c>
      <c r="F184" s="43">
        <v>3</v>
      </c>
      <c r="G184" s="43" t="s">
        <v>28</v>
      </c>
      <c r="H184" s="43">
        <v>200518</v>
      </c>
      <c r="I184" s="43" t="s">
        <v>31</v>
      </c>
      <c r="J184" s="43">
        <v>1</v>
      </c>
      <c r="K184" s="43">
        <v>13</v>
      </c>
      <c r="L184" s="43">
        <v>4</v>
      </c>
      <c r="M184" s="43" t="s">
        <v>32</v>
      </c>
      <c r="N184" s="43">
        <v>13.3</v>
      </c>
      <c r="O184" s="40">
        <f t="shared" si="16"/>
        <v>613662</v>
      </c>
      <c r="P184" s="41">
        <f t="shared" si="17"/>
        <v>46140.201201201191</v>
      </c>
      <c r="Q184" s="67">
        <f t="shared" ca="1" si="19"/>
        <v>23</v>
      </c>
      <c r="R184" s="67">
        <f t="shared" ca="1" si="20"/>
        <v>22.798798798809003</v>
      </c>
      <c r="S184" s="78">
        <f t="shared" si="18"/>
        <v>1</v>
      </c>
      <c r="T184" s="79" t="str">
        <f t="shared" si="21"/>
        <v>CTC 9008</v>
      </c>
    </row>
    <row r="185" spans="2:20" hidden="1" x14ac:dyDescent="0.3">
      <c r="B185" s="36" t="str">
        <f t="shared" si="15"/>
        <v>207749-1</v>
      </c>
      <c r="C185" s="42">
        <v>1730</v>
      </c>
      <c r="D185" s="43">
        <v>8752</v>
      </c>
      <c r="E185" s="44">
        <v>46141</v>
      </c>
      <c r="F185" s="43">
        <v>3</v>
      </c>
      <c r="G185" s="43" t="s">
        <v>28</v>
      </c>
      <c r="H185" s="43">
        <v>207749</v>
      </c>
      <c r="I185" s="43" t="s">
        <v>45</v>
      </c>
      <c r="J185" s="43">
        <v>1</v>
      </c>
      <c r="K185" s="43">
        <v>1</v>
      </c>
      <c r="L185" s="43">
        <v>9</v>
      </c>
      <c r="M185" s="43" t="s">
        <v>46</v>
      </c>
      <c r="N185" s="43">
        <v>23.76</v>
      </c>
      <c r="O185" s="40">
        <f t="shared" si="16"/>
        <v>1096310.1600000001</v>
      </c>
      <c r="P185" s="41">
        <f t="shared" si="17"/>
        <v>46141.585180055401</v>
      </c>
      <c r="Q185" s="67">
        <f t="shared" ca="1" si="19"/>
        <v>22</v>
      </c>
      <c r="R185" s="67">
        <f t="shared" ca="1" si="20"/>
        <v>21.414819944599003</v>
      </c>
      <c r="S185" s="78">
        <f t="shared" si="18"/>
        <v>1</v>
      </c>
      <c r="T185" s="79" t="str">
        <f t="shared" si="21"/>
        <v>CTC 9008</v>
      </c>
    </row>
    <row r="186" spans="2:20" hidden="1" x14ac:dyDescent="0.3">
      <c r="B186" s="36" t="str">
        <f t="shared" si="15"/>
        <v>200518-10</v>
      </c>
      <c r="C186" s="42">
        <v>1731</v>
      </c>
      <c r="D186" s="43">
        <v>8768</v>
      </c>
      <c r="E186" s="44">
        <v>46141</v>
      </c>
      <c r="F186" s="43">
        <v>3</v>
      </c>
      <c r="G186" s="43" t="s">
        <v>28</v>
      </c>
      <c r="H186" s="43">
        <v>200518</v>
      </c>
      <c r="I186" s="43" t="s">
        <v>31</v>
      </c>
      <c r="J186" s="43">
        <v>1</v>
      </c>
      <c r="K186" s="43">
        <v>10</v>
      </c>
      <c r="L186" s="43">
        <v>4</v>
      </c>
      <c r="M186" s="43" t="s">
        <v>32</v>
      </c>
      <c r="N186" s="43">
        <v>8</v>
      </c>
      <c r="O186" s="40">
        <f t="shared" si="16"/>
        <v>369128</v>
      </c>
      <c r="P186" s="41">
        <f t="shared" si="17"/>
        <v>46144.045272969372</v>
      </c>
      <c r="Q186" s="67">
        <f t="shared" ca="1" si="19"/>
        <v>22</v>
      </c>
      <c r="R186" s="67">
        <f t="shared" ca="1" si="20"/>
        <v>18.954727030628419</v>
      </c>
      <c r="S186" s="78">
        <f t="shared" si="18"/>
        <v>0.85006657789613849</v>
      </c>
      <c r="T186" s="79" t="str">
        <f t="shared" si="21"/>
        <v>RB97 5242</v>
      </c>
    </row>
    <row r="187" spans="2:20" hidden="1" x14ac:dyDescent="0.3">
      <c r="B187" s="36" t="str">
        <f t="shared" si="15"/>
        <v>200518-11</v>
      </c>
      <c r="C187" s="42">
        <v>1732</v>
      </c>
      <c r="D187" s="43">
        <v>8768</v>
      </c>
      <c r="E187" s="44">
        <v>46141</v>
      </c>
      <c r="F187" s="43">
        <v>3</v>
      </c>
      <c r="G187" s="43" t="s">
        <v>28</v>
      </c>
      <c r="H187" s="43">
        <v>200518</v>
      </c>
      <c r="I187" s="43" t="s">
        <v>31</v>
      </c>
      <c r="J187" s="43">
        <v>1</v>
      </c>
      <c r="K187" s="43">
        <v>11</v>
      </c>
      <c r="L187" s="43">
        <v>4</v>
      </c>
      <c r="M187" s="43" t="s">
        <v>32</v>
      </c>
      <c r="N187" s="43">
        <v>13.43</v>
      </c>
      <c r="O187" s="40">
        <f t="shared" si="16"/>
        <v>619673.63</v>
      </c>
      <c r="P187" s="41">
        <f t="shared" si="17"/>
        <v>46143.735658042751</v>
      </c>
      <c r="Q187" s="67">
        <f t="shared" ca="1" si="19"/>
        <v>22</v>
      </c>
      <c r="R187" s="67">
        <f t="shared" ca="1" si="20"/>
        <v>19.264341957248689</v>
      </c>
      <c r="S187" s="78">
        <f t="shared" si="18"/>
        <v>0.93663292088488936</v>
      </c>
      <c r="T187" s="79" t="str">
        <f t="shared" si="21"/>
        <v>RB97 5242</v>
      </c>
    </row>
    <row r="188" spans="2:20" hidden="1" x14ac:dyDescent="0.3">
      <c r="B188" s="36" t="str">
        <f t="shared" si="15"/>
        <v>200518-13</v>
      </c>
      <c r="C188" s="42">
        <v>1733</v>
      </c>
      <c r="D188" s="43">
        <v>8768</v>
      </c>
      <c r="E188" s="44">
        <v>46141</v>
      </c>
      <c r="F188" s="43">
        <v>3</v>
      </c>
      <c r="G188" s="43" t="s">
        <v>28</v>
      </c>
      <c r="H188" s="43">
        <v>200518</v>
      </c>
      <c r="I188" s="43" t="s">
        <v>31</v>
      </c>
      <c r="J188" s="43">
        <v>1</v>
      </c>
      <c r="K188" s="43">
        <v>13</v>
      </c>
      <c r="L188" s="43">
        <v>4</v>
      </c>
      <c r="M188" s="43" t="s">
        <v>32</v>
      </c>
      <c r="N188" s="43">
        <v>3.35</v>
      </c>
      <c r="O188" s="40">
        <f t="shared" si="16"/>
        <v>154572.35</v>
      </c>
      <c r="P188" s="41">
        <f t="shared" si="17"/>
        <v>46140.201201201191</v>
      </c>
      <c r="Q188" s="67">
        <f t="shared" ca="1" si="19"/>
        <v>22</v>
      </c>
      <c r="R188" s="67">
        <f t="shared" ca="1" si="20"/>
        <v>22.798798798809003</v>
      </c>
      <c r="S188" s="78">
        <f t="shared" si="18"/>
        <v>1</v>
      </c>
      <c r="T188" s="79" t="str">
        <f t="shared" si="21"/>
        <v>CTC 9008</v>
      </c>
    </row>
    <row r="189" spans="2:20" hidden="1" x14ac:dyDescent="0.3">
      <c r="B189" s="36" t="str">
        <f t="shared" si="15"/>
        <v>207749-1</v>
      </c>
      <c r="C189" s="42">
        <v>1736</v>
      </c>
      <c r="D189" s="43">
        <v>8752</v>
      </c>
      <c r="E189" s="44">
        <v>46142</v>
      </c>
      <c r="F189" s="43">
        <v>3</v>
      </c>
      <c r="G189" s="43" t="s">
        <v>28</v>
      </c>
      <c r="H189" s="43">
        <v>207749</v>
      </c>
      <c r="I189" s="43" t="s">
        <v>45</v>
      </c>
      <c r="J189" s="43">
        <v>1</v>
      </c>
      <c r="K189" s="43">
        <v>1</v>
      </c>
      <c r="L189" s="43">
        <v>9</v>
      </c>
      <c r="M189" s="43" t="s">
        <v>46</v>
      </c>
      <c r="N189" s="43">
        <v>13.77</v>
      </c>
      <c r="O189" s="40">
        <f t="shared" si="16"/>
        <v>635375.34</v>
      </c>
      <c r="P189" s="41">
        <f t="shared" si="17"/>
        <v>46141.585180055401</v>
      </c>
      <c r="Q189" s="67">
        <f t="shared" ca="1" si="19"/>
        <v>21</v>
      </c>
      <c r="R189" s="67">
        <f t="shared" ca="1" si="20"/>
        <v>21.414819944599003</v>
      </c>
      <c r="S189" s="78">
        <f t="shared" si="18"/>
        <v>1</v>
      </c>
      <c r="T189" s="79" t="str">
        <f t="shared" si="21"/>
        <v>CTC 9008</v>
      </c>
    </row>
    <row r="190" spans="2:20" hidden="1" x14ac:dyDescent="0.3">
      <c r="B190" s="36" t="str">
        <f t="shared" si="15"/>
        <v>200518-8</v>
      </c>
      <c r="C190" s="42">
        <v>1737</v>
      </c>
      <c r="D190" s="43">
        <v>8768</v>
      </c>
      <c r="E190" s="44">
        <v>46142</v>
      </c>
      <c r="F190" s="43">
        <v>3</v>
      </c>
      <c r="G190" s="43" t="s">
        <v>28</v>
      </c>
      <c r="H190" s="43">
        <v>200518</v>
      </c>
      <c r="I190" s="43" t="s">
        <v>31</v>
      </c>
      <c r="J190" s="43">
        <v>1</v>
      </c>
      <c r="K190" s="43">
        <v>8</v>
      </c>
      <c r="L190" s="43">
        <v>4</v>
      </c>
      <c r="M190" s="43" t="s">
        <v>32</v>
      </c>
      <c r="N190" s="43">
        <v>6.05</v>
      </c>
      <c r="O190" s="40">
        <f t="shared" si="16"/>
        <v>279159.09999999998</v>
      </c>
      <c r="P190" s="41">
        <f t="shared" si="17"/>
        <v>46142.021035598707</v>
      </c>
      <c r="Q190" s="67">
        <f t="shared" ca="1" si="19"/>
        <v>21</v>
      </c>
      <c r="R190" s="67">
        <f t="shared" ca="1" si="20"/>
        <v>20.978964401292615</v>
      </c>
      <c r="S190" s="78">
        <f t="shared" si="18"/>
        <v>1</v>
      </c>
      <c r="T190" s="79" t="str">
        <f t="shared" si="21"/>
        <v>CTC 9008</v>
      </c>
    </row>
    <row r="191" spans="2:20" hidden="1" x14ac:dyDescent="0.3">
      <c r="B191" s="36" t="str">
        <f t="shared" si="15"/>
        <v>200518-9</v>
      </c>
      <c r="C191" s="42">
        <v>1738</v>
      </c>
      <c r="D191" s="43">
        <v>8768</v>
      </c>
      <c r="E191" s="44">
        <v>46142</v>
      </c>
      <c r="F191" s="43">
        <v>3</v>
      </c>
      <c r="G191" s="43" t="s">
        <v>28</v>
      </c>
      <c r="H191" s="43">
        <v>200518</v>
      </c>
      <c r="I191" s="43" t="s">
        <v>31</v>
      </c>
      <c r="J191" s="43">
        <v>1</v>
      </c>
      <c r="K191" s="43">
        <v>9</v>
      </c>
      <c r="L191" s="43">
        <v>4</v>
      </c>
      <c r="M191" s="43" t="s">
        <v>32</v>
      </c>
      <c r="N191" s="43">
        <v>10.88</v>
      </c>
      <c r="O191" s="40">
        <f t="shared" si="16"/>
        <v>502024.96000000002</v>
      </c>
      <c r="P191" s="41">
        <f t="shared" si="17"/>
        <v>46143.430823117327</v>
      </c>
      <c r="Q191" s="67">
        <f t="shared" ca="1" si="19"/>
        <v>21</v>
      </c>
      <c r="R191" s="67">
        <f t="shared" ca="1" si="20"/>
        <v>19.569176882672764</v>
      </c>
      <c r="S191" s="78">
        <f t="shared" si="18"/>
        <v>0.87040280210157617</v>
      </c>
      <c r="T191" s="79" t="str">
        <f t="shared" si="21"/>
        <v>RB97 5242</v>
      </c>
    </row>
    <row r="192" spans="2:20" hidden="1" x14ac:dyDescent="0.3">
      <c r="B192" s="36" t="str">
        <f t="shared" si="15"/>
        <v>207749-1</v>
      </c>
      <c r="C192" s="42">
        <v>1734</v>
      </c>
      <c r="D192" s="43">
        <v>8752</v>
      </c>
      <c r="E192" s="44">
        <v>46143</v>
      </c>
      <c r="F192" s="43">
        <v>3</v>
      </c>
      <c r="G192" s="43" t="s">
        <v>28</v>
      </c>
      <c r="H192" s="43">
        <v>207749</v>
      </c>
      <c r="I192" s="43" t="s">
        <v>45</v>
      </c>
      <c r="J192" s="43">
        <v>1</v>
      </c>
      <c r="K192" s="43">
        <v>1</v>
      </c>
      <c r="L192" s="43">
        <v>9</v>
      </c>
      <c r="M192" s="43" t="s">
        <v>46</v>
      </c>
      <c r="N192" s="43">
        <v>5.79</v>
      </c>
      <c r="O192" s="40">
        <f t="shared" si="16"/>
        <v>267167.97000000003</v>
      </c>
      <c r="P192" s="41">
        <f t="shared" si="17"/>
        <v>46141.585180055401</v>
      </c>
      <c r="Q192" s="67">
        <f t="shared" ca="1" si="19"/>
        <v>20</v>
      </c>
      <c r="R192" s="67">
        <f t="shared" ca="1" si="20"/>
        <v>21.414819944599003</v>
      </c>
      <c r="S192" s="78">
        <f t="shared" si="18"/>
        <v>1</v>
      </c>
      <c r="T192" s="79" t="str">
        <f t="shared" si="21"/>
        <v>CTC 9008</v>
      </c>
    </row>
    <row r="193" spans="2:20" hidden="1" x14ac:dyDescent="0.3">
      <c r="B193" s="36" t="str">
        <f t="shared" si="15"/>
        <v>207749-2</v>
      </c>
      <c r="C193" s="42">
        <v>1735</v>
      </c>
      <c r="D193" s="43">
        <v>8752</v>
      </c>
      <c r="E193" s="44">
        <v>46143</v>
      </c>
      <c r="F193" s="43">
        <v>3</v>
      </c>
      <c r="G193" s="43" t="s">
        <v>28</v>
      </c>
      <c r="H193" s="43">
        <v>207749</v>
      </c>
      <c r="I193" s="43" t="s">
        <v>45</v>
      </c>
      <c r="J193" s="43">
        <v>1</v>
      </c>
      <c r="K193" s="43">
        <v>2</v>
      </c>
      <c r="L193" s="43">
        <v>9</v>
      </c>
      <c r="M193" s="43" t="s">
        <v>46</v>
      </c>
      <c r="N193" s="43">
        <v>24.21</v>
      </c>
      <c r="O193" s="40">
        <f t="shared" si="16"/>
        <v>1117122.03</v>
      </c>
      <c r="P193" s="41">
        <f t="shared" si="17"/>
        <v>46144.065454545453</v>
      </c>
      <c r="Q193" s="67">
        <f t="shared" ca="1" si="19"/>
        <v>20</v>
      </c>
      <c r="R193" s="67">
        <f t="shared" ca="1" si="20"/>
        <v>18.934545454547333</v>
      </c>
      <c r="S193" s="78">
        <f t="shared" si="18"/>
        <v>1</v>
      </c>
      <c r="T193" s="79" t="str">
        <f t="shared" si="21"/>
        <v>CTC 9008</v>
      </c>
    </row>
    <row r="194" spans="2:20" hidden="1" x14ac:dyDescent="0.3">
      <c r="B194" s="36" t="str">
        <f t="shared" ref="B194:B257" si="22">CONCATENATE(H194,"-",K194)</f>
        <v>200518-9</v>
      </c>
      <c r="C194" s="42">
        <v>1739</v>
      </c>
      <c r="D194" s="43">
        <v>8768</v>
      </c>
      <c r="E194" s="44">
        <v>46143</v>
      </c>
      <c r="F194" s="43">
        <v>3</v>
      </c>
      <c r="G194" s="43" t="s">
        <v>28</v>
      </c>
      <c r="H194" s="43">
        <v>200518</v>
      </c>
      <c r="I194" s="43" t="s">
        <v>31</v>
      </c>
      <c r="J194" s="43">
        <v>1</v>
      </c>
      <c r="K194" s="43">
        <v>9</v>
      </c>
      <c r="L194" s="43">
        <v>4</v>
      </c>
      <c r="M194" s="43" t="s">
        <v>32</v>
      </c>
      <c r="N194" s="43">
        <v>9</v>
      </c>
      <c r="O194" s="40">
        <f t="shared" ref="O194:O257" si="23">IFERROR(E194*N194,"")</f>
        <v>415287</v>
      </c>
      <c r="P194" s="41">
        <f t="shared" ref="P194:P257" si="24">IFERROR(SUMIFS(O:O,B:B,B194)/SUMIFS(N:N,B:B,B194),"")</f>
        <v>46143.430823117327</v>
      </c>
      <c r="Q194" s="67">
        <f t="shared" ca="1" si="19"/>
        <v>20</v>
      </c>
      <c r="R194" s="67">
        <f t="shared" ca="1" si="20"/>
        <v>19.569176882672764</v>
      </c>
      <c r="S194" s="78">
        <f t="shared" ref="S194:S257" si="25">SUMIFS(N:N,B:B,B194,M:M,M194)/SUMIFS(N:N,B:B,B194)</f>
        <v>0.87040280210157617</v>
      </c>
      <c r="T194" s="79" t="str">
        <f t="shared" si="21"/>
        <v>RB97 5242</v>
      </c>
    </row>
    <row r="195" spans="2:20" hidden="1" x14ac:dyDescent="0.3">
      <c r="B195" s="36" t="str">
        <f t="shared" si="22"/>
        <v>200518-10</v>
      </c>
      <c r="C195" s="42">
        <v>1740</v>
      </c>
      <c r="D195" s="43">
        <v>8768</v>
      </c>
      <c r="E195" s="44">
        <v>46143</v>
      </c>
      <c r="F195" s="43">
        <v>3</v>
      </c>
      <c r="G195" s="43" t="s">
        <v>28</v>
      </c>
      <c r="H195" s="43">
        <v>200518</v>
      </c>
      <c r="I195" s="43" t="s">
        <v>31</v>
      </c>
      <c r="J195" s="43">
        <v>1</v>
      </c>
      <c r="K195" s="43">
        <v>10</v>
      </c>
      <c r="L195" s="43">
        <v>4</v>
      </c>
      <c r="M195" s="43" t="s">
        <v>32</v>
      </c>
      <c r="N195" s="43">
        <v>2.11</v>
      </c>
      <c r="O195" s="40">
        <f t="shared" si="23"/>
        <v>97361.73</v>
      </c>
      <c r="P195" s="41">
        <f t="shared" si="24"/>
        <v>46144.045272969372</v>
      </c>
      <c r="Q195" s="67">
        <f t="shared" ref="Q195:Q258" ca="1" si="26">TODAY()-E195</f>
        <v>20</v>
      </c>
      <c r="R195" s="67">
        <f t="shared" ref="R195:R258" ca="1" si="27">TODAY()-P195</f>
        <v>18.954727030628419</v>
      </c>
      <c r="S195" s="78">
        <f t="shared" si="25"/>
        <v>0.85006657789613849</v>
      </c>
      <c r="T195" s="79" t="str">
        <f t="shared" si="21"/>
        <v>RB97 5242</v>
      </c>
    </row>
    <row r="196" spans="2:20" hidden="1" x14ac:dyDescent="0.3">
      <c r="B196" s="36" t="str">
        <f t="shared" si="22"/>
        <v>200518-14</v>
      </c>
      <c r="C196" s="42">
        <v>1741</v>
      </c>
      <c r="D196" s="43">
        <v>8831</v>
      </c>
      <c r="E196" s="44">
        <v>46143</v>
      </c>
      <c r="F196" s="43">
        <v>3</v>
      </c>
      <c r="G196" s="43" t="s">
        <v>28</v>
      </c>
      <c r="H196" s="43">
        <v>200518</v>
      </c>
      <c r="I196" s="43" t="s">
        <v>31</v>
      </c>
      <c r="J196" s="43">
        <v>1</v>
      </c>
      <c r="K196" s="43">
        <v>14</v>
      </c>
      <c r="L196" s="43">
        <v>4</v>
      </c>
      <c r="M196" s="43" t="s">
        <v>32</v>
      </c>
      <c r="N196" s="43">
        <v>13</v>
      </c>
      <c r="O196" s="40">
        <f t="shared" si="23"/>
        <v>599859</v>
      </c>
      <c r="P196" s="41">
        <f t="shared" si="24"/>
        <v>46145.338665026145</v>
      </c>
      <c r="Q196" s="67">
        <f t="shared" ca="1" si="26"/>
        <v>20</v>
      </c>
      <c r="R196" s="67">
        <f t="shared" ca="1" si="27"/>
        <v>17.661334973854537</v>
      </c>
      <c r="S196" s="78">
        <f t="shared" si="25"/>
        <v>0.87265456782528439</v>
      </c>
      <c r="T196" s="79" t="str">
        <f t="shared" si="21"/>
        <v>RB97 5242</v>
      </c>
    </row>
    <row r="197" spans="2:20" hidden="1" x14ac:dyDescent="0.3">
      <c r="B197" s="36" t="str">
        <f t="shared" si="22"/>
        <v>200518-8</v>
      </c>
      <c r="C197" s="42">
        <v>1821</v>
      </c>
      <c r="D197" s="43">
        <v>8768</v>
      </c>
      <c r="E197" s="44">
        <v>46143</v>
      </c>
      <c r="F197" s="43">
        <v>3</v>
      </c>
      <c r="G197" s="43" t="s">
        <v>28</v>
      </c>
      <c r="H197" s="43">
        <v>200518</v>
      </c>
      <c r="I197" s="43" t="s">
        <v>31</v>
      </c>
      <c r="J197" s="43">
        <v>1</v>
      </c>
      <c r="K197" s="43">
        <v>8</v>
      </c>
      <c r="L197" s="43">
        <v>4</v>
      </c>
      <c r="M197" s="43" t="s">
        <v>32</v>
      </c>
      <c r="N197" s="43">
        <v>0.13</v>
      </c>
      <c r="O197" s="40">
        <f t="shared" si="23"/>
        <v>5998.59</v>
      </c>
      <c r="P197" s="41">
        <f t="shared" si="24"/>
        <v>46142.021035598707</v>
      </c>
      <c r="Q197" s="67">
        <f t="shared" ca="1" si="26"/>
        <v>20</v>
      </c>
      <c r="R197" s="67">
        <f t="shared" ca="1" si="27"/>
        <v>20.978964401292615</v>
      </c>
      <c r="S197" s="78">
        <f t="shared" si="25"/>
        <v>1</v>
      </c>
      <c r="T197" s="79" t="str">
        <f t="shared" si="21"/>
        <v>CTC 9008</v>
      </c>
    </row>
    <row r="198" spans="2:20" hidden="1" x14ac:dyDescent="0.3">
      <c r="B198" s="36" t="str">
        <f t="shared" si="22"/>
        <v>200518-14</v>
      </c>
      <c r="C198" s="42">
        <v>1742</v>
      </c>
      <c r="D198" s="43">
        <v>8831</v>
      </c>
      <c r="E198" s="44">
        <v>46144</v>
      </c>
      <c r="F198" s="43">
        <v>3</v>
      </c>
      <c r="G198" s="43" t="s">
        <v>28</v>
      </c>
      <c r="H198" s="43">
        <v>200518</v>
      </c>
      <c r="I198" s="43" t="s">
        <v>31</v>
      </c>
      <c r="J198" s="43">
        <v>1</v>
      </c>
      <c r="K198" s="43">
        <v>14</v>
      </c>
      <c r="L198" s="43">
        <v>4</v>
      </c>
      <c r="M198" s="43" t="s">
        <v>32</v>
      </c>
      <c r="N198" s="43">
        <v>3.85</v>
      </c>
      <c r="O198" s="40">
        <f t="shared" si="23"/>
        <v>177654.39999999999</v>
      </c>
      <c r="P198" s="41">
        <f t="shared" si="24"/>
        <v>46145.338665026145</v>
      </c>
      <c r="Q198" s="67">
        <f t="shared" ca="1" si="26"/>
        <v>19</v>
      </c>
      <c r="R198" s="67">
        <f t="shared" ca="1" si="27"/>
        <v>17.661334973854537</v>
      </c>
      <c r="S198" s="78">
        <f t="shared" si="25"/>
        <v>0.87265456782528439</v>
      </c>
      <c r="T198" s="79" t="str">
        <f t="shared" si="21"/>
        <v>RB97 5242</v>
      </c>
    </row>
    <row r="199" spans="2:20" hidden="1" x14ac:dyDescent="0.3">
      <c r="B199" s="36" t="str">
        <f t="shared" si="22"/>
        <v>200518-29</v>
      </c>
      <c r="C199" s="42">
        <v>1743</v>
      </c>
      <c r="D199" s="43">
        <v>8831</v>
      </c>
      <c r="E199" s="44">
        <v>46144</v>
      </c>
      <c r="F199" s="43">
        <v>3</v>
      </c>
      <c r="G199" s="43" t="s">
        <v>28</v>
      </c>
      <c r="H199" s="43">
        <v>200518</v>
      </c>
      <c r="I199" s="43" t="s">
        <v>31</v>
      </c>
      <c r="J199" s="43">
        <v>1</v>
      </c>
      <c r="K199" s="43">
        <v>29</v>
      </c>
      <c r="L199" s="43">
        <v>4</v>
      </c>
      <c r="M199" s="43" t="s">
        <v>32</v>
      </c>
      <c r="N199" s="43">
        <v>18</v>
      </c>
      <c r="O199" s="40">
        <f t="shared" si="23"/>
        <v>830592</v>
      </c>
      <c r="P199" s="41">
        <f t="shared" si="24"/>
        <v>46144.349710982664</v>
      </c>
      <c r="Q199" s="67">
        <f t="shared" ca="1" si="26"/>
        <v>19</v>
      </c>
      <c r="R199" s="67">
        <f t="shared" ca="1" si="27"/>
        <v>18.650289017336036</v>
      </c>
      <c r="S199" s="78">
        <f t="shared" si="25"/>
        <v>1</v>
      </c>
      <c r="T199" s="79" t="str">
        <f t="shared" si="21"/>
        <v>CTC 9008</v>
      </c>
    </row>
    <row r="200" spans="2:20" hidden="1" x14ac:dyDescent="0.3">
      <c r="B200" s="36" t="str">
        <f t="shared" si="22"/>
        <v>207749-4</v>
      </c>
      <c r="C200" s="42">
        <v>1749</v>
      </c>
      <c r="D200" s="43">
        <v>8752</v>
      </c>
      <c r="E200" s="44">
        <v>46144</v>
      </c>
      <c r="F200" s="43">
        <v>3</v>
      </c>
      <c r="G200" s="43" t="s">
        <v>28</v>
      </c>
      <c r="H200" s="43">
        <v>207749</v>
      </c>
      <c r="I200" s="43" t="s">
        <v>45</v>
      </c>
      <c r="J200" s="43">
        <v>1</v>
      </c>
      <c r="K200" s="43">
        <v>4</v>
      </c>
      <c r="L200" s="43">
        <v>9</v>
      </c>
      <c r="M200" s="43" t="s">
        <v>46</v>
      </c>
      <c r="N200" s="43">
        <v>24.02</v>
      </c>
      <c r="O200" s="40">
        <f t="shared" si="23"/>
        <v>1108378.8799999999</v>
      </c>
      <c r="P200" s="41">
        <f t="shared" si="24"/>
        <v>46144.428326670473</v>
      </c>
      <c r="Q200" s="67">
        <f t="shared" ca="1" si="26"/>
        <v>19</v>
      </c>
      <c r="R200" s="67">
        <f t="shared" ca="1" si="27"/>
        <v>18.571673329526675</v>
      </c>
      <c r="S200" s="78">
        <f t="shared" si="25"/>
        <v>1</v>
      </c>
      <c r="T200" s="79" t="str">
        <f t="shared" si="21"/>
        <v>CTC 9008</v>
      </c>
    </row>
    <row r="201" spans="2:20" hidden="1" x14ac:dyDescent="0.3">
      <c r="B201" s="36" t="str">
        <f t="shared" si="22"/>
        <v>200518-29</v>
      </c>
      <c r="C201" s="42">
        <v>1744</v>
      </c>
      <c r="D201" s="43">
        <v>8831</v>
      </c>
      <c r="E201" s="44">
        <v>46145</v>
      </c>
      <c r="F201" s="43">
        <v>3</v>
      </c>
      <c r="G201" s="43" t="s">
        <v>28</v>
      </c>
      <c r="H201" s="43">
        <v>200518</v>
      </c>
      <c r="I201" s="43" t="s">
        <v>31</v>
      </c>
      <c r="J201" s="43">
        <v>1</v>
      </c>
      <c r="K201" s="43">
        <v>29</v>
      </c>
      <c r="L201" s="43">
        <v>4</v>
      </c>
      <c r="M201" s="43" t="s">
        <v>32</v>
      </c>
      <c r="N201" s="43">
        <v>9.68</v>
      </c>
      <c r="O201" s="40">
        <f t="shared" si="23"/>
        <v>446683.6</v>
      </c>
      <c r="P201" s="41">
        <f t="shared" si="24"/>
        <v>46144.349710982664</v>
      </c>
      <c r="Q201" s="67">
        <f t="shared" ca="1" si="26"/>
        <v>18</v>
      </c>
      <c r="R201" s="67">
        <f t="shared" ca="1" si="27"/>
        <v>18.650289017336036</v>
      </c>
      <c r="S201" s="78">
        <f t="shared" si="25"/>
        <v>1</v>
      </c>
      <c r="T201" s="79" t="str">
        <f t="shared" si="21"/>
        <v>CTC 9008</v>
      </c>
    </row>
    <row r="202" spans="2:20" hidden="1" x14ac:dyDescent="0.3">
      <c r="B202" s="36" t="str">
        <f t="shared" si="22"/>
        <v>200518-14</v>
      </c>
      <c r="C202" s="42">
        <v>1745</v>
      </c>
      <c r="D202" s="43">
        <v>8831</v>
      </c>
      <c r="E202" s="44">
        <v>46145</v>
      </c>
      <c r="F202" s="43">
        <v>3</v>
      </c>
      <c r="G202" s="43" t="s">
        <v>28</v>
      </c>
      <c r="H202" s="43">
        <v>200518</v>
      </c>
      <c r="I202" s="43" t="s">
        <v>31</v>
      </c>
      <c r="J202" s="43">
        <v>1</v>
      </c>
      <c r="K202" s="43">
        <v>14</v>
      </c>
      <c r="L202" s="43">
        <v>4</v>
      </c>
      <c r="M202" s="43" t="s">
        <v>32</v>
      </c>
      <c r="N202" s="43">
        <v>2.3199999999999998</v>
      </c>
      <c r="O202" s="40">
        <f t="shared" si="23"/>
        <v>107056.4</v>
      </c>
      <c r="P202" s="41">
        <f t="shared" si="24"/>
        <v>46145.338665026145</v>
      </c>
      <c r="Q202" s="67">
        <f t="shared" ca="1" si="26"/>
        <v>18</v>
      </c>
      <c r="R202" s="67">
        <f t="shared" ca="1" si="27"/>
        <v>17.661334973854537</v>
      </c>
      <c r="S202" s="78">
        <f t="shared" si="25"/>
        <v>0.87265456782528439</v>
      </c>
      <c r="T202" s="79" t="str">
        <f t="shared" si="21"/>
        <v>RB97 5242</v>
      </c>
    </row>
    <row r="203" spans="2:20" hidden="1" x14ac:dyDescent="0.3">
      <c r="B203" s="36" t="str">
        <f t="shared" si="22"/>
        <v>200518-10</v>
      </c>
      <c r="C203" s="42">
        <v>1746</v>
      </c>
      <c r="D203" s="43">
        <v>8768</v>
      </c>
      <c r="E203" s="44">
        <v>46145</v>
      </c>
      <c r="F203" s="43">
        <v>3</v>
      </c>
      <c r="G203" s="43" t="s">
        <v>28</v>
      </c>
      <c r="H203" s="43">
        <v>200518</v>
      </c>
      <c r="I203" s="43" t="s">
        <v>31</v>
      </c>
      <c r="J203" s="43">
        <v>1</v>
      </c>
      <c r="K203" s="43">
        <v>10</v>
      </c>
      <c r="L203" s="43">
        <v>4</v>
      </c>
      <c r="M203" s="43" t="s">
        <v>32</v>
      </c>
      <c r="N203" s="43">
        <v>8</v>
      </c>
      <c r="O203" s="40">
        <f t="shared" si="23"/>
        <v>369160</v>
      </c>
      <c r="P203" s="41">
        <f t="shared" si="24"/>
        <v>46144.045272969372</v>
      </c>
      <c r="Q203" s="67">
        <f t="shared" ca="1" si="26"/>
        <v>18</v>
      </c>
      <c r="R203" s="67">
        <f t="shared" ca="1" si="27"/>
        <v>18.954727030628419</v>
      </c>
      <c r="S203" s="78">
        <f t="shared" si="25"/>
        <v>0.85006657789613849</v>
      </c>
      <c r="T203" s="79" t="str">
        <f t="shared" si="21"/>
        <v>RB97 5242</v>
      </c>
    </row>
    <row r="204" spans="2:20" hidden="1" x14ac:dyDescent="0.3">
      <c r="B204" s="36" t="str">
        <f t="shared" si="22"/>
        <v>207749-4</v>
      </c>
      <c r="C204" s="42">
        <v>1747</v>
      </c>
      <c r="D204" s="43">
        <v>8752</v>
      </c>
      <c r="E204" s="44">
        <v>46145</v>
      </c>
      <c r="F204" s="43">
        <v>3</v>
      </c>
      <c r="G204" s="43" t="s">
        <v>28</v>
      </c>
      <c r="H204" s="43">
        <v>207749</v>
      </c>
      <c r="I204" s="43" t="s">
        <v>45</v>
      </c>
      <c r="J204" s="43">
        <v>1</v>
      </c>
      <c r="K204" s="43">
        <v>4</v>
      </c>
      <c r="L204" s="43">
        <v>9</v>
      </c>
      <c r="M204" s="43" t="s">
        <v>46</v>
      </c>
      <c r="N204" s="43">
        <v>10</v>
      </c>
      <c r="O204" s="40">
        <f t="shared" si="23"/>
        <v>461450</v>
      </c>
      <c r="P204" s="41">
        <f t="shared" si="24"/>
        <v>46144.428326670473</v>
      </c>
      <c r="Q204" s="67">
        <f t="shared" ca="1" si="26"/>
        <v>18</v>
      </c>
      <c r="R204" s="67">
        <f t="shared" ca="1" si="27"/>
        <v>18.571673329526675</v>
      </c>
      <c r="S204" s="78">
        <f t="shared" si="25"/>
        <v>1</v>
      </c>
      <c r="T204" s="79" t="str">
        <f t="shared" si="21"/>
        <v>CTC 9008</v>
      </c>
    </row>
    <row r="205" spans="2:20" hidden="1" x14ac:dyDescent="0.3">
      <c r="B205" s="36" t="str">
        <f t="shared" si="22"/>
        <v>207749-3</v>
      </c>
      <c r="C205" s="42">
        <v>1748</v>
      </c>
      <c r="D205" s="43">
        <v>8752</v>
      </c>
      <c r="E205" s="44">
        <v>46145</v>
      </c>
      <c r="F205" s="43">
        <v>3</v>
      </c>
      <c r="G205" s="43" t="s">
        <v>28</v>
      </c>
      <c r="H205" s="43">
        <v>207749</v>
      </c>
      <c r="I205" s="43" t="s">
        <v>45</v>
      </c>
      <c r="J205" s="43">
        <v>1</v>
      </c>
      <c r="K205" s="43">
        <v>3</v>
      </c>
      <c r="L205" s="43">
        <v>9</v>
      </c>
      <c r="M205" s="43" t="s">
        <v>46</v>
      </c>
      <c r="N205" s="43">
        <v>14.1</v>
      </c>
      <c r="O205" s="40">
        <f t="shared" si="23"/>
        <v>650644.5</v>
      </c>
      <c r="P205" s="41">
        <f t="shared" si="24"/>
        <v>46145.964804223499</v>
      </c>
      <c r="Q205" s="67">
        <f t="shared" ca="1" si="26"/>
        <v>18</v>
      </c>
      <c r="R205" s="67">
        <f t="shared" ca="1" si="27"/>
        <v>17.035195776501496</v>
      </c>
      <c r="S205" s="78">
        <f t="shared" si="25"/>
        <v>1</v>
      </c>
      <c r="T205" s="79" t="str">
        <f t="shared" si="21"/>
        <v>CTC 9008</v>
      </c>
    </row>
    <row r="206" spans="2:20" hidden="1" x14ac:dyDescent="0.3">
      <c r="B206" s="36" t="str">
        <f t="shared" si="22"/>
        <v>207749-3</v>
      </c>
      <c r="C206" s="42">
        <v>1751</v>
      </c>
      <c r="D206" s="43">
        <v>8752</v>
      </c>
      <c r="E206" s="44">
        <v>46146</v>
      </c>
      <c r="F206" s="43">
        <v>3</v>
      </c>
      <c r="G206" s="43" t="s">
        <v>28</v>
      </c>
      <c r="H206" s="43">
        <v>207749</v>
      </c>
      <c r="I206" s="43" t="s">
        <v>45</v>
      </c>
      <c r="J206" s="43">
        <v>1</v>
      </c>
      <c r="K206" s="43">
        <v>3</v>
      </c>
      <c r="L206" s="43">
        <v>9</v>
      </c>
      <c r="M206" s="43" t="s">
        <v>46</v>
      </c>
      <c r="N206" s="43">
        <v>22.18</v>
      </c>
      <c r="O206" s="40">
        <f t="shared" si="23"/>
        <v>1023518.28</v>
      </c>
      <c r="P206" s="41">
        <f t="shared" si="24"/>
        <v>46145.964804223499</v>
      </c>
      <c r="Q206" s="67">
        <f t="shared" ca="1" si="26"/>
        <v>17</v>
      </c>
      <c r="R206" s="67">
        <f t="shared" ca="1" si="27"/>
        <v>17.035195776501496</v>
      </c>
      <c r="S206" s="78">
        <f t="shared" si="25"/>
        <v>1</v>
      </c>
      <c r="T206" s="79" t="str">
        <f t="shared" si="21"/>
        <v>CTC 9008</v>
      </c>
    </row>
    <row r="207" spans="2:20" hidden="1" x14ac:dyDescent="0.3">
      <c r="B207" s="36" t="str">
        <f t="shared" si="22"/>
        <v>200518-14</v>
      </c>
      <c r="C207" s="42">
        <v>1752</v>
      </c>
      <c r="D207" s="43">
        <v>8831</v>
      </c>
      <c r="E207" s="44">
        <v>46146</v>
      </c>
      <c r="F207" s="43">
        <v>3</v>
      </c>
      <c r="G207" s="43" t="s">
        <v>28</v>
      </c>
      <c r="H207" s="43">
        <v>200518</v>
      </c>
      <c r="I207" s="43" t="s">
        <v>31</v>
      </c>
      <c r="J207" s="43">
        <v>1</v>
      </c>
      <c r="K207" s="43">
        <v>14</v>
      </c>
      <c r="L207" s="43">
        <v>4</v>
      </c>
      <c r="M207" s="43" t="s">
        <v>32</v>
      </c>
      <c r="N207" s="43">
        <v>9.1999999999999993</v>
      </c>
      <c r="O207" s="40">
        <f t="shared" si="23"/>
        <v>424543.19999999995</v>
      </c>
      <c r="P207" s="41">
        <f t="shared" si="24"/>
        <v>46145.338665026145</v>
      </c>
      <c r="Q207" s="67">
        <f t="shared" ca="1" si="26"/>
        <v>17</v>
      </c>
      <c r="R207" s="67">
        <f t="shared" ca="1" si="27"/>
        <v>17.661334973854537</v>
      </c>
      <c r="S207" s="78">
        <f t="shared" si="25"/>
        <v>0.87265456782528439</v>
      </c>
      <c r="T207" s="79" t="str">
        <f t="shared" si="21"/>
        <v>RB97 5242</v>
      </c>
    </row>
    <row r="208" spans="2:20" hidden="1" x14ac:dyDescent="0.3">
      <c r="B208" s="36" t="str">
        <f t="shared" si="22"/>
        <v>200518-11</v>
      </c>
      <c r="C208" s="42">
        <v>1753</v>
      </c>
      <c r="D208" s="43">
        <v>8768</v>
      </c>
      <c r="E208" s="44">
        <v>46146</v>
      </c>
      <c r="F208" s="43">
        <v>3</v>
      </c>
      <c r="G208" s="43" t="s">
        <v>28</v>
      </c>
      <c r="H208" s="43">
        <v>200518</v>
      </c>
      <c r="I208" s="43" t="s">
        <v>31</v>
      </c>
      <c r="J208" s="43">
        <v>1</v>
      </c>
      <c r="K208" s="43">
        <v>11</v>
      </c>
      <c r="L208" s="43">
        <v>4</v>
      </c>
      <c r="M208" s="43" t="s">
        <v>32</v>
      </c>
      <c r="N208" s="43">
        <v>11.55</v>
      </c>
      <c r="O208" s="40">
        <f t="shared" si="23"/>
        <v>532986.30000000005</v>
      </c>
      <c r="P208" s="41">
        <f t="shared" si="24"/>
        <v>46143.735658042751</v>
      </c>
      <c r="Q208" s="67">
        <f t="shared" ca="1" si="26"/>
        <v>17</v>
      </c>
      <c r="R208" s="67">
        <f t="shared" ca="1" si="27"/>
        <v>19.264341957248689</v>
      </c>
      <c r="S208" s="78">
        <f t="shared" si="25"/>
        <v>0.93663292088488936</v>
      </c>
      <c r="T208" s="79" t="str">
        <f t="shared" si="21"/>
        <v>RB97 5242</v>
      </c>
    </row>
    <row r="209" spans="2:20" hidden="1" x14ac:dyDescent="0.3">
      <c r="B209" s="36" t="str">
        <f t="shared" si="22"/>
        <v>200518-12</v>
      </c>
      <c r="C209" s="42">
        <v>1754</v>
      </c>
      <c r="D209" s="43">
        <v>8768</v>
      </c>
      <c r="E209" s="44">
        <v>46146</v>
      </c>
      <c r="F209" s="43">
        <v>3</v>
      </c>
      <c r="G209" s="43" t="s">
        <v>28</v>
      </c>
      <c r="H209" s="43">
        <v>200518</v>
      </c>
      <c r="I209" s="43" t="s">
        <v>31</v>
      </c>
      <c r="J209" s="43">
        <v>1</v>
      </c>
      <c r="K209" s="43">
        <v>12</v>
      </c>
      <c r="L209" s="43">
        <v>4</v>
      </c>
      <c r="M209" s="43" t="s">
        <v>32</v>
      </c>
      <c r="N209" s="43">
        <v>1.07</v>
      </c>
      <c r="O209" s="40">
        <f t="shared" si="23"/>
        <v>49376.22</v>
      </c>
      <c r="P209" s="41">
        <f t="shared" si="24"/>
        <v>46139.721801159161</v>
      </c>
      <c r="Q209" s="67">
        <f t="shared" ca="1" si="26"/>
        <v>17</v>
      </c>
      <c r="R209" s="67">
        <f t="shared" ca="1" si="27"/>
        <v>23.278198840838741</v>
      </c>
      <c r="S209" s="78">
        <f t="shared" si="25"/>
        <v>1</v>
      </c>
      <c r="T209" s="79" t="str">
        <f t="shared" ref="T209:T272" si="28">_xlfn.XLOOKUP(_xlfn.MAXIFS(S:S,H:H,H209,K:K,K209),S:S,M:M)</f>
        <v>CTC 9008</v>
      </c>
    </row>
    <row r="210" spans="2:20" hidden="1" x14ac:dyDescent="0.3">
      <c r="B210" s="36" t="str">
        <f t="shared" si="22"/>
        <v>200518-6</v>
      </c>
      <c r="C210" s="42">
        <v>1756</v>
      </c>
      <c r="D210" s="43">
        <v>8741</v>
      </c>
      <c r="E210" s="44">
        <v>46147</v>
      </c>
      <c r="F210" s="43">
        <v>3</v>
      </c>
      <c r="G210" s="43" t="s">
        <v>28</v>
      </c>
      <c r="H210" s="43">
        <v>200518</v>
      </c>
      <c r="I210" s="43" t="s">
        <v>31</v>
      </c>
      <c r="J210" s="43">
        <v>1</v>
      </c>
      <c r="K210" s="43">
        <v>6</v>
      </c>
      <c r="L210" s="43">
        <v>4</v>
      </c>
      <c r="M210" s="43" t="s">
        <v>32</v>
      </c>
      <c r="N210" s="43">
        <v>6</v>
      </c>
      <c r="O210" s="40">
        <f t="shared" si="23"/>
        <v>276882</v>
      </c>
      <c r="P210" s="41">
        <f t="shared" si="24"/>
        <v>46141.400180668476</v>
      </c>
      <c r="Q210" s="67">
        <f t="shared" ca="1" si="26"/>
        <v>16</v>
      </c>
      <c r="R210" s="67">
        <f t="shared" ca="1" si="27"/>
        <v>21.599819331524486</v>
      </c>
      <c r="S210" s="78">
        <f t="shared" si="25"/>
        <v>0.93134598012646796</v>
      </c>
      <c r="T210" s="79" t="str">
        <f t="shared" si="28"/>
        <v>RB97 5242</v>
      </c>
    </row>
    <row r="211" spans="2:20" hidden="1" x14ac:dyDescent="0.3">
      <c r="B211" s="36" t="str">
        <f t="shared" si="22"/>
        <v>200518-10</v>
      </c>
      <c r="C211" s="42">
        <v>1757</v>
      </c>
      <c r="D211" s="43">
        <v>8768</v>
      </c>
      <c r="E211" s="44">
        <v>46147</v>
      </c>
      <c r="F211" s="43">
        <v>3</v>
      </c>
      <c r="G211" s="43" t="s">
        <v>28</v>
      </c>
      <c r="H211" s="43">
        <v>200518</v>
      </c>
      <c r="I211" s="43" t="s">
        <v>31</v>
      </c>
      <c r="J211" s="43">
        <v>1</v>
      </c>
      <c r="K211" s="43">
        <v>10</v>
      </c>
      <c r="L211" s="43">
        <v>4</v>
      </c>
      <c r="M211" s="43" t="s">
        <v>32</v>
      </c>
      <c r="N211" s="43">
        <v>8.27</v>
      </c>
      <c r="O211" s="40">
        <f t="shared" si="23"/>
        <v>381635.69</v>
      </c>
      <c r="P211" s="41">
        <f t="shared" si="24"/>
        <v>46144.045272969372</v>
      </c>
      <c r="Q211" s="67">
        <f t="shared" ca="1" si="26"/>
        <v>16</v>
      </c>
      <c r="R211" s="67">
        <f t="shared" ca="1" si="27"/>
        <v>18.954727030628419</v>
      </c>
      <c r="S211" s="78">
        <f t="shared" si="25"/>
        <v>0.85006657789613849</v>
      </c>
      <c r="T211" s="79" t="str">
        <f t="shared" si="28"/>
        <v>RB97 5242</v>
      </c>
    </row>
    <row r="212" spans="2:20" hidden="1" x14ac:dyDescent="0.3">
      <c r="B212" s="36" t="str">
        <f t="shared" si="22"/>
        <v>200518-34</v>
      </c>
      <c r="C212" s="42">
        <v>1758</v>
      </c>
      <c r="D212" s="43">
        <v>8831</v>
      </c>
      <c r="E212" s="44">
        <v>46147</v>
      </c>
      <c r="F212" s="43">
        <v>3</v>
      </c>
      <c r="G212" s="43" t="s">
        <v>28</v>
      </c>
      <c r="H212" s="43">
        <v>200518</v>
      </c>
      <c r="I212" s="43" t="s">
        <v>31</v>
      </c>
      <c r="J212" s="43">
        <v>1</v>
      </c>
      <c r="K212" s="43">
        <v>34</v>
      </c>
      <c r="L212" s="43">
        <v>4</v>
      </c>
      <c r="M212" s="43" t="s">
        <v>32</v>
      </c>
      <c r="N212" s="43">
        <v>6</v>
      </c>
      <c r="O212" s="40">
        <f t="shared" si="23"/>
        <v>276882</v>
      </c>
      <c r="P212" s="41">
        <f t="shared" si="24"/>
        <v>46147.731988472617</v>
      </c>
      <c r="Q212" s="67">
        <f t="shared" ca="1" si="26"/>
        <v>16</v>
      </c>
      <c r="R212" s="67">
        <f t="shared" ca="1" si="27"/>
        <v>15.268011527383351</v>
      </c>
      <c r="S212" s="78">
        <f t="shared" si="25"/>
        <v>0.9221902017291066</v>
      </c>
      <c r="T212" s="79" t="str">
        <f t="shared" si="28"/>
        <v>RB97 5242</v>
      </c>
    </row>
    <row r="213" spans="2:20" hidden="1" x14ac:dyDescent="0.3">
      <c r="B213" s="36" t="str">
        <f t="shared" si="22"/>
        <v>207749-2</v>
      </c>
      <c r="C213" s="42">
        <v>1759</v>
      </c>
      <c r="D213" s="43">
        <v>8752</v>
      </c>
      <c r="E213" s="44">
        <v>46147</v>
      </c>
      <c r="F213" s="43">
        <v>3</v>
      </c>
      <c r="G213" s="43" t="s">
        <v>28</v>
      </c>
      <c r="H213" s="43">
        <v>207749</v>
      </c>
      <c r="I213" s="43" t="s">
        <v>45</v>
      </c>
      <c r="J213" s="43">
        <v>1</v>
      </c>
      <c r="K213" s="43">
        <v>2</v>
      </c>
      <c r="L213" s="43">
        <v>9</v>
      </c>
      <c r="M213" s="43" t="s">
        <v>46</v>
      </c>
      <c r="N213" s="43">
        <v>8.7899999999999991</v>
      </c>
      <c r="O213" s="40">
        <f t="shared" si="23"/>
        <v>405632.12999999995</v>
      </c>
      <c r="P213" s="41">
        <f t="shared" si="24"/>
        <v>46144.065454545453</v>
      </c>
      <c r="Q213" s="67">
        <f t="shared" ca="1" si="26"/>
        <v>16</v>
      </c>
      <c r="R213" s="67">
        <f t="shared" ca="1" si="27"/>
        <v>18.934545454547333</v>
      </c>
      <c r="S213" s="78">
        <f t="shared" si="25"/>
        <v>1</v>
      </c>
      <c r="T213" s="79" t="str">
        <f t="shared" si="28"/>
        <v>CTC 9008</v>
      </c>
    </row>
    <row r="214" spans="2:20" hidden="1" x14ac:dyDescent="0.3">
      <c r="B214" s="36" t="str">
        <f t="shared" si="22"/>
        <v>207749-3</v>
      </c>
      <c r="C214" s="42">
        <v>1760</v>
      </c>
      <c r="D214" s="43">
        <v>8752</v>
      </c>
      <c r="E214" s="44">
        <v>46147</v>
      </c>
      <c r="F214" s="43">
        <v>3</v>
      </c>
      <c r="G214" s="43" t="s">
        <v>28</v>
      </c>
      <c r="H214" s="43">
        <v>207749</v>
      </c>
      <c r="I214" s="43" t="s">
        <v>45</v>
      </c>
      <c r="J214" s="43">
        <v>1</v>
      </c>
      <c r="K214" s="43">
        <v>3</v>
      </c>
      <c r="L214" s="43">
        <v>9</v>
      </c>
      <c r="M214" s="43" t="s">
        <v>46</v>
      </c>
      <c r="N214" s="43">
        <v>7.52</v>
      </c>
      <c r="O214" s="40">
        <f t="shared" si="23"/>
        <v>347025.44</v>
      </c>
      <c r="P214" s="41">
        <f t="shared" si="24"/>
        <v>46145.964804223499</v>
      </c>
      <c r="Q214" s="67">
        <f t="shared" ca="1" si="26"/>
        <v>16</v>
      </c>
      <c r="R214" s="67">
        <f t="shared" ca="1" si="27"/>
        <v>17.035195776501496</v>
      </c>
      <c r="S214" s="78">
        <f t="shared" si="25"/>
        <v>1</v>
      </c>
      <c r="T214" s="79" t="str">
        <f t="shared" si="28"/>
        <v>CTC 9008</v>
      </c>
    </row>
    <row r="215" spans="2:20" hidden="1" x14ac:dyDescent="0.3">
      <c r="B215" s="36" t="str">
        <f t="shared" si="22"/>
        <v>207749-5</v>
      </c>
      <c r="C215" s="42">
        <v>1761</v>
      </c>
      <c r="D215" s="43">
        <v>8752</v>
      </c>
      <c r="E215" s="44">
        <v>46148</v>
      </c>
      <c r="F215" s="43">
        <v>3</v>
      </c>
      <c r="G215" s="43" t="s">
        <v>28</v>
      </c>
      <c r="H215" s="43">
        <v>207749</v>
      </c>
      <c r="I215" s="43" t="s">
        <v>45</v>
      </c>
      <c r="J215" s="43">
        <v>1</v>
      </c>
      <c r="K215" s="43">
        <v>5</v>
      </c>
      <c r="L215" s="43">
        <v>9</v>
      </c>
      <c r="M215" s="43" t="s">
        <v>46</v>
      </c>
      <c r="N215" s="43">
        <v>16.5</v>
      </c>
      <c r="O215" s="40">
        <f t="shared" si="23"/>
        <v>761442</v>
      </c>
      <c r="P215" s="41">
        <f t="shared" si="24"/>
        <v>46148.398688046655</v>
      </c>
      <c r="Q215" s="67">
        <f t="shared" ca="1" si="26"/>
        <v>15</v>
      </c>
      <c r="R215" s="67">
        <f t="shared" ca="1" si="27"/>
        <v>14.60131195334543</v>
      </c>
      <c r="S215" s="78">
        <f t="shared" si="25"/>
        <v>1</v>
      </c>
      <c r="T215" s="79" t="str">
        <f t="shared" si="28"/>
        <v>CTC 9008</v>
      </c>
    </row>
    <row r="216" spans="2:20" hidden="1" x14ac:dyDescent="0.3">
      <c r="B216" s="36" t="str">
        <f t="shared" si="22"/>
        <v>200518-7</v>
      </c>
      <c r="C216" s="42">
        <v>1762</v>
      </c>
      <c r="D216" s="43">
        <v>8741</v>
      </c>
      <c r="E216" s="44">
        <v>46148</v>
      </c>
      <c r="F216" s="43">
        <v>3</v>
      </c>
      <c r="G216" s="43" t="s">
        <v>28</v>
      </c>
      <c r="H216" s="43">
        <v>200518</v>
      </c>
      <c r="I216" s="43" t="s">
        <v>31</v>
      </c>
      <c r="J216" s="43">
        <v>1</v>
      </c>
      <c r="K216" s="43">
        <v>7</v>
      </c>
      <c r="L216" s="43">
        <v>4</v>
      </c>
      <c r="M216" s="43" t="s">
        <v>32</v>
      </c>
      <c r="N216" s="43">
        <v>10</v>
      </c>
      <c r="O216" s="40">
        <f t="shared" si="23"/>
        <v>461480</v>
      </c>
      <c r="P216" s="41">
        <f t="shared" si="24"/>
        <v>46148.942386831273</v>
      </c>
      <c r="Q216" s="67">
        <f t="shared" ca="1" si="26"/>
        <v>15</v>
      </c>
      <c r="R216" s="67">
        <f t="shared" ca="1" si="27"/>
        <v>14.057613168726675</v>
      </c>
      <c r="S216" s="78">
        <f t="shared" si="25"/>
        <v>0.51440329218106995</v>
      </c>
      <c r="T216" s="79" t="str">
        <f t="shared" si="28"/>
        <v>RB97 5242</v>
      </c>
    </row>
    <row r="217" spans="2:20" hidden="1" x14ac:dyDescent="0.3">
      <c r="B217" s="36" t="str">
        <f t="shared" si="22"/>
        <v>200518-34</v>
      </c>
      <c r="C217" s="42">
        <v>1763</v>
      </c>
      <c r="D217" s="43">
        <v>8831</v>
      </c>
      <c r="E217" s="44">
        <v>46148</v>
      </c>
      <c r="F217" s="43">
        <v>3</v>
      </c>
      <c r="G217" s="43" t="s">
        <v>28</v>
      </c>
      <c r="H217" s="43">
        <v>200518</v>
      </c>
      <c r="I217" s="43" t="s">
        <v>31</v>
      </c>
      <c r="J217" s="43">
        <v>1</v>
      </c>
      <c r="K217" s="43">
        <v>34</v>
      </c>
      <c r="L217" s="43">
        <v>4</v>
      </c>
      <c r="M217" s="43" t="s">
        <v>32</v>
      </c>
      <c r="N217" s="43">
        <v>10</v>
      </c>
      <c r="O217" s="40">
        <f t="shared" si="23"/>
        <v>461480</v>
      </c>
      <c r="P217" s="41">
        <f t="shared" si="24"/>
        <v>46147.731988472617</v>
      </c>
      <c r="Q217" s="67">
        <f t="shared" ca="1" si="26"/>
        <v>15</v>
      </c>
      <c r="R217" s="67">
        <f t="shared" ca="1" si="27"/>
        <v>15.268011527383351</v>
      </c>
      <c r="S217" s="78">
        <f t="shared" si="25"/>
        <v>0.9221902017291066</v>
      </c>
      <c r="T217" s="79" t="str">
        <f t="shared" si="28"/>
        <v>RB97 5242</v>
      </c>
    </row>
    <row r="218" spans="2:20" hidden="1" x14ac:dyDescent="0.3">
      <c r="B218" s="36" t="str">
        <f t="shared" si="22"/>
        <v>200518-35</v>
      </c>
      <c r="C218" s="42">
        <v>1764</v>
      </c>
      <c r="D218" s="43">
        <v>8831</v>
      </c>
      <c r="E218" s="44">
        <v>46148</v>
      </c>
      <c r="F218" s="43">
        <v>3</v>
      </c>
      <c r="G218" s="43" t="s">
        <v>28</v>
      </c>
      <c r="H218" s="43">
        <v>200518</v>
      </c>
      <c r="I218" s="43" t="s">
        <v>31</v>
      </c>
      <c r="J218" s="43">
        <v>1</v>
      </c>
      <c r="K218" s="43">
        <v>35</v>
      </c>
      <c r="L218" s="43">
        <v>4</v>
      </c>
      <c r="M218" s="43" t="s">
        <v>32</v>
      </c>
      <c r="N218" s="43">
        <v>4.37</v>
      </c>
      <c r="O218" s="40">
        <f t="shared" si="23"/>
        <v>201666.76</v>
      </c>
      <c r="P218" s="41">
        <f t="shared" si="24"/>
        <v>46149.260556127701</v>
      </c>
      <c r="Q218" s="67">
        <f t="shared" ca="1" si="26"/>
        <v>15</v>
      </c>
      <c r="R218" s="67">
        <f t="shared" ca="1" si="27"/>
        <v>13.73944387229858</v>
      </c>
      <c r="S218" s="78">
        <f t="shared" si="25"/>
        <v>0.22502574665293509</v>
      </c>
      <c r="T218" s="79" t="str">
        <f t="shared" si="28"/>
        <v>CTC-4</v>
      </c>
    </row>
    <row r="219" spans="2:20" hidden="1" x14ac:dyDescent="0.3">
      <c r="B219" s="36" t="str">
        <f t="shared" si="22"/>
        <v>200518-7</v>
      </c>
      <c r="C219" s="42">
        <v>1765</v>
      </c>
      <c r="D219" s="43">
        <v>8741</v>
      </c>
      <c r="E219" s="44">
        <v>46149</v>
      </c>
      <c r="F219" s="43">
        <v>3</v>
      </c>
      <c r="G219" s="43" t="s">
        <v>28</v>
      </c>
      <c r="H219" s="43">
        <v>200518</v>
      </c>
      <c r="I219" s="43" t="s">
        <v>31</v>
      </c>
      <c r="J219" s="43">
        <v>1</v>
      </c>
      <c r="K219" s="43">
        <v>7</v>
      </c>
      <c r="L219" s="43">
        <v>53</v>
      </c>
      <c r="M219" s="43" t="s">
        <v>30</v>
      </c>
      <c r="N219" s="43">
        <v>5</v>
      </c>
      <c r="O219" s="40">
        <f t="shared" si="23"/>
        <v>230745</v>
      </c>
      <c r="P219" s="41">
        <f t="shared" si="24"/>
        <v>46148.942386831273</v>
      </c>
      <c r="Q219" s="67">
        <f t="shared" ca="1" si="26"/>
        <v>14</v>
      </c>
      <c r="R219" s="67">
        <f t="shared" ca="1" si="27"/>
        <v>14.057613168726675</v>
      </c>
      <c r="S219" s="78">
        <f t="shared" si="25"/>
        <v>0.48559670781893005</v>
      </c>
      <c r="T219" s="79" t="str">
        <f t="shared" si="28"/>
        <v>RB97 5242</v>
      </c>
    </row>
    <row r="220" spans="2:20" hidden="1" x14ac:dyDescent="0.3">
      <c r="B220" s="36" t="str">
        <f t="shared" si="22"/>
        <v>200518-34</v>
      </c>
      <c r="C220" s="42">
        <v>1766</v>
      </c>
      <c r="D220" s="43">
        <v>8831</v>
      </c>
      <c r="E220" s="44">
        <v>46149</v>
      </c>
      <c r="F220" s="43">
        <v>3</v>
      </c>
      <c r="G220" s="43" t="s">
        <v>28</v>
      </c>
      <c r="H220" s="43">
        <v>200518</v>
      </c>
      <c r="I220" s="43" t="s">
        <v>31</v>
      </c>
      <c r="J220" s="43">
        <v>1</v>
      </c>
      <c r="K220" s="43">
        <v>34</v>
      </c>
      <c r="L220" s="43">
        <v>53</v>
      </c>
      <c r="M220" s="43" t="s">
        <v>30</v>
      </c>
      <c r="N220" s="43">
        <v>1.35</v>
      </c>
      <c r="O220" s="40">
        <f t="shared" si="23"/>
        <v>62301.15</v>
      </c>
      <c r="P220" s="41">
        <f t="shared" si="24"/>
        <v>46147.731988472617</v>
      </c>
      <c r="Q220" s="67">
        <f t="shared" ca="1" si="26"/>
        <v>14</v>
      </c>
      <c r="R220" s="67">
        <f t="shared" ca="1" si="27"/>
        <v>15.268011527383351</v>
      </c>
      <c r="S220" s="78">
        <f t="shared" si="25"/>
        <v>7.7809798270893377E-2</v>
      </c>
      <c r="T220" s="79" t="str">
        <f t="shared" si="28"/>
        <v>RB97 5242</v>
      </c>
    </row>
    <row r="221" spans="2:20" hidden="1" x14ac:dyDescent="0.3">
      <c r="B221" s="36" t="str">
        <f t="shared" si="22"/>
        <v>200518-35</v>
      </c>
      <c r="C221" s="42">
        <v>1767</v>
      </c>
      <c r="D221" s="43">
        <v>8831</v>
      </c>
      <c r="E221" s="44">
        <v>46149</v>
      </c>
      <c r="F221" s="43">
        <v>3</v>
      </c>
      <c r="G221" s="43" t="s">
        <v>28</v>
      </c>
      <c r="H221" s="43">
        <v>200518</v>
      </c>
      <c r="I221" s="43" t="s">
        <v>31</v>
      </c>
      <c r="J221" s="43">
        <v>1</v>
      </c>
      <c r="K221" s="43">
        <v>35</v>
      </c>
      <c r="L221" s="43">
        <v>53</v>
      </c>
      <c r="M221" s="43" t="s">
        <v>30</v>
      </c>
      <c r="N221" s="43">
        <v>10</v>
      </c>
      <c r="O221" s="40">
        <f t="shared" si="23"/>
        <v>461490</v>
      </c>
      <c r="P221" s="41">
        <f t="shared" si="24"/>
        <v>46149.260556127701</v>
      </c>
      <c r="Q221" s="67">
        <f t="shared" ca="1" si="26"/>
        <v>14</v>
      </c>
      <c r="R221" s="67">
        <f t="shared" ca="1" si="27"/>
        <v>13.73944387229858</v>
      </c>
      <c r="S221" s="78">
        <f t="shared" si="25"/>
        <v>0.77497425334706471</v>
      </c>
      <c r="T221" s="79" t="str">
        <f t="shared" si="28"/>
        <v>CTC-4</v>
      </c>
    </row>
    <row r="222" spans="2:20" hidden="1" x14ac:dyDescent="0.3">
      <c r="B222" s="36" t="str">
        <f t="shared" si="22"/>
        <v>200518-36</v>
      </c>
      <c r="C222" s="42">
        <v>1768</v>
      </c>
      <c r="D222" s="43">
        <v>8831</v>
      </c>
      <c r="E222" s="44">
        <v>46149</v>
      </c>
      <c r="F222" s="43">
        <v>3</v>
      </c>
      <c r="G222" s="43" t="s">
        <v>28</v>
      </c>
      <c r="H222" s="43">
        <v>200518</v>
      </c>
      <c r="I222" s="43" t="s">
        <v>31</v>
      </c>
      <c r="J222" s="43">
        <v>1</v>
      </c>
      <c r="K222" s="43">
        <v>36</v>
      </c>
      <c r="L222" s="43">
        <v>53</v>
      </c>
      <c r="M222" s="43" t="s">
        <v>30</v>
      </c>
      <c r="N222" s="43">
        <v>8.66</v>
      </c>
      <c r="O222" s="40">
        <f t="shared" si="23"/>
        <v>399650.34</v>
      </c>
      <c r="P222" s="41">
        <f t="shared" si="24"/>
        <v>46150.223170184101</v>
      </c>
      <c r="Q222" s="67">
        <f t="shared" ca="1" si="26"/>
        <v>14</v>
      </c>
      <c r="R222" s="67">
        <f t="shared" ca="1" si="27"/>
        <v>12.776829815898964</v>
      </c>
      <c r="S222" s="78">
        <f t="shared" si="25"/>
        <v>1</v>
      </c>
      <c r="T222" s="79" t="str">
        <f t="shared" si="28"/>
        <v>CTC 9008</v>
      </c>
    </row>
    <row r="223" spans="2:20" hidden="1" x14ac:dyDescent="0.3">
      <c r="B223" s="36" t="str">
        <f t="shared" si="22"/>
        <v>207749-3</v>
      </c>
      <c r="C223" s="42">
        <v>1770</v>
      </c>
      <c r="D223" s="43">
        <v>8752</v>
      </c>
      <c r="E223" s="44">
        <v>46149</v>
      </c>
      <c r="F223" s="43">
        <v>3</v>
      </c>
      <c r="G223" s="43" t="s">
        <v>28</v>
      </c>
      <c r="H223" s="43">
        <v>207749</v>
      </c>
      <c r="I223" s="43" t="s">
        <v>45</v>
      </c>
      <c r="J223" s="43">
        <v>1</v>
      </c>
      <c r="K223" s="43">
        <v>3</v>
      </c>
      <c r="L223" s="43">
        <v>9</v>
      </c>
      <c r="M223" s="43" t="s">
        <v>46</v>
      </c>
      <c r="N223" s="43">
        <v>1.66</v>
      </c>
      <c r="O223" s="40">
        <f t="shared" si="23"/>
        <v>76607.34</v>
      </c>
      <c r="P223" s="41">
        <f t="shared" si="24"/>
        <v>46145.964804223499</v>
      </c>
      <c r="Q223" s="67">
        <f t="shared" ca="1" si="26"/>
        <v>14</v>
      </c>
      <c r="R223" s="67">
        <f t="shared" ca="1" si="27"/>
        <v>17.035195776501496</v>
      </c>
      <c r="S223" s="78">
        <f t="shared" si="25"/>
        <v>1</v>
      </c>
      <c r="T223" s="79" t="str">
        <f t="shared" si="28"/>
        <v>CTC 9008</v>
      </c>
    </row>
    <row r="224" spans="2:20" hidden="1" x14ac:dyDescent="0.3">
      <c r="B224" s="36" t="str">
        <f t="shared" si="22"/>
        <v>207749-4</v>
      </c>
      <c r="C224" s="42">
        <v>1771</v>
      </c>
      <c r="D224" s="43">
        <v>8752</v>
      </c>
      <c r="E224" s="44">
        <v>46149</v>
      </c>
      <c r="F224" s="43">
        <v>3</v>
      </c>
      <c r="G224" s="43" t="s">
        <v>28</v>
      </c>
      <c r="H224" s="43">
        <v>207749</v>
      </c>
      <c r="I224" s="43" t="s">
        <v>45</v>
      </c>
      <c r="J224" s="43">
        <v>1</v>
      </c>
      <c r="K224" s="43">
        <v>4</v>
      </c>
      <c r="L224" s="43">
        <v>9</v>
      </c>
      <c r="M224" s="43" t="s">
        <v>46</v>
      </c>
      <c r="N224" s="43">
        <v>1</v>
      </c>
      <c r="O224" s="40">
        <f t="shared" si="23"/>
        <v>46149</v>
      </c>
      <c r="P224" s="41">
        <f t="shared" si="24"/>
        <v>46144.428326670473</v>
      </c>
      <c r="Q224" s="67">
        <f t="shared" ca="1" si="26"/>
        <v>14</v>
      </c>
      <c r="R224" s="67">
        <f t="shared" ca="1" si="27"/>
        <v>18.571673329526675</v>
      </c>
      <c r="S224" s="78">
        <f t="shared" si="25"/>
        <v>1</v>
      </c>
      <c r="T224" s="79" t="str">
        <f t="shared" si="28"/>
        <v>CTC 9008</v>
      </c>
    </row>
    <row r="225" spans="2:20" hidden="1" x14ac:dyDescent="0.3">
      <c r="B225" s="36" t="str">
        <f t="shared" si="22"/>
        <v>207749-5</v>
      </c>
      <c r="C225" s="42">
        <v>1772</v>
      </c>
      <c r="D225" s="43">
        <v>8752</v>
      </c>
      <c r="E225" s="44">
        <v>46149</v>
      </c>
      <c r="F225" s="43">
        <v>3</v>
      </c>
      <c r="G225" s="43" t="s">
        <v>28</v>
      </c>
      <c r="H225" s="43">
        <v>207749</v>
      </c>
      <c r="I225" s="43" t="s">
        <v>45</v>
      </c>
      <c r="J225" s="43">
        <v>1</v>
      </c>
      <c r="K225" s="43">
        <v>5</v>
      </c>
      <c r="L225" s="43">
        <v>9</v>
      </c>
      <c r="M225" s="43" t="s">
        <v>46</v>
      </c>
      <c r="N225" s="43">
        <v>10.94</v>
      </c>
      <c r="O225" s="40">
        <f t="shared" si="23"/>
        <v>504870.06</v>
      </c>
      <c r="P225" s="41">
        <f t="shared" si="24"/>
        <v>46148.398688046655</v>
      </c>
      <c r="Q225" s="67">
        <f t="shared" ca="1" si="26"/>
        <v>14</v>
      </c>
      <c r="R225" s="67">
        <f t="shared" ca="1" si="27"/>
        <v>14.60131195334543</v>
      </c>
      <c r="S225" s="78">
        <f t="shared" si="25"/>
        <v>1</v>
      </c>
      <c r="T225" s="79" t="str">
        <f t="shared" si="28"/>
        <v>CTC 9008</v>
      </c>
    </row>
    <row r="226" spans="2:20" hidden="1" x14ac:dyDescent="0.3">
      <c r="B226" s="36" t="str">
        <f t="shared" si="22"/>
        <v>207875-1</v>
      </c>
      <c r="C226" s="42">
        <v>1773</v>
      </c>
      <c r="D226" s="43">
        <v>8924</v>
      </c>
      <c r="E226" s="44">
        <v>46149</v>
      </c>
      <c r="F226" s="43">
        <v>3</v>
      </c>
      <c r="G226" s="43" t="s">
        <v>28</v>
      </c>
      <c r="H226" s="43">
        <v>207875</v>
      </c>
      <c r="I226" s="43" t="s">
        <v>49</v>
      </c>
      <c r="J226" s="43">
        <v>1</v>
      </c>
      <c r="K226" s="43">
        <v>1</v>
      </c>
      <c r="L226" s="43">
        <v>9</v>
      </c>
      <c r="M226" s="43" t="s">
        <v>46</v>
      </c>
      <c r="N226" s="43">
        <v>4.3600000000000003</v>
      </c>
      <c r="O226" s="40">
        <f t="shared" si="23"/>
        <v>201209.64</v>
      </c>
      <c r="P226" s="41">
        <f t="shared" si="24"/>
        <v>46149</v>
      </c>
      <c r="Q226" s="67">
        <f t="shared" ca="1" si="26"/>
        <v>14</v>
      </c>
      <c r="R226" s="67">
        <f t="shared" ca="1" si="27"/>
        <v>14</v>
      </c>
      <c r="S226" s="78">
        <f t="shared" si="25"/>
        <v>1</v>
      </c>
      <c r="T226" s="79" t="str">
        <f t="shared" si="28"/>
        <v>CTC 9008</v>
      </c>
    </row>
    <row r="227" spans="2:20" hidden="1" x14ac:dyDescent="0.3">
      <c r="B227" s="36" t="str">
        <f t="shared" si="22"/>
        <v>207875-2</v>
      </c>
      <c r="C227" s="42">
        <v>1774</v>
      </c>
      <c r="D227" s="43">
        <v>8924</v>
      </c>
      <c r="E227" s="44">
        <v>46149</v>
      </c>
      <c r="F227" s="43">
        <v>3</v>
      </c>
      <c r="G227" s="43" t="s">
        <v>28</v>
      </c>
      <c r="H227" s="43">
        <v>207875</v>
      </c>
      <c r="I227" s="43" t="s">
        <v>49</v>
      </c>
      <c r="J227" s="43">
        <v>1</v>
      </c>
      <c r="K227" s="43">
        <v>2</v>
      </c>
      <c r="L227" s="43">
        <v>9</v>
      </c>
      <c r="M227" s="43" t="s">
        <v>46</v>
      </c>
      <c r="N227" s="43">
        <v>2.33</v>
      </c>
      <c r="O227" s="40">
        <f t="shared" si="23"/>
        <v>107527.17</v>
      </c>
      <c r="P227" s="41">
        <f t="shared" si="24"/>
        <v>46149.881183069869</v>
      </c>
      <c r="Q227" s="67">
        <f t="shared" ca="1" si="26"/>
        <v>14</v>
      </c>
      <c r="R227" s="67">
        <f t="shared" ca="1" si="27"/>
        <v>13.118816930131288</v>
      </c>
      <c r="S227" s="78">
        <f t="shared" si="25"/>
        <v>0.11881693013768486</v>
      </c>
      <c r="T227" s="79" t="str">
        <f t="shared" si="28"/>
        <v>CTC-4</v>
      </c>
    </row>
    <row r="228" spans="2:20" hidden="1" x14ac:dyDescent="0.3">
      <c r="B228" s="36" t="str">
        <f t="shared" si="22"/>
        <v>207875-2</v>
      </c>
      <c r="C228" s="42">
        <v>1775</v>
      </c>
      <c r="D228" s="43">
        <v>8924</v>
      </c>
      <c r="E228" s="44">
        <v>46150</v>
      </c>
      <c r="F228" s="43">
        <v>3</v>
      </c>
      <c r="G228" s="43" t="s">
        <v>28</v>
      </c>
      <c r="H228" s="43">
        <v>207875</v>
      </c>
      <c r="I228" s="43" t="s">
        <v>49</v>
      </c>
      <c r="J228" s="43">
        <v>1</v>
      </c>
      <c r="K228" s="43">
        <v>2</v>
      </c>
      <c r="L228" s="43">
        <v>53</v>
      </c>
      <c r="M228" s="43" t="s">
        <v>30</v>
      </c>
      <c r="N228" s="43">
        <v>17.28</v>
      </c>
      <c r="O228" s="40">
        <f t="shared" si="23"/>
        <v>797472</v>
      </c>
      <c r="P228" s="41">
        <f t="shared" si="24"/>
        <v>46149.881183069869</v>
      </c>
      <c r="Q228" s="67">
        <f t="shared" ca="1" si="26"/>
        <v>13</v>
      </c>
      <c r="R228" s="67">
        <f t="shared" ca="1" si="27"/>
        <v>13.118816930131288</v>
      </c>
      <c r="S228" s="78">
        <f t="shared" si="25"/>
        <v>0.8811830698623152</v>
      </c>
      <c r="T228" s="79" t="str">
        <f t="shared" si="28"/>
        <v>CTC-4</v>
      </c>
    </row>
    <row r="229" spans="2:20" hidden="1" x14ac:dyDescent="0.3">
      <c r="B229" s="36" t="str">
        <f t="shared" si="22"/>
        <v>207875-3</v>
      </c>
      <c r="C229" s="42">
        <v>1776</v>
      </c>
      <c r="D229" s="43">
        <v>8924</v>
      </c>
      <c r="E229" s="44">
        <v>46150</v>
      </c>
      <c r="F229" s="43">
        <v>3</v>
      </c>
      <c r="G229" s="43" t="s">
        <v>28</v>
      </c>
      <c r="H229" s="43">
        <v>207875</v>
      </c>
      <c r="I229" s="43" t="s">
        <v>49</v>
      </c>
      <c r="J229" s="43">
        <v>1</v>
      </c>
      <c r="K229" s="43">
        <v>3</v>
      </c>
      <c r="L229" s="43">
        <v>53</v>
      </c>
      <c r="M229" s="43" t="s">
        <v>30</v>
      </c>
      <c r="N229" s="43">
        <v>4.72</v>
      </c>
      <c r="O229" s="40">
        <f t="shared" si="23"/>
        <v>217828</v>
      </c>
      <c r="P229" s="41">
        <f t="shared" si="24"/>
        <v>46150.570909090915</v>
      </c>
      <c r="Q229" s="67">
        <f t="shared" ca="1" si="26"/>
        <v>13</v>
      </c>
      <c r="R229" s="67">
        <f t="shared" ca="1" si="27"/>
        <v>12.429090909085062</v>
      </c>
      <c r="S229" s="78">
        <f t="shared" si="25"/>
        <v>1</v>
      </c>
      <c r="T229" s="79" t="str">
        <f t="shared" si="28"/>
        <v>CTC 9008</v>
      </c>
    </row>
    <row r="230" spans="2:20" hidden="1" x14ac:dyDescent="0.3">
      <c r="B230" s="36" t="str">
        <f t="shared" si="22"/>
        <v>200518-25</v>
      </c>
      <c r="C230" s="42">
        <v>1777</v>
      </c>
      <c r="D230" s="43">
        <v>8499</v>
      </c>
      <c r="E230" s="44">
        <v>46150</v>
      </c>
      <c r="F230" s="43">
        <v>3</v>
      </c>
      <c r="G230" s="43" t="s">
        <v>28</v>
      </c>
      <c r="H230" s="43">
        <v>200518</v>
      </c>
      <c r="I230" s="43" t="s">
        <v>31</v>
      </c>
      <c r="J230" s="43">
        <v>1</v>
      </c>
      <c r="K230" s="43">
        <v>25</v>
      </c>
      <c r="L230" s="43">
        <v>53</v>
      </c>
      <c r="M230" s="43" t="s">
        <v>30</v>
      </c>
      <c r="N230" s="43">
        <v>2</v>
      </c>
      <c r="O230" s="40">
        <f t="shared" si="23"/>
        <v>92300</v>
      </c>
      <c r="P230" s="41">
        <f t="shared" si="24"/>
        <v>46126.460380573706</v>
      </c>
      <c r="Q230" s="67">
        <f t="shared" ca="1" si="26"/>
        <v>13</v>
      </c>
      <c r="R230" s="67">
        <f t="shared" ca="1" si="27"/>
        <v>36.539619426293939</v>
      </c>
      <c r="S230" s="78">
        <f t="shared" si="25"/>
        <v>5.6802044873615447E-2</v>
      </c>
      <c r="T230" s="79" t="str">
        <f t="shared" si="28"/>
        <v>RB97 5242</v>
      </c>
    </row>
    <row r="231" spans="2:20" hidden="1" x14ac:dyDescent="0.3">
      <c r="B231" s="36" t="str">
        <f t="shared" si="22"/>
        <v>200518-26</v>
      </c>
      <c r="C231" s="42">
        <v>1778</v>
      </c>
      <c r="D231" s="43">
        <v>8499</v>
      </c>
      <c r="E231" s="44">
        <v>46150</v>
      </c>
      <c r="F231" s="43">
        <v>3</v>
      </c>
      <c r="G231" s="43" t="s">
        <v>28</v>
      </c>
      <c r="H231" s="43">
        <v>200518</v>
      </c>
      <c r="I231" s="43" t="s">
        <v>31</v>
      </c>
      <c r="J231" s="43">
        <v>1</v>
      </c>
      <c r="K231" s="43">
        <v>26</v>
      </c>
      <c r="L231" s="43">
        <v>53</v>
      </c>
      <c r="M231" s="43" t="s">
        <v>30</v>
      </c>
      <c r="N231" s="43">
        <v>2</v>
      </c>
      <c r="O231" s="40">
        <f t="shared" si="23"/>
        <v>92300</v>
      </c>
      <c r="P231" s="41">
        <f t="shared" si="24"/>
        <v>46127.007308547822</v>
      </c>
      <c r="Q231" s="67">
        <f t="shared" ca="1" si="26"/>
        <v>13</v>
      </c>
      <c r="R231" s="67">
        <f t="shared" ca="1" si="27"/>
        <v>35.992691452178406</v>
      </c>
      <c r="S231" s="78">
        <f t="shared" si="25"/>
        <v>6.3552589768033046E-2</v>
      </c>
      <c r="T231" s="79" t="str">
        <f t="shared" si="28"/>
        <v>RB97 5242</v>
      </c>
    </row>
    <row r="232" spans="2:20" hidden="1" x14ac:dyDescent="0.3">
      <c r="B232" s="36" t="str">
        <f t="shared" si="22"/>
        <v>200518-27</v>
      </c>
      <c r="C232" s="42">
        <v>1779</v>
      </c>
      <c r="D232" s="43">
        <v>8499</v>
      </c>
      <c r="E232" s="44">
        <v>46150</v>
      </c>
      <c r="F232" s="43">
        <v>3</v>
      </c>
      <c r="G232" s="43" t="s">
        <v>28</v>
      </c>
      <c r="H232" s="43">
        <v>200518</v>
      </c>
      <c r="I232" s="43" t="s">
        <v>31</v>
      </c>
      <c r="J232" s="43">
        <v>1</v>
      </c>
      <c r="K232" s="43">
        <v>27</v>
      </c>
      <c r="L232" s="43">
        <v>53</v>
      </c>
      <c r="M232" s="43" t="s">
        <v>30</v>
      </c>
      <c r="N232" s="43">
        <v>3.02</v>
      </c>
      <c r="O232" s="40">
        <f t="shared" si="23"/>
        <v>139373</v>
      </c>
      <c r="P232" s="41">
        <f t="shared" si="24"/>
        <v>46129.243539202798</v>
      </c>
      <c r="Q232" s="67">
        <f t="shared" ca="1" si="26"/>
        <v>13</v>
      </c>
      <c r="R232" s="67">
        <f t="shared" ca="1" si="27"/>
        <v>33.756460797201726</v>
      </c>
      <c r="S232" s="78">
        <f t="shared" si="25"/>
        <v>0.1322820849759089</v>
      </c>
      <c r="T232" s="79" t="str">
        <f t="shared" si="28"/>
        <v>RB97 5242</v>
      </c>
    </row>
    <row r="233" spans="2:20" hidden="1" x14ac:dyDescent="0.3">
      <c r="B233" s="36" t="str">
        <f t="shared" si="22"/>
        <v>200518-9</v>
      </c>
      <c r="C233" s="42">
        <v>1780</v>
      </c>
      <c r="D233" s="43">
        <v>8768</v>
      </c>
      <c r="E233" s="44">
        <v>46150</v>
      </c>
      <c r="F233" s="43">
        <v>3</v>
      </c>
      <c r="G233" s="43" t="s">
        <v>28</v>
      </c>
      <c r="H233" s="43">
        <v>200518</v>
      </c>
      <c r="I233" s="43" t="s">
        <v>31</v>
      </c>
      <c r="J233" s="43">
        <v>1</v>
      </c>
      <c r="K233" s="43">
        <v>9</v>
      </c>
      <c r="L233" s="43">
        <v>53</v>
      </c>
      <c r="M233" s="43" t="s">
        <v>30</v>
      </c>
      <c r="N233" s="43">
        <v>2.96</v>
      </c>
      <c r="O233" s="40">
        <f t="shared" si="23"/>
        <v>136604</v>
      </c>
      <c r="P233" s="41">
        <f t="shared" si="24"/>
        <v>46143.430823117327</v>
      </c>
      <c r="Q233" s="67">
        <f t="shared" ca="1" si="26"/>
        <v>13</v>
      </c>
      <c r="R233" s="67">
        <f t="shared" ca="1" si="27"/>
        <v>19.569176882672764</v>
      </c>
      <c r="S233" s="78">
        <f t="shared" si="25"/>
        <v>0.1295971978984238</v>
      </c>
      <c r="T233" s="79" t="str">
        <f t="shared" si="28"/>
        <v>RB97 5242</v>
      </c>
    </row>
    <row r="234" spans="2:20" hidden="1" x14ac:dyDescent="0.3">
      <c r="B234" s="36" t="str">
        <f t="shared" si="22"/>
        <v>200518-10</v>
      </c>
      <c r="C234" s="42">
        <v>1781</v>
      </c>
      <c r="D234" s="43">
        <v>8768</v>
      </c>
      <c r="E234" s="44">
        <v>46150</v>
      </c>
      <c r="F234" s="43">
        <v>3</v>
      </c>
      <c r="G234" s="43" t="s">
        <v>28</v>
      </c>
      <c r="H234" s="43">
        <v>200518</v>
      </c>
      <c r="I234" s="43" t="s">
        <v>31</v>
      </c>
      <c r="J234" s="43">
        <v>1</v>
      </c>
      <c r="K234" s="43">
        <v>10</v>
      </c>
      <c r="L234" s="43">
        <v>53</v>
      </c>
      <c r="M234" s="43" t="s">
        <v>30</v>
      </c>
      <c r="N234" s="43">
        <v>5.63</v>
      </c>
      <c r="O234" s="40">
        <f t="shared" si="23"/>
        <v>259824.5</v>
      </c>
      <c r="P234" s="41">
        <f t="shared" si="24"/>
        <v>46144.045272969372</v>
      </c>
      <c r="Q234" s="67">
        <f t="shared" ca="1" si="26"/>
        <v>13</v>
      </c>
      <c r="R234" s="67">
        <f t="shared" ca="1" si="27"/>
        <v>18.954727030628419</v>
      </c>
      <c r="S234" s="78">
        <f t="shared" si="25"/>
        <v>0.14993342210386151</v>
      </c>
      <c r="T234" s="79" t="str">
        <f t="shared" si="28"/>
        <v>RB97 5242</v>
      </c>
    </row>
    <row r="235" spans="2:20" hidden="1" x14ac:dyDescent="0.3">
      <c r="B235" s="36" t="str">
        <f t="shared" si="22"/>
        <v>200518-11</v>
      </c>
      <c r="C235" s="42">
        <v>1782</v>
      </c>
      <c r="D235" s="43">
        <v>8768</v>
      </c>
      <c r="E235" s="44">
        <v>46150</v>
      </c>
      <c r="F235" s="43">
        <v>3</v>
      </c>
      <c r="G235" s="43" t="s">
        <v>28</v>
      </c>
      <c r="H235" s="43">
        <v>200518</v>
      </c>
      <c r="I235" s="43" t="s">
        <v>31</v>
      </c>
      <c r="J235" s="43">
        <v>1</v>
      </c>
      <c r="K235" s="43">
        <v>11</v>
      </c>
      <c r="L235" s="43">
        <v>53</v>
      </c>
      <c r="M235" s="43" t="s">
        <v>30</v>
      </c>
      <c r="N235" s="43">
        <v>1.69</v>
      </c>
      <c r="O235" s="40">
        <f t="shared" si="23"/>
        <v>77993.5</v>
      </c>
      <c r="P235" s="41">
        <f t="shared" si="24"/>
        <v>46143.735658042751</v>
      </c>
      <c r="Q235" s="67">
        <f t="shared" ca="1" si="26"/>
        <v>13</v>
      </c>
      <c r="R235" s="67">
        <f t="shared" ca="1" si="27"/>
        <v>19.264341957248689</v>
      </c>
      <c r="S235" s="78">
        <f t="shared" si="25"/>
        <v>6.3367079115110608E-2</v>
      </c>
      <c r="T235" s="79" t="str">
        <f t="shared" si="28"/>
        <v>RB97 5242</v>
      </c>
    </row>
    <row r="236" spans="2:20" hidden="1" x14ac:dyDescent="0.3">
      <c r="B236" s="36" t="str">
        <f t="shared" si="22"/>
        <v>200518-35</v>
      </c>
      <c r="C236" s="42">
        <v>1783</v>
      </c>
      <c r="D236" s="43">
        <v>8831</v>
      </c>
      <c r="E236" s="44">
        <v>46150</v>
      </c>
      <c r="F236" s="43">
        <v>3</v>
      </c>
      <c r="G236" s="43" t="s">
        <v>28</v>
      </c>
      <c r="H236" s="43">
        <v>200518</v>
      </c>
      <c r="I236" s="43" t="s">
        <v>31</v>
      </c>
      <c r="J236" s="43">
        <v>1</v>
      </c>
      <c r="K236" s="43">
        <v>35</v>
      </c>
      <c r="L236" s="43">
        <v>53</v>
      </c>
      <c r="M236" s="43" t="s">
        <v>30</v>
      </c>
      <c r="N236" s="43">
        <v>2.86</v>
      </c>
      <c r="O236" s="40">
        <f t="shared" si="23"/>
        <v>131989</v>
      </c>
      <c r="P236" s="41">
        <f t="shared" si="24"/>
        <v>46149.260556127701</v>
      </c>
      <c r="Q236" s="67">
        <f t="shared" ca="1" si="26"/>
        <v>13</v>
      </c>
      <c r="R236" s="67">
        <f t="shared" ca="1" si="27"/>
        <v>13.73944387229858</v>
      </c>
      <c r="S236" s="78">
        <f t="shared" si="25"/>
        <v>0.77497425334706471</v>
      </c>
      <c r="T236" s="79" t="str">
        <f t="shared" si="28"/>
        <v>CTC-4</v>
      </c>
    </row>
    <row r="237" spans="2:20" hidden="1" x14ac:dyDescent="0.3">
      <c r="B237" s="36" t="str">
        <f t="shared" si="22"/>
        <v>200518-36</v>
      </c>
      <c r="C237" s="42">
        <v>1784</v>
      </c>
      <c r="D237" s="43">
        <v>8831</v>
      </c>
      <c r="E237" s="44">
        <v>46151</v>
      </c>
      <c r="F237" s="43">
        <v>3</v>
      </c>
      <c r="G237" s="43" t="s">
        <v>28</v>
      </c>
      <c r="H237" s="43">
        <v>200518</v>
      </c>
      <c r="I237" s="43" t="s">
        <v>31</v>
      </c>
      <c r="J237" s="43">
        <v>1</v>
      </c>
      <c r="K237" s="43">
        <v>36</v>
      </c>
      <c r="L237" s="43">
        <v>53</v>
      </c>
      <c r="M237" s="43" t="s">
        <v>30</v>
      </c>
      <c r="N237" s="43">
        <v>13.59</v>
      </c>
      <c r="O237" s="40">
        <f t="shared" si="23"/>
        <v>627192.09</v>
      </c>
      <c r="P237" s="41">
        <f t="shared" si="24"/>
        <v>46150.223170184101</v>
      </c>
      <c r="Q237" s="67">
        <f t="shared" ca="1" si="26"/>
        <v>12</v>
      </c>
      <c r="R237" s="67">
        <f t="shared" ca="1" si="27"/>
        <v>12.776829815898964</v>
      </c>
      <c r="S237" s="78">
        <f t="shared" si="25"/>
        <v>1</v>
      </c>
      <c r="T237" s="79" t="str">
        <f t="shared" si="28"/>
        <v>CTC 9008</v>
      </c>
    </row>
    <row r="238" spans="2:20" hidden="1" x14ac:dyDescent="0.3">
      <c r="B238" s="36" t="str">
        <f t="shared" si="22"/>
        <v>200518-7</v>
      </c>
      <c r="C238" s="42">
        <v>1785</v>
      </c>
      <c r="D238" s="43">
        <v>8741</v>
      </c>
      <c r="E238" s="44">
        <v>46151</v>
      </c>
      <c r="F238" s="43">
        <v>3</v>
      </c>
      <c r="G238" s="43" t="s">
        <v>28</v>
      </c>
      <c r="H238" s="43">
        <v>200518</v>
      </c>
      <c r="I238" s="43" t="s">
        <v>31</v>
      </c>
      <c r="J238" s="43">
        <v>1</v>
      </c>
      <c r="K238" s="43">
        <v>7</v>
      </c>
      <c r="L238" s="43">
        <v>53</v>
      </c>
      <c r="M238" s="43" t="s">
        <v>30</v>
      </c>
      <c r="N238" s="43">
        <v>4.4400000000000004</v>
      </c>
      <c r="O238" s="40">
        <f t="shared" si="23"/>
        <v>204910.44000000003</v>
      </c>
      <c r="P238" s="41">
        <f t="shared" si="24"/>
        <v>46148.942386831273</v>
      </c>
      <c r="Q238" s="67">
        <f t="shared" ca="1" si="26"/>
        <v>12</v>
      </c>
      <c r="R238" s="67">
        <f t="shared" ca="1" si="27"/>
        <v>14.057613168726675</v>
      </c>
      <c r="S238" s="78">
        <f t="shared" si="25"/>
        <v>0.48559670781893005</v>
      </c>
      <c r="T238" s="79" t="str">
        <f t="shared" si="28"/>
        <v>RB97 5242</v>
      </c>
    </row>
    <row r="239" spans="2:20" hidden="1" x14ac:dyDescent="0.3">
      <c r="B239" s="36" t="str">
        <f t="shared" si="22"/>
        <v>201276-1</v>
      </c>
      <c r="C239" s="42">
        <v>1786</v>
      </c>
      <c r="D239" s="43">
        <v>8923</v>
      </c>
      <c r="E239" s="44">
        <v>46151</v>
      </c>
      <c r="F239" s="43">
        <v>3</v>
      </c>
      <c r="G239" s="43" t="s">
        <v>28</v>
      </c>
      <c r="H239" s="43">
        <v>201276</v>
      </c>
      <c r="I239" s="43" t="s">
        <v>35</v>
      </c>
      <c r="J239" s="43">
        <v>1</v>
      </c>
      <c r="K239" s="43">
        <v>1</v>
      </c>
      <c r="L239" s="43">
        <v>53</v>
      </c>
      <c r="M239" s="43" t="s">
        <v>30</v>
      </c>
      <c r="N239" s="43">
        <v>1.1499999999999999</v>
      </c>
      <c r="O239" s="40">
        <f t="shared" si="23"/>
        <v>53073.649999999994</v>
      </c>
      <c r="P239" s="41">
        <f t="shared" si="24"/>
        <v>46151</v>
      </c>
      <c r="Q239" s="67">
        <f t="shared" ca="1" si="26"/>
        <v>12</v>
      </c>
      <c r="R239" s="67">
        <f t="shared" ca="1" si="27"/>
        <v>12</v>
      </c>
      <c r="S239" s="78">
        <f t="shared" si="25"/>
        <v>1</v>
      </c>
      <c r="T239" s="79" t="str">
        <f t="shared" si="28"/>
        <v>CTC 9008</v>
      </c>
    </row>
    <row r="240" spans="2:20" hidden="1" x14ac:dyDescent="0.3">
      <c r="B240" s="36" t="str">
        <f t="shared" si="22"/>
        <v>201276-2</v>
      </c>
      <c r="C240" s="42">
        <v>1787</v>
      </c>
      <c r="D240" s="43">
        <v>8923</v>
      </c>
      <c r="E240" s="44">
        <v>46151</v>
      </c>
      <c r="F240" s="43">
        <v>3</v>
      </c>
      <c r="G240" s="43" t="s">
        <v>28</v>
      </c>
      <c r="H240" s="43">
        <v>201276</v>
      </c>
      <c r="I240" s="43" t="s">
        <v>35</v>
      </c>
      <c r="J240" s="43">
        <v>1</v>
      </c>
      <c r="K240" s="43">
        <v>2</v>
      </c>
      <c r="L240" s="43">
        <v>53</v>
      </c>
      <c r="M240" s="43" t="s">
        <v>30</v>
      </c>
      <c r="N240" s="43">
        <v>4.08</v>
      </c>
      <c r="O240" s="40">
        <f t="shared" si="23"/>
        <v>188296.08000000002</v>
      </c>
      <c r="P240" s="41">
        <f t="shared" si="24"/>
        <v>46151</v>
      </c>
      <c r="Q240" s="67">
        <f t="shared" ca="1" si="26"/>
        <v>12</v>
      </c>
      <c r="R240" s="67">
        <f t="shared" ca="1" si="27"/>
        <v>12</v>
      </c>
      <c r="S240" s="78">
        <f t="shared" si="25"/>
        <v>1</v>
      </c>
      <c r="T240" s="79" t="str">
        <f t="shared" si="28"/>
        <v>CTC 9008</v>
      </c>
    </row>
    <row r="241" spans="2:20" hidden="1" x14ac:dyDescent="0.3">
      <c r="B241" s="36" t="str">
        <f t="shared" si="22"/>
        <v>201276-3</v>
      </c>
      <c r="C241" s="42">
        <v>1788</v>
      </c>
      <c r="D241" s="43">
        <v>8923</v>
      </c>
      <c r="E241" s="44">
        <v>46151</v>
      </c>
      <c r="F241" s="43">
        <v>3</v>
      </c>
      <c r="G241" s="43" t="s">
        <v>28</v>
      </c>
      <c r="H241" s="43">
        <v>201276</v>
      </c>
      <c r="I241" s="43" t="s">
        <v>35</v>
      </c>
      <c r="J241" s="43">
        <v>1</v>
      </c>
      <c r="K241" s="43">
        <v>3</v>
      </c>
      <c r="L241" s="43">
        <v>53</v>
      </c>
      <c r="M241" s="43" t="s">
        <v>30</v>
      </c>
      <c r="N241" s="43">
        <v>5.17</v>
      </c>
      <c r="O241" s="40">
        <f t="shared" si="23"/>
        <v>238600.66999999998</v>
      </c>
      <c r="P241" s="41">
        <f t="shared" si="24"/>
        <v>46151</v>
      </c>
      <c r="Q241" s="67">
        <f t="shared" ca="1" si="26"/>
        <v>12</v>
      </c>
      <c r="R241" s="67">
        <f t="shared" ca="1" si="27"/>
        <v>12</v>
      </c>
      <c r="S241" s="78">
        <f t="shared" si="25"/>
        <v>1</v>
      </c>
      <c r="T241" s="79" t="str">
        <f t="shared" si="28"/>
        <v>CTC 9008</v>
      </c>
    </row>
    <row r="242" spans="2:20" hidden="1" x14ac:dyDescent="0.3">
      <c r="B242" s="36" t="str">
        <f t="shared" si="22"/>
        <v>207875-3</v>
      </c>
      <c r="C242" s="42">
        <v>1789</v>
      </c>
      <c r="D242" s="43">
        <v>8924</v>
      </c>
      <c r="E242" s="44">
        <v>46151</v>
      </c>
      <c r="F242" s="43">
        <v>3</v>
      </c>
      <c r="G242" s="43" t="s">
        <v>28</v>
      </c>
      <c r="H242" s="43">
        <v>207875</v>
      </c>
      <c r="I242" s="43" t="s">
        <v>49</v>
      </c>
      <c r="J242" s="43">
        <v>1</v>
      </c>
      <c r="K242" s="43">
        <v>3</v>
      </c>
      <c r="L242" s="43">
        <v>53</v>
      </c>
      <c r="M242" s="43" t="s">
        <v>30</v>
      </c>
      <c r="N242" s="43">
        <v>6.28</v>
      </c>
      <c r="O242" s="40">
        <f t="shared" si="23"/>
        <v>289828.28000000003</v>
      </c>
      <c r="P242" s="41">
        <f t="shared" si="24"/>
        <v>46150.570909090915</v>
      </c>
      <c r="Q242" s="67">
        <f t="shared" ca="1" si="26"/>
        <v>12</v>
      </c>
      <c r="R242" s="67">
        <f t="shared" ca="1" si="27"/>
        <v>12.429090909085062</v>
      </c>
      <c r="S242" s="78">
        <f t="shared" si="25"/>
        <v>1</v>
      </c>
      <c r="T242" s="79" t="str">
        <f t="shared" si="28"/>
        <v>CTC 9008</v>
      </c>
    </row>
    <row r="243" spans="2:20" hidden="1" x14ac:dyDescent="0.3">
      <c r="B243" s="36" t="str">
        <f t="shared" si="22"/>
        <v>207875-4</v>
      </c>
      <c r="C243" s="42">
        <v>1790</v>
      </c>
      <c r="D243" s="43">
        <v>8924</v>
      </c>
      <c r="E243" s="44">
        <v>46151</v>
      </c>
      <c r="F243" s="43">
        <v>3</v>
      </c>
      <c r="G243" s="43" t="s">
        <v>28</v>
      </c>
      <c r="H243" s="43">
        <v>207875</v>
      </c>
      <c r="I243" s="43" t="s">
        <v>49</v>
      </c>
      <c r="J243" s="43">
        <v>1</v>
      </c>
      <c r="K243" s="43">
        <v>4</v>
      </c>
      <c r="L243" s="43">
        <v>53</v>
      </c>
      <c r="M243" s="43" t="s">
        <v>30</v>
      </c>
      <c r="N243" s="43">
        <v>5.44</v>
      </c>
      <c r="O243" s="40">
        <f t="shared" si="23"/>
        <v>251061.44000000003</v>
      </c>
      <c r="P243" s="41">
        <f t="shared" si="24"/>
        <v>46151.580570547412</v>
      </c>
      <c r="Q243" s="67">
        <f t="shared" ca="1" si="26"/>
        <v>12</v>
      </c>
      <c r="R243" s="67">
        <f t="shared" ca="1" si="27"/>
        <v>11.419429452587792</v>
      </c>
      <c r="S243" s="78">
        <f t="shared" si="25"/>
        <v>1</v>
      </c>
      <c r="T243" s="79" t="str">
        <f t="shared" si="28"/>
        <v>CTC 9008</v>
      </c>
    </row>
    <row r="244" spans="2:20" hidden="1" x14ac:dyDescent="0.3">
      <c r="B244" s="36" t="str">
        <f t="shared" si="22"/>
        <v>202714-1</v>
      </c>
      <c r="C244" s="42">
        <v>1791</v>
      </c>
      <c r="D244" s="43">
        <v>8953</v>
      </c>
      <c r="E244" s="44">
        <v>46152</v>
      </c>
      <c r="F244" s="43">
        <v>3</v>
      </c>
      <c r="G244" s="43" t="s">
        <v>28</v>
      </c>
      <c r="H244" s="43">
        <v>202714</v>
      </c>
      <c r="I244" s="43" t="s">
        <v>38</v>
      </c>
      <c r="J244" s="43">
        <v>1</v>
      </c>
      <c r="K244" s="43">
        <v>1</v>
      </c>
      <c r="L244" s="43">
        <v>53</v>
      </c>
      <c r="M244" s="43" t="s">
        <v>30</v>
      </c>
      <c r="N244" s="43">
        <v>16.04</v>
      </c>
      <c r="O244" s="40">
        <f t="shared" si="23"/>
        <v>740278.08</v>
      </c>
      <c r="P244" s="41">
        <f t="shared" si="24"/>
        <v>46152.734906462581</v>
      </c>
      <c r="Q244" s="67">
        <f t="shared" ca="1" si="26"/>
        <v>11</v>
      </c>
      <c r="R244" s="67">
        <f t="shared" ca="1" si="27"/>
        <v>10.265093537418579</v>
      </c>
      <c r="S244" s="78">
        <f t="shared" si="25"/>
        <v>1</v>
      </c>
      <c r="T244" s="79" t="str">
        <f t="shared" si="28"/>
        <v>CTC 9008</v>
      </c>
    </row>
    <row r="245" spans="2:20" hidden="1" x14ac:dyDescent="0.3">
      <c r="B245" s="36" t="str">
        <f t="shared" si="22"/>
        <v>207875-4</v>
      </c>
      <c r="C245" s="42">
        <v>1792</v>
      </c>
      <c r="D245" s="43">
        <v>8924</v>
      </c>
      <c r="E245" s="44">
        <v>46152</v>
      </c>
      <c r="F245" s="43">
        <v>3</v>
      </c>
      <c r="G245" s="43" t="s">
        <v>28</v>
      </c>
      <c r="H245" s="43">
        <v>207875</v>
      </c>
      <c r="I245" s="43" t="s">
        <v>49</v>
      </c>
      <c r="J245" s="43">
        <v>1</v>
      </c>
      <c r="K245" s="43">
        <v>4</v>
      </c>
      <c r="L245" s="43">
        <v>53</v>
      </c>
      <c r="M245" s="43" t="s">
        <v>30</v>
      </c>
      <c r="N245" s="43">
        <v>7.53</v>
      </c>
      <c r="O245" s="40">
        <f t="shared" si="23"/>
        <v>347524.56</v>
      </c>
      <c r="P245" s="41">
        <f t="shared" si="24"/>
        <v>46151.580570547412</v>
      </c>
      <c r="Q245" s="67">
        <f t="shared" ca="1" si="26"/>
        <v>11</v>
      </c>
      <c r="R245" s="67">
        <f t="shared" ca="1" si="27"/>
        <v>11.419429452587792</v>
      </c>
      <c r="S245" s="78">
        <f t="shared" si="25"/>
        <v>1</v>
      </c>
      <c r="T245" s="79" t="str">
        <f t="shared" si="28"/>
        <v>CTC 9008</v>
      </c>
    </row>
    <row r="246" spans="2:20" hidden="1" x14ac:dyDescent="0.3">
      <c r="B246" s="36" t="str">
        <f t="shared" si="22"/>
        <v>200518-1</v>
      </c>
      <c r="C246" s="42">
        <v>1793</v>
      </c>
      <c r="D246" s="43">
        <v>8948</v>
      </c>
      <c r="E246" s="44">
        <v>46152</v>
      </c>
      <c r="F246" s="43">
        <v>3</v>
      </c>
      <c r="G246" s="43" t="s">
        <v>28</v>
      </c>
      <c r="H246" s="43">
        <v>200518</v>
      </c>
      <c r="I246" s="43" t="s">
        <v>31</v>
      </c>
      <c r="J246" s="43">
        <v>1</v>
      </c>
      <c r="K246" s="43">
        <v>1</v>
      </c>
      <c r="L246" s="43">
        <v>53</v>
      </c>
      <c r="M246" s="43" t="s">
        <v>30</v>
      </c>
      <c r="N246" s="43">
        <v>13.02</v>
      </c>
      <c r="O246" s="40">
        <f t="shared" si="23"/>
        <v>600899.04</v>
      </c>
      <c r="P246" s="41">
        <f t="shared" si="24"/>
        <v>46152.84620155039</v>
      </c>
      <c r="Q246" s="67">
        <f t="shared" ca="1" si="26"/>
        <v>11</v>
      </c>
      <c r="R246" s="67">
        <f t="shared" ca="1" si="27"/>
        <v>10.153798449609894</v>
      </c>
      <c r="S246" s="78">
        <f t="shared" si="25"/>
        <v>1</v>
      </c>
      <c r="T246" s="79" t="str">
        <f t="shared" si="28"/>
        <v>CTC 9008</v>
      </c>
    </row>
    <row r="247" spans="2:20" hidden="1" x14ac:dyDescent="0.3">
      <c r="B247" s="36" t="str">
        <f t="shared" si="22"/>
        <v>200518-14</v>
      </c>
      <c r="C247" s="42">
        <v>1794</v>
      </c>
      <c r="D247" s="43">
        <v>8831</v>
      </c>
      <c r="E247" s="44">
        <v>46152</v>
      </c>
      <c r="F247" s="43">
        <v>3</v>
      </c>
      <c r="G247" s="43" t="s">
        <v>28</v>
      </c>
      <c r="H247" s="43">
        <v>200518</v>
      </c>
      <c r="I247" s="43" t="s">
        <v>31</v>
      </c>
      <c r="J247" s="43">
        <v>1</v>
      </c>
      <c r="K247" s="43">
        <v>14</v>
      </c>
      <c r="L247" s="43">
        <v>53</v>
      </c>
      <c r="M247" s="43" t="s">
        <v>30</v>
      </c>
      <c r="N247" s="43">
        <v>2.8</v>
      </c>
      <c r="O247" s="40">
        <f t="shared" si="23"/>
        <v>129225.59999999999</v>
      </c>
      <c r="P247" s="41">
        <f t="shared" si="24"/>
        <v>46145.338665026145</v>
      </c>
      <c r="Q247" s="67">
        <f t="shared" ca="1" si="26"/>
        <v>11</v>
      </c>
      <c r="R247" s="67">
        <f t="shared" ca="1" si="27"/>
        <v>17.661334973854537</v>
      </c>
      <c r="S247" s="78">
        <f t="shared" si="25"/>
        <v>0.12734543217471544</v>
      </c>
      <c r="T247" s="79" t="str">
        <f t="shared" si="28"/>
        <v>RB97 5242</v>
      </c>
    </row>
    <row r="248" spans="2:20" x14ac:dyDescent="0.3">
      <c r="B248" s="36" t="str">
        <f t="shared" si="22"/>
        <v>200518-3</v>
      </c>
      <c r="C248" s="42">
        <v>1795</v>
      </c>
      <c r="D248" s="43">
        <v>8741</v>
      </c>
      <c r="E248" s="44">
        <v>46152</v>
      </c>
      <c r="F248" s="43">
        <v>3</v>
      </c>
      <c r="G248" s="43" t="s">
        <v>28</v>
      </c>
      <c r="H248" s="43">
        <v>200518</v>
      </c>
      <c r="I248" s="43" t="s">
        <v>31</v>
      </c>
      <c r="J248" s="43">
        <v>1</v>
      </c>
      <c r="K248" s="43">
        <v>3</v>
      </c>
      <c r="L248" s="43">
        <v>53</v>
      </c>
      <c r="M248" s="43" t="s">
        <v>30</v>
      </c>
      <c r="N248" s="43">
        <v>1.1200000000000001</v>
      </c>
      <c r="O248" s="40">
        <f t="shared" si="23"/>
        <v>51690.240000000005</v>
      </c>
      <c r="P248" s="41">
        <f t="shared" si="24"/>
        <v>46127.339454354682</v>
      </c>
      <c r="Q248" s="67">
        <f t="shared" ca="1" si="26"/>
        <v>11</v>
      </c>
      <c r="R248" s="67">
        <f t="shared" ca="1" si="27"/>
        <v>35.660545645318052</v>
      </c>
      <c r="S248" s="78">
        <f t="shared" si="25"/>
        <v>2.9380902413431279E-2</v>
      </c>
      <c r="T248" s="79" t="str">
        <f t="shared" si="28"/>
        <v>RB97 5242</v>
      </c>
    </row>
    <row r="249" spans="2:20" hidden="1" x14ac:dyDescent="0.3">
      <c r="B249" s="36" t="str">
        <f t="shared" si="22"/>
        <v>200518-6</v>
      </c>
      <c r="C249" s="42">
        <v>1796</v>
      </c>
      <c r="D249" s="43">
        <v>8741</v>
      </c>
      <c r="E249" s="44">
        <v>46152</v>
      </c>
      <c r="F249" s="43">
        <v>3</v>
      </c>
      <c r="G249" s="43" t="s">
        <v>28</v>
      </c>
      <c r="H249" s="43">
        <v>200518</v>
      </c>
      <c r="I249" s="43" t="s">
        <v>31</v>
      </c>
      <c r="J249" s="43">
        <v>1</v>
      </c>
      <c r="K249" s="43">
        <v>6</v>
      </c>
      <c r="L249" s="43">
        <v>53</v>
      </c>
      <c r="M249" s="43" t="s">
        <v>30</v>
      </c>
      <c r="N249" s="43">
        <v>1.52</v>
      </c>
      <c r="O249" s="40">
        <f t="shared" si="23"/>
        <v>70151.039999999994</v>
      </c>
      <c r="P249" s="41">
        <f t="shared" si="24"/>
        <v>46141.400180668476</v>
      </c>
      <c r="Q249" s="67">
        <f t="shared" ca="1" si="26"/>
        <v>11</v>
      </c>
      <c r="R249" s="67">
        <f t="shared" ca="1" si="27"/>
        <v>21.599819331524486</v>
      </c>
      <c r="S249" s="78">
        <f t="shared" si="25"/>
        <v>6.8654019873532077E-2</v>
      </c>
      <c r="T249" s="79" t="str">
        <f t="shared" si="28"/>
        <v>RB97 5242</v>
      </c>
    </row>
    <row r="250" spans="2:20" hidden="1" x14ac:dyDescent="0.3">
      <c r="B250" s="36" t="str">
        <f t="shared" si="22"/>
        <v>200518-36</v>
      </c>
      <c r="C250" s="42">
        <v>1797</v>
      </c>
      <c r="D250" s="43">
        <v>8831</v>
      </c>
      <c r="E250" s="44">
        <v>46152</v>
      </c>
      <c r="F250" s="43">
        <v>3</v>
      </c>
      <c r="G250" s="43" t="s">
        <v>28</v>
      </c>
      <c r="H250" s="43">
        <v>200518</v>
      </c>
      <c r="I250" s="43" t="s">
        <v>31</v>
      </c>
      <c r="J250" s="43">
        <v>1</v>
      </c>
      <c r="K250" s="43">
        <v>36</v>
      </c>
      <c r="L250" s="43">
        <v>53</v>
      </c>
      <c r="M250" s="43" t="s">
        <v>30</v>
      </c>
      <c r="N250" s="43">
        <v>0.02</v>
      </c>
      <c r="O250" s="40">
        <f t="shared" si="23"/>
        <v>923.04</v>
      </c>
      <c r="P250" s="41">
        <f t="shared" si="24"/>
        <v>46150.223170184101</v>
      </c>
      <c r="Q250" s="67">
        <f t="shared" ca="1" si="26"/>
        <v>11</v>
      </c>
      <c r="R250" s="67">
        <f t="shared" ca="1" si="27"/>
        <v>12.776829815898964</v>
      </c>
      <c r="S250" s="78">
        <f t="shared" si="25"/>
        <v>1</v>
      </c>
      <c r="T250" s="79" t="str">
        <f t="shared" si="28"/>
        <v>CTC 9008</v>
      </c>
    </row>
    <row r="251" spans="2:20" hidden="1" x14ac:dyDescent="0.3">
      <c r="B251" s="36" t="str">
        <f t="shared" si="22"/>
        <v>200518-35</v>
      </c>
      <c r="C251" s="42">
        <v>1800</v>
      </c>
      <c r="D251" s="43">
        <v>8831</v>
      </c>
      <c r="E251" s="44">
        <v>46152</v>
      </c>
      <c r="F251" s="43">
        <v>3</v>
      </c>
      <c r="G251" s="43" t="s">
        <v>28</v>
      </c>
      <c r="H251" s="43">
        <v>200518</v>
      </c>
      <c r="I251" s="43" t="s">
        <v>31</v>
      </c>
      <c r="J251" s="43">
        <v>1</v>
      </c>
      <c r="K251" s="43">
        <v>35</v>
      </c>
      <c r="L251" s="43">
        <v>53</v>
      </c>
      <c r="M251" s="43" t="s">
        <v>30</v>
      </c>
      <c r="N251" s="43">
        <v>2.19</v>
      </c>
      <c r="O251" s="40">
        <f t="shared" si="23"/>
        <v>101072.88</v>
      </c>
      <c r="P251" s="41">
        <f t="shared" si="24"/>
        <v>46149.260556127701</v>
      </c>
      <c r="Q251" s="67">
        <f t="shared" ca="1" si="26"/>
        <v>11</v>
      </c>
      <c r="R251" s="67">
        <f t="shared" ca="1" si="27"/>
        <v>13.73944387229858</v>
      </c>
      <c r="S251" s="78">
        <f t="shared" si="25"/>
        <v>0.77497425334706471</v>
      </c>
      <c r="T251" s="79" t="str">
        <f t="shared" si="28"/>
        <v>CTC-4</v>
      </c>
    </row>
    <row r="252" spans="2:20" hidden="1" x14ac:dyDescent="0.3">
      <c r="B252" s="36" t="str">
        <f t="shared" si="22"/>
        <v>202714-1</v>
      </c>
      <c r="C252" s="42">
        <v>1798</v>
      </c>
      <c r="D252" s="43">
        <v>8953</v>
      </c>
      <c r="E252" s="44">
        <v>46153</v>
      </c>
      <c r="F252" s="43">
        <v>3</v>
      </c>
      <c r="G252" s="43" t="s">
        <v>28</v>
      </c>
      <c r="H252" s="43">
        <v>202714</v>
      </c>
      <c r="I252" s="43" t="s">
        <v>38</v>
      </c>
      <c r="J252" s="43">
        <v>1</v>
      </c>
      <c r="K252" s="43">
        <v>1</v>
      </c>
      <c r="L252" s="43">
        <v>53</v>
      </c>
      <c r="M252" s="43" t="s">
        <v>30</v>
      </c>
      <c r="N252" s="43">
        <v>27.43</v>
      </c>
      <c r="O252" s="40">
        <f t="shared" si="23"/>
        <v>1265976.79</v>
      </c>
      <c r="P252" s="41">
        <f t="shared" si="24"/>
        <v>46152.734906462581</v>
      </c>
      <c r="Q252" s="67">
        <f t="shared" ca="1" si="26"/>
        <v>10</v>
      </c>
      <c r="R252" s="67">
        <f t="shared" ca="1" si="27"/>
        <v>10.265093537418579</v>
      </c>
      <c r="S252" s="78">
        <f t="shared" si="25"/>
        <v>1</v>
      </c>
      <c r="T252" s="79" t="str">
        <f t="shared" si="28"/>
        <v>CTC 9008</v>
      </c>
    </row>
    <row r="253" spans="2:20" hidden="1" x14ac:dyDescent="0.3">
      <c r="B253" s="36" t="str">
        <f t="shared" si="22"/>
        <v>200518-1</v>
      </c>
      <c r="C253" s="42">
        <v>1799</v>
      </c>
      <c r="D253" s="43">
        <v>8948</v>
      </c>
      <c r="E253" s="44">
        <v>46153</v>
      </c>
      <c r="F253" s="43">
        <v>3</v>
      </c>
      <c r="G253" s="43" t="s">
        <v>28</v>
      </c>
      <c r="H253" s="43">
        <v>200518</v>
      </c>
      <c r="I253" s="43" t="s">
        <v>31</v>
      </c>
      <c r="J253" s="43">
        <v>1</v>
      </c>
      <c r="K253" s="43">
        <v>1</v>
      </c>
      <c r="L253" s="43">
        <v>53</v>
      </c>
      <c r="M253" s="43" t="s">
        <v>30</v>
      </c>
      <c r="N253" s="43">
        <v>11.17</v>
      </c>
      <c r="O253" s="40">
        <f t="shared" si="23"/>
        <v>515529.01</v>
      </c>
      <c r="P253" s="41">
        <f t="shared" si="24"/>
        <v>46152.84620155039</v>
      </c>
      <c r="Q253" s="67">
        <f t="shared" ca="1" si="26"/>
        <v>10</v>
      </c>
      <c r="R253" s="67">
        <f t="shared" ca="1" si="27"/>
        <v>10.153798449609894</v>
      </c>
      <c r="S253" s="78">
        <f t="shared" si="25"/>
        <v>1</v>
      </c>
      <c r="T253" s="79" t="str">
        <f t="shared" si="28"/>
        <v>CTC 9008</v>
      </c>
    </row>
    <row r="254" spans="2:20" hidden="1" x14ac:dyDescent="0.3">
      <c r="B254" s="36" t="str">
        <f t="shared" si="22"/>
        <v>202714-1</v>
      </c>
      <c r="C254" s="42">
        <v>1801</v>
      </c>
      <c r="D254" s="43">
        <v>8953</v>
      </c>
      <c r="E254" s="44">
        <v>46154</v>
      </c>
      <c r="F254" s="43">
        <v>3</v>
      </c>
      <c r="G254" s="43" t="s">
        <v>28</v>
      </c>
      <c r="H254" s="43">
        <v>202714</v>
      </c>
      <c r="I254" s="43" t="s">
        <v>38</v>
      </c>
      <c r="J254" s="43">
        <v>1</v>
      </c>
      <c r="K254" s="43">
        <v>1</v>
      </c>
      <c r="L254" s="43">
        <v>53</v>
      </c>
      <c r="M254" s="43" t="s">
        <v>30</v>
      </c>
      <c r="N254" s="43">
        <v>3.57</v>
      </c>
      <c r="O254" s="40">
        <f t="shared" si="23"/>
        <v>164769.78</v>
      </c>
      <c r="P254" s="41">
        <f t="shared" si="24"/>
        <v>46152.734906462581</v>
      </c>
      <c r="Q254" s="67">
        <f t="shared" ca="1" si="26"/>
        <v>9</v>
      </c>
      <c r="R254" s="67">
        <f t="shared" ca="1" si="27"/>
        <v>10.265093537418579</v>
      </c>
      <c r="S254" s="78">
        <f t="shared" si="25"/>
        <v>1</v>
      </c>
      <c r="T254" s="79" t="str">
        <f t="shared" si="28"/>
        <v>CTC 9008</v>
      </c>
    </row>
    <row r="255" spans="2:20" hidden="1" x14ac:dyDescent="0.3">
      <c r="B255" s="36" t="str">
        <f t="shared" si="22"/>
        <v>202714-2</v>
      </c>
      <c r="C255" s="42">
        <v>1802</v>
      </c>
      <c r="D255" s="43">
        <v>8953</v>
      </c>
      <c r="E255" s="44">
        <v>46154</v>
      </c>
      <c r="F255" s="43">
        <v>3</v>
      </c>
      <c r="G255" s="43" t="s">
        <v>28</v>
      </c>
      <c r="H255" s="43">
        <v>202714</v>
      </c>
      <c r="I255" s="43" t="s">
        <v>38</v>
      </c>
      <c r="J255" s="43">
        <v>1</v>
      </c>
      <c r="K255" s="43">
        <v>2</v>
      </c>
      <c r="L255" s="43">
        <v>53</v>
      </c>
      <c r="M255" s="43" t="s">
        <v>30</v>
      </c>
      <c r="N255" s="43">
        <v>22.45</v>
      </c>
      <c r="O255" s="40">
        <f t="shared" si="23"/>
        <v>1036157.2999999999</v>
      </c>
      <c r="P255" s="41">
        <f t="shared" si="24"/>
        <v>46154.280909673282</v>
      </c>
      <c r="Q255" s="67">
        <f t="shared" ca="1" si="26"/>
        <v>9</v>
      </c>
      <c r="R255" s="67">
        <f t="shared" ca="1" si="27"/>
        <v>8.7190903267182875</v>
      </c>
      <c r="S255" s="78">
        <f t="shared" si="25"/>
        <v>1</v>
      </c>
      <c r="T255" s="79" t="str">
        <f t="shared" si="28"/>
        <v>CTC 9008</v>
      </c>
    </row>
    <row r="256" spans="2:20" hidden="1" x14ac:dyDescent="0.3">
      <c r="B256" s="36" t="str">
        <f t="shared" si="22"/>
        <v>200518-1</v>
      </c>
      <c r="C256" s="42">
        <v>1803</v>
      </c>
      <c r="D256" s="43">
        <v>8948</v>
      </c>
      <c r="E256" s="44">
        <v>46154</v>
      </c>
      <c r="F256" s="43">
        <v>3</v>
      </c>
      <c r="G256" s="43" t="s">
        <v>28</v>
      </c>
      <c r="H256" s="43">
        <v>200518</v>
      </c>
      <c r="I256" s="43" t="s">
        <v>31</v>
      </c>
      <c r="J256" s="43">
        <v>1</v>
      </c>
      <c r="K256" s="43">
        <v>1</v>
      </c>
      <c r="L256" s="43">
        <v>53</v>
      </c>
      <c r="M256" s="43" t="s">
        <v>30</v>
      </c>
      <c r="N256" s="43">
        <v>8.06</v>
      </c>
      <c r="O256" s="40">
        <f t="shared" si="23"/>
        <v>372001.24000000005</v>
      </c>
      <c r="P256" s="41">
        <f t="shared" si="24"/>
        <v>46152.84620155039</v>
      </c>
      <c r="Q256" s="67">
        <f t="shared" ca="1" si="26"/>
        <v>9</v>
      </c>
      <c r="R256" s="67">
        <f t="shared" ca="1" si="27"/>
        <v>10.153798449609894</v>
      </c>
      <c r="S256" s="78">
        <f t="shared" si="25"/>
        <v>1</v>
      </c>
      <c r="T256" s="79" t="str">
        <f t="shared" si="28"/>
        <v>CTC 9008</v>
      </c>
    </row>
    <row r="257" spans="2:20" hidden="1" x14ac:dyDescent="0.3">
      <c r="B257" s="36" t="str">
        <f t="shared" si="22"/>
        <v>200518-14</v>
      </c>
      <c r="C257" s="42">
        <v>1804</v>
      </c>
      <c r="D257" s="43">
        <v>8831</v>
      </c>
      <c r="E257" s="44">
        <v>46154</v>
      </c>
      <c r="F257" s="43">
        <v>3</v>
      </c>
      <c r="G257" s="43" t="s">
        <v>28</v>
      </c>
      <c r="H257" s="43">
        <v>200518</v>
      </c>
      <c r="I257" s="43" t="s">
        <v>31</v>
      </c>
      <c r="J257" s="43">
        <v>1</v>
      </c>
      <c r="K257" s="43">
        <v>14</v>
      </c>
      <c r="L257" s="43">
        <v>53</v>
      </c>
      <c r="M257" s="43" t="s">
        <v>30</v>
      </c>
      <c r="N257" s="43">
        <v>1.34</v>
      </c>
      <c r="O257" s="40">
        <f t="shared" si="23"/>
        <v>61846.36</v>
      </c>
      <c r="P257" s="41">
        <f t="shared" si="24"/>
        <v>46145.338665026145</v>
      </c>
      <c r="Q257" s="67">
        <f t="shared" ca="1" si="26"/>
        <v>9</v>
      </c>
      <c r="R257" s="67">
        <f t="shared" ca="1" si="27"/>
        <v>17.661334973854537</v>
      </c>
      <c r="S257" s="78">
        <f t="shared" si="25"/>
        <v>0.12734543217471544</v>
      </c>
      <c r="T257" s="79" t="str">
        <f t="shared" si="28"/>
        <v>RB97 5242</v>
      </c>
    </row>
    <row r="258" spans="2:20" hidden="1" x14ac:dyDescent="0.3">
      <c r="B258" s="36" t="str">
        <f t="shared" ref="B258:B321" si="29">CONCATENATE(H258,"-",K258)</f>
        <v>202303-1</v>
      </c>
      <c r="C258" s="42">
        <v>1805</v>
      </c>
      <c r="D258" s="43">
        <v>8949</v>
      </c>
      <c r="E258" s="44">
        <v>46154</v>
      </c>
      <c r="F258" s="43">
        <v>3</v>
      </c>
      <c r="G258" s="43" t="s">
        <v>28</v>
      </c>
      <c r="H258" s="43">
        <v>202303</v>
      </c>
      <c r="I258" s="43" t="s">
        <v>37</v>
      </c>
      <c r="J258" s="43">
        <v>1</v>
      </c>
      <c r="K258" s="43">
        <v>1</v>
      </c>
      <c r="L258" s="43">
        <v>53</v>
      </c>
      <c r="M258" s="43" t="s">
        <v>30</v>
      </c>
      <c r="N258" s="43">
        <v>10.09</v>
      </c>
      <c r="O258" s="40">
        <f t="shared" ref="O258:O321" si="30">IFERROR(E258*N258,"")</f>
        <v>465693.86</v>
      </c>
      <c r="P258" s="41">
        <f t="shared" ref="P258:P321" si="31">IFERROR(SUMIFS(O:O,B:B,B258)/SUMIFS(N:N,B:B,B258),"")</f>
        <v>46154</v>
      </c>
      <c r="Q258" s="67">
        <f t="shared" ca="1" si="26"/>
        <v>9</v>
      </c>
      <c r="R258" s="67">
        <f t="shared" ca="1" si="27"/>
        <v>9</v>
      </c>
      <c r="S258" s="78">
        <f t="shared" ref="S258:S321" si="32">SUMIFS(N:N,B:B,B258,M:M,M258)/SUMIFS(N:N,B:B,B258)</f>
        <v>1</v>
      </c>
      <c r="T258" s="79" t="str">
        <f t="shared" si="28"/>
        <v>CTC 9008</v>
      </c>
    </row>
    <row r="259" spans="2:20" hidden="1" x14ac:dyDescent="0.3">
      <c r="B259" s="36" t="str">
        <f t="shared" si="29"/>
        <v>200509-1</v>
      </c>
      <c r="C259" s="42">
        <v>1806</v>
      </c>
      <c r="D259" s="43">
        <v>9025</v>
      </c>
      <c r="E259" s="44">
        <v>46155</v>
      </c>
      <c r="F259" s="43">
        <v>3</v>
      </c>
      <c r="G259" s="43" t="s">
        <v>28</v>
      </c>
      <c r="H259" s="43">
        <v>200509</v>
      </c>
      <c r="I259" s="43" t="s">
        <v>29</v>
      </c>
      <c r="J259" s="43">
        <v>1</v>
      </c>
      <c r="K259" s="43">
        <v>1</v>
      </c>
      <c r="L259" s="43">
        <v>53</v>
      </c>
      <c r="M259" s="43" t="s">
        <v>30</v>
      </c>
      <c r="N259" s="43">
        <v>12.35</v>
      </c>
      <c r="O259" s="40">
        <f t="shared" si="30"/>
        <v>570014.25</v>
      </c>
      <c r="P259" s="41">
        <f t="shared" si="31"/>
        <v>46155.27862149533</v>
      </c>
      <c r="Q259" s="67">
        <f t="shared" ref="Q259:Q322" ca="1" si="33">TODAY()-E259</f>
        <v>8</v>
      </c>
      <c r="R259" s="67">
        <f t="shared" ref="R259:R322" ca="1" si="34">TODAY()-P259</f>
        <v>7.7213785046697012</v>
      </c>
      <c r="S259" s="78">
        <f t="shared" si="32"/>
        <v>1</v>
      </c>
      <c r="T259" s="79" t="str">
        <f t="shared" si="28"/>
        <v>CTC 9008</v>
      </c>
    </row>
    <row r="260" spans="2:20" hidden="1" x14ac:dyDescent="0.3">
      <c r="B260" s="36" t="str">
        <f t="shared" si="29"/>
        <v>202714-2</v>
      </c>
      <c r="C260" s="42">
        <v>1807</v>
      </c>
      <c r="D260" s="43">
        <v>8953</v>
      </c>
      <c r="E260" s="44">
        <v>46155</v>
      </c>
      <c r="F260" s="43">
        <v>3</v>
      </c>
      <c r="G260" s="43" t="s">
        <v>28</v>
      </c>
      <c r="H260" s="43">
        <v>202714</v>
      </c>
      <c r="I260" s="43" t="s">
        <v>38</v>
      </c>
      <c r="J260" s="43">
        <v>1</v>
      </c>
      <c r="K260" s="43">
        <v>2</v>
      </c>
      <c r="L260" s="43">
        <v>53</v>
      </c>
      <c r="M260" s="43" t="s">
        <v>30</v>
      </c>
      <c r="N260" s="43">
        <v>8.77</v>
      </c>
      <c r="O260" s="40">
        <f t="shared" si="30"/>
        <v>404779.35</v>
      </c>
      <c r="P260" s="41">
        <f t="shared" si="31"/>
        <v>46154.280909673282</v>
      </c>
      <c r="Q260" s="67">
        <f t="shared" ca="1" si="33"/>
        <v>8</v>
      </c>
      <c r="R260" s="67">
        <f t="shared" ca="1" si="34"/>
        <v>8.7190903267182875</v>
      </c>
      <c r="S260" s="78">
        <f t="shared" si="32"/>
        <v>1</v>
      </c>
      <c r="T260" s="79" t="str">
        <f t="shared" si="28"/>
        <v>CTC 9008</v>
      </c>
    </row>
    <row r="261" spans="2:20" hidden="1" x14ac:dyDescent="0.3">
      <c r="B261" s="36" t="str">
        <f t="shared" si="29"/>
        <v>207968-3</v>
      </c>
      <c r="C261" s="42">
        <v>1808</v>
      </c>
      <c r="D261" s="43">
        <v>9023</v>
      </c>
      <c r="E261" s="44">
        <v>46155</v>
      </c>
      <c r="F261" s="43">
        <v>3</v>
      </c>
      <c r="G261" s="43" t="s">
        <v>28</v>
      </c>
      <c r="H261" s="43">
        <v>207968</v>
      </c>
      <c r="I261" s="43" t="s">
        <v>45</v>
      </c>
      <c r="J261" s="43">
        <v>1</v>
      </c>
      <c r="K261" s="43">
        <v>3</v>
      </c>
      <c r="L261" s="43">
        <v>4</v>
      </c>
      <c r="M261" s="43" t="s">
        <v>32</v>
      </c>
      <c r="N261" s="43">
        <v>27.48</v>
      </c>
      <c r="O261" s="40">
        <f t="shared" si="30"/>
        <v>1268339.3999999999</v>
      </c>
      <c r="P261" s="41">
        <f t="shared" si="31"/>
        <v>46155.384733214189</v>
      </c>
      <c r="Q261" s="67">
        <f t="shared" ca="1" si="33"/>
        <v>8</v>
      </c>
      <c r="R261" s="67">
        <f t="shared" ca="1" si="34"/>
        <v>7.6152667858114</v>
      </c>
      <c r="S261" s="78">
        <f t="shared" si="32"/>
        <v>0.74470257850395716</v>
      </c>
      <c r="T261" s="79" t="str">
        <f t="shared" si="28"/>
        <v>RB97 5242</v>
      </c>
    </row>
    <row r="262" spans="2:20" hidden="1" x14ac:dyDescent="0.3">
      <c r="B262" s="36" t="str">
        <f t="shared" si="29"/>
        <v>200509-1</v>
      </c>
      <c r="C262" s="42">
        <v>1809</v>
      </c>
      <c r="D262" s="43">
        <v>9025</v>
      </c>
      <c r="E262" s="44">
        <v>46156</v>
      </c>
      <c r="F262" s="43">
        <v>3</v>
      </c>
      <c r="G262" s="43" t="s">
        <v>28</v>
      </c>
      <c r="H262" s="43">
        <v>200509</v>
      </c>
      <c r="I262" s="43" t="s">
        <v>29</v>
      </c>
      <c r="J262" s="43">
        <v>1</v>
      </c>
      <c r="K262" s="43">
        <v>1</v>
      </c>
      <c r="L262" s="43">
        <v>53</v>
      </c>
      <c r="M262" s="43" t="s">
        <v>30</v>
      </c>
      <c r="N262" s="43">
        <v>4.7699999999999996</v>
      </c>
      <c r="O262" s="40">
        <f t="shared" si="30"/>
        <v>220164.11999999997</v>
      </c>
      <c r="P262" s="41">
        <f t="shared" si="31"/>
        <v>46155.27862149533</v>
      </c>
      <c r="Q262" s="67">
        <f t="shared" ca="1" si="33"/>
        <v>7</v>
      </c>
      <c r="R262" s="67">
        <f t="shared" ca="1" si="34"/>
        <v>7.7213785046697012</v>
      </c>
      <c r="S262" s="78">
        <f t="shared" si="32"/>
        <v>1</v>
      </c>
      <c r="T262" s="79" t="str">
        <f t="shared" si="28"/>
        <v>CTC 9008</v>
      </c>
    </row>
    <row r="263" spans="2:20" hidden="1" x14ac:dyDescent="0.3">
      <c r="B263" s="36" t="str">
        <f t="shared" si="29"/>
        <v>200509-2</v>
      </c>
      <c r="C263" s="42">
        <v>1810</v>
      </c>
      <c r="D263" s="43">
        <v>9025</v>
      </c>
      <c r="E263" s="44">
        <v>46156</v>
      </c>
      <c r="F263" s="43">
        <v>3</v>
      </c>
      <c r="G263" s="43" t="s">
        <v>28</v>
      </c>
      <c r="H263" s="43">
        <v>200509</v>
      </c>
      <c r="I263" s="43" t="s">
        <v>29</v>
      </c>
      <c r="J263" s="43">
        <v>1</v>
      </c>
      <c r="K263" s="43">
        <v>2</v>
      </c>
      <c r="L263" s="43">
        <v>53</v>
      </c>
      <c r="M263" s="43" t="s">
        <v>30</v>
      </c>
      <c r="N263" s="43">
        <v>0.6</v>
      </c>
      <c r="O263" s="40">
        <f t="shared" si="30"/>
        <v>27693.599999999999</v>
      </c>
      <c r="P263" s="41">
        <f t="shared" si="31"/>
        <v>46156</v>
      </c>
      <c r="Q263" s="67">
        <f t="shared" ca="1" si="33"/>
        <v>7</v>
      </c>
      <c r="R263" s="67">
        <f t="shared" ca="1" si="34"/>
        <v>7</v>
      </c>
      <c r="S263" s="78">
        <f t="shared" si="32"/>
        <v>1</v>
      </c>
      <c r="T263" s="79" t="str">
        <f t="shared" si="28"/>
        <v>CTC 9008</v>
      </c>
    </row>
    <row r="264" spans="2:20" hidden="1" x14ac:dyDescent="0.3">
      <c r="B264" s="36" t="str">
        <f t="shared" si="29"/>
        <v>200509-3</v>
      </c>
      <c r="C264" s="42">
        <v>1811</v>
      </c>
      <c r="D264" s="43">
        <v>9025</v>
      </c>
      <c r="E264" s="44">
        <v>46156</v>
      </c>
      <c r="F264" s="43">
        <v>3</v>
      </c>
      <c r="G264" s="43" t="s">
        <v>28</v>
      </c>
      <c r="H264" s="43">
        <v>200509</v>
      </c>
      <c r="I264" s="43" t="s">
        <v>29</v>
      </c>
      <c r="J264" s="43">
        <v>1</v>
      </c>
      <c r="K264" s="43">
        <v>3</v>
      </c>
      <c r="L264" s="43">
        <v>53</v>
      </c>
      <c r="M264" s="43" t="s">
        <v>30</v>
      </c>
      <c r="N264" s="43">
        <v>11.34</v>
      </c>
      <c r="O264" s="40">
        <f t="shared" si="30"/>
        <v>523409.04</v>
      </c>
      <c r="P264" s="41">
        <f t="shared" si="31"/>
        <v>46156.633317602646</v>
      </c>
      <c r="Q264" s="67">
        <f t="shared" ca="1" si="33"/>
        <v>7</v>
      </c>
      <c r="R264" s="67">
        <f t="shared" ca="1" si="34"/>
        <v>6.3666823973544524</v>
      </c>
      <c r="S264" s="78">
        <f t="shared" si="32"/>
        <v>1</v>
      </c>
      <c r="T264" s="79" t="str">
        <f t="shared" si="28"/>
        <v>CTC 9008</v>
      </c>
    </row>
    <row r="265" spans="2:20" hidden="1" x14ac:dyDescent="0.3">
      <c r="B265" s="36" t="str">
        <f t="shared" si="29"/>
        <v>207968-3</v>
      </c>
      <c r="C265" s="42">
        <v>1812</v>
      </c>
      <c r="D265" s="43">
        <v>9023</v>
      </c>
      <c r="E265" s="44">
        <v>46156</v>
      </c>
      <c r="F265" s="43">
        <v>3</v>
      </c>
      <c r="G265" s="43" t="s">
        <v>28</v>
      </c>
      <c r="H265" s="43">
        <v>207968</v>
      </c>
      <c r="I265" s="43" t="s">
        <v>45</v>
      </c>
      <c r="J265" s="43">
        <v>1</v>
      </c>
      <c r="K265" s="43">
        <v>3</v>
      </c>
      <c r="L265" s="43">
        <v>53</v>
      </c>
      <c r="M265" s="43" t="s">
        <v>30</v>
      </c>
      <c r="N265" s="43">
        <v>10</v>
      </c>
      <c r="O265" s="40">
        <f t="shared" si="30"/>
        <v>461560</v>
      </c>
      <c r="P265" s="41">
        <f t="shared" si="31"/>
        <v>46155.384733214189</v>
      </c>
      <c r="Q265" s="67">
        <f t="shared" ca="1" si="33"/>
        <v>7</v>
      </c>
      <c r="R265" s="67">
        <f t="shared" ca="1" si="34"/>
        <v>7.6152667858114</v>
      </c>
      <c r="S265" s="78">
        <f t="shared" si="32"/>
        <v>0.2552974214960429</v>
      </c>
      <c r="T265" s="79" t="str">
        <f t="shared" si="28"/>
        <v>RB97 5242</v>
      </c>
    </row>
    <row r="266" spans="2:20" hidden="1" x14ac:dyDescent="0.3">
      <c r="B266" s="36" t="str">
        <f t="shared" si="29"/>
        <v>207968-4</v>
      </c>
      <c r="C266" s="42">
        <v>1813</v>
      </c>
      <c r="D266" s="43">
        <v>9023</v>
      </c>
      <c r="E266" s="44">
        <v>46156</v>
      </c>
      <c r="F266" s="43">
        <v>3</v>
      </c>
      <c r="G266" s="43" t="s">
        <v>28</v>
      </c>
      <c r="H266" s="43">
        <v>207968</v>
      </c>
      <c r="I266" s="43" t="s">
        <v>45</v>
      </c>
      <c r="J266" s="43">
        <v>1</v>
      </c>
      <c r="K266" s="43">
        <v>4</v>
      </c>
      <c r="L266" s="43">
        <v>53</v>
      </c>
      <c r="M266" s="43" t="s">
        <v>30</v>
      </c>
      <c r="N266" s="43">
        <v>14.02</v>
      </c>
      <c r="O266" s="40">
        <f t="shared" si="30"/>
        <v>647107.12</v>
      </c>
      <c r="P266" s="41">
        <f t="shared" si="31"/>
        <v>46157.17237308147</v>
      </c>
      <c r="Q266" s="67">
        <f t="shared" ca="1" si="33"/>
        <v>7</v>
      </c>
      <c r="R266" s="67">
        <f t="shared" ca="1" si="34"/>
        <v>5.8276269185298588</v>
      </c>
      <c r="S266" s="78">
        <f t="shared" si="32"/>
        <v>0.41381345926800478</v>
      </c>
      <c r="T266" s="79" t="str">
        <f t="shared" si="28"/>
        <v>RB97 5242</v>
      </c>
    </row>
    <row r="267" spans="2:20" hidden="1" x14ac:dyDescent="0.3">
      <c r="B267" s="36" t="str">
        <f t="shared" si="29"/>
        <v>200509-3</v>
      </c>
      <c r="C267" s="42">
        <v>1815</v>
      </c>
      <c r="D267" s="43">
        <v>9025</v>
      </c>
      <c r="E267" s="44">
        <v>46157</v>
      </c>
      <c r="F267" s="43">
        <v>3</v>
      </c>
      <c r="G267" s="43" t="s">
        <v>28</v>
      </c>
      <c r="H267" s="43">
        <v>200509</v>
      </c>
      <c r="I267" s="43" t="s">
        <v>29</v>
      </c>
      <c r="J267" s="43">
        <v>1</v>
      </c>
      <c r="K267" s="43">
        <v>3</v>
      </c>
      <c r="L267" s="43">
        <v>53</v>
      </c>
      <c r="M267" s="43" t="s">
        <v>30</v>
      </c>
      <c r="N267" s="43">
        <v>6.28</v>
      </c>
      <c r="O267" s="40">
        <f t="shared" si="30"/>
        <v>289865.96000000002</v>
      </c>
      <c r="P267" s="41">
        <f t="shared" si="31"/>
        <v>46156.633317602646</v>
      </c>
      <c r="Q267" s="67">
        <f t="shared" ca="1" si="33"/>
        <v>6</v>
      </c>
      <c r="R267" s="67">
        <f t="shared" ca="1" si="34"/>
        <v>6.3666823973544524</v>
      </c>
      <c r="S267" s="78">
        <f t="shared" si="32"/>
        <v>1</v>
      </c>
      <c r="T267" s="79" t="str">
        <f t="shared" si="28"/>
        <v>CTC 9008</v>
      </c>
    </row>
    <row r="268" spans="2:20" hidden="1" x14ac:dyDescent="0.3">
      <c r="B268" s="36" t="str">
        <f t="shared" si="29"/>
        <v>200509-3</v>
      </c>
      <c r="C268" s="42">
        <v>1816</v>
      </c>
      <c r="D268" s="43">
        <v>9025</v>
      </c>
      <c r="E268" s="44">
        <v>46158</v>
      </c>
      <c r="F268" s="43">
        <v>3</v>
      </c>
      <c r="G268" s="43" t="s">
        <v>28</v>
      </c>
      <c r="H268" s="43">
        <v>200509</v>
      </c>
      <c r="I268" s="43" t="s">
        <v>29</v>
      </c>
      <c r="J268" s="43">
        <v>1</v>
      </c>
      <c r="K268" s="43">
        <v>3</v>
      </c>
      <c r="L268" s="43">
        <v>53</v>
      </c>
      <c r="M268" s="43" t="s">
        <v>30</v>
      </c>
      <c r="N268" s="43">
        <v>3.57</v>
      </c>
      <c r="O268" s="40">
        <f t="shared" si="30"/>
        <v>164784.06</v>
      </c>
      <c r="P268" s="41">
        <f t="shared" si="31"/>
        <v>46156.633317602646</v>
      </c>
      <c r="Q268" s="67">
        <f t="shared" ca="1" si="33"/>
        <v>5</v>
      </c>
      <c r="R268" s="67">
        <f t="shared" ca="1" si="34"/>
        <v>6.3666823973544524</v>
      </c>
      <c r="S268" s="78">
        <f t="shared" si="32"/>
        <v>1</v>
      </c>
      <c r="T268" s="79" t="str">
        <f t="shared" si="28"/>
        <v>CTC 9008</v>
      </c>
    </row>
    <row r="269" spans="2:20" hidden="1" x14ac:dyDescent="0.3">
      <c r="B269" s="36" t="str">
        <f t="shared" si="29"/>
        <v>207968-3</v>
      </c>
      <c r="C269" s="42">
        <v>1817</v>
      </c>
      <c r="D269" s="43">
        <v>9023</v>
      </c>
      <c r="E269" s="44">
        <v>46158</v>
      </c>
      <c r="F269" s="43">
        <v>3</v>
      </c>
      <c r="G269" s="43" t="s">
        <v>28</v>
      </c>
      <c r="H269" s="43">
        <v>207968</v>
      </c>
      <c r="I269" s="43" t="s">
        <v>45</v>
      </c>
      <c r="J269" s="43">
        <v>1</v>
      </c>
      <c r="K269" s="43">
        <v>3</v>
      </c>
      <c r="L269" s="43">
        <v>4</v>
      </c>
      <c r="M269" s="43" t="s">
        <v>32</v>
      </c>
      <c r="N269" s="43">
        <v>1.69</v>
      </c>
      <c r="O269" s="40">
        <f t="shared" si="30"/>
        <v>78007.02</v>
      </c>
      <c r="P269" s="41">
        <f t="shared" si="31"/>
        <v>46155.384733214189</v>
      </c>
      <c r="Q269" s="67">
        <f t="shared" ca="1" si="33"/>
        <v>5</v>
      </c>
      <c r="R269" s="67">
        <f t="shared" ca="1" si="34"/>
        <v>7.6152667858114</v>
      </c>
      <c r="S269" s="78">
        <f t="shared" si="32"/>
        <v>0.74470257850395716</v>
      </c>
      <c r="T269" s="79" t="str">
        <f t="shared" si="28"/>
        <v>RB97 5242</v>
      </c>
    </row>
    <row r="270" spans="2:20" hidden="1" x14ac:dyDescent="0.3">
      <c r="B270" s="36" t="str">
        <f t="shared" si="29"/>
        <v>207968-4</v>
      </c>
      <c r="C270" s="42">
        <v>1818</v>
      </c>
      <c r="D270" s="43">
        <v>9023</v>
      </c>
      <c r="E270" s="44">
        <v>46158</v>
      </c>
      <c r="F270" s="43">
        <v>3</v>
      </c>
      <c r="G270" s="43" t="s">
        <v>28</v>
      </c>
      <c r="H270" s="43">
        <v>207968</v>
      </c>
      <c r="I270" s="43" t="s">
        <v>45</v>
      </c>
      <c r="J270" s="43">
        <v>1</v>
      </c>
      <c r="K270" s="43">
        <v>4</v>
      </c>
      <c r="L270" s="43">
        <v>4</v>
      </c>
      <c r="M270" s="43" t="s">
        <v>32</v>
      </c>
      <c r="N270" s="43">
        <v>19.86</v>
      </c>
      <c r="O270" s="40">
        <f t="shared" si="30"/>
        <v>916697.88</v>
      </c>
      <c r="P270" s="41">
        <f t="shared" si="31"/>
        <v>46157.17237308147</v>
      </c>
      <c r="Q270" s="67">
        <f t="shared" ca="1" si="33"/>
        <v>5</v>
      </c>
      <c r="R270" s="67">
        <f t="shared" ca="1" si="34"/>
        <v>5.8276269185298588</v>
      </c>
      <c r="S270" s="78">
        <f t="shared" si="32"/>
        <v>0.58618654073199539</v>
      </c>
      <c r="T270" s="79" t="str">
        <f t="shared" si="28"/>
        <v>RB97 5242</v>
      </c>
    </row>
    <row r="271" spans="2:20" hidden="1" x14ac:dyDescent="0.3">
      <c r="B271" s="36" t="str">
        <f t="shared" si="29"/>
        <v>202001-1</v>
      </c>
      <c r="C271" s="42">
        <v>1819</v>
      </c>
      <c r="D271" s="43">
        <v>9087</v>
      </c>
      <c r="E271" s="44">
        <v>46159</v>
      </c>
      <c r="F271" s="43">
        <v>3</v>
      </c>
      <c r="G271" s="43" t="s">
        <v>28</v>
      </c>
      <c r="H271" s="43">
        <v>202001</v>
      </c>
      <c r="I271" s="43" t="s">
        <v>36</v>
      </c>
      <c r="J271" s="43">
        <v>1</v>
      </c>
      <c r="K271" s="43">
        <v>1</v>
      </c>
      <c r="L271" s="43">
        <v>53</v>
      </c>
      <c r="M271" s="43" t="s">
        <v>30</v>
      </c>
      <c r="N271" s="43">
        <v>2.17</v>
      </c>
      <c r="O271" s="40">
        <f t="shared" si="30"/>
        <v>100165.03</v>
      </c>
      <c r="P271" s="41">
        <f t="shared" si="31"/>
        <v>46160.431937172769</v>
      </c>
      <c r="Q271" s="67">
        <f t="shared" ca="1" si="33"/>
        <v>4</v>
      </c>
      <c r="R271" s="67">
        <f t="shared" ca="1" si="34"/>
        <v>2.5680628272311878</v>
      </c>
      <c r="S271" s="78">
        <f t="shared" si="32"/>
        <v>0.28403141361256545</v>
      </c>
      <c r="T271" s="79" t="str">
        <f t="shared" si="28"/>
        <v>RB97 5201</v>
      </c>
    </row>
    <row r="272" spans="2:20" hidden="1" x14ac:dyDescent="0.3">
      <c r="B272" s="36" t="str">
        <f t="shared" si="29"/>
        <v>202001-1</v>
      </c>
      <c r="C272" s="45">
        <v>1822</v>
      </c>
      <c r="D272" s="46">
        <v>9087</v>
      </c>
      <c r="E272" s="47">
        <v>46161</v>
      </c>
      <c r="F272" s="46">
        <v>3</v>
      </c>
      <c r="G272" s="46" t="s">
        <v>28</v>
      </c>
      <c r="H272" s="46">
        <v>202001</v>
      </c>
      <c r="I272" s="46" t="s">
        <v>36</v>
      </c>
      <c r="J272" s="46">
        <v>1</v>
      </c>
      <c r="K272" s="46">
        <v>1</v>
      </c>
      <c r="L272" s="46">
        <v>5</v>
      </c>
      <c r="M272" s="46" t="s">
        <v>51</v>
      </c>
      <c r="N272" s="46">
        <v>5.47</v>
      </c>
      <c r="O272" s="40">
        <f t="shared" si="30"/>
        <v>252500.66999999998</v>
      </c>
      <c r="P272" s="41">
        <f t="shared" si="31"/>
        <v>46160.431937172769</v>
      </c>
      <c r="Q272" s="67">
        <f t="shared" ca="1" si="33"/>
        <v>2</v>
      </c>
      <c r="R272" s="67">
        <f t="shared" ca="1" si="34"/>
        <v>2.5680628272311878</v>
      </c>
      <c r="S272" s="78">
        <f t="shared" si="32"/>
        <v>0.71596858638743455</v>
      </c>
      <c r="T272" s="79" t="str">
        <f t="shared" si="28"/>
        <v>RB97 5201</v>
      </c>
    </row>
    <row r="273" spans="2:20" hidden="1" x14ac:dyDescent="0.3">
      <c r="B273" s="36" t="str">
        <f t="shared" si="29"/>
        <v>-</v>
      </c>
      <c r="C273" s="49"/>
      <c r="D273" s="50"/>
      <c r="E273" s="51"/>
      <c r="F273" s="50"/>
      <c r="G273" s="50"/>
      <c r="H273" s="50"/>
      <c r="I273" s="50"/>
      <c r="J273" s="50"/>
      <c r="K273" s="50"/>
      <c r="L273" s="50"/>
      <c r="M273" s="50"/>
      <c r="N273" s="52"/>
      <c r="O273" s="40">
        <f t="shared" si="30"/>
        <v>0</v>
      </c>
      <c r="P273" s="41" t="str">
        <f t="shared" si="31"/>
        <v/>
      </c>
      <c r="Q273" s="67">
        <f t="shared" ca="1" si="33"/>
        <v>46163</v>
      </c>
      <c r="R273" s="67" t="e">
        <f t="shared" ca="1" si="34"/>
        <v>#VALUE!</v>
      </c>
      <c r="S273" s="78" t="e">
        <f t="shared" si="32"/>
        <v>#DIV/0!</v>
      </c>
      <c r="T273" s="79" t="e">
        <f t="shared" ref="T273:T336" si="35">_xlfn.XLOOKUP(_xlfn.MAXIFS(S:S,H:H,H273,K:K,K273),S:S,M:M)</f>
        <v>#N/A</v>
      </c>
    </row>
    <row r="274" spans="2:20" hidden="1" x14ac:dyDescent="0.3">
      <c r="B274" s="36" t="str">
        <f t="shared" si="29"/>
        <v>-</v>
      </c>
      <c r="C274" s="42"/>
      <c r="D274" s="43"/>
      <c r="E274" s="44"/>
      <c r="F274" s="43"/>
      <c r="G274" s="43"/>
      <c r="H274" s="43"/>
      <c r="I274" s="43"/>
      <c r="J274" s="43"/>
      <c r="K274" s="43"/>
      <c r="L274" s="43"/>
      <c r="M274" s="43"/>
      <c r="N274" s="48"/>
      <c r="O274" s="40">
        <f t="shared" si="30"/>
        <v>0</v>
      </c>
      <c r="P274" s="41" t="str">
        <f t="shared" si="31"/>
        <v/>
      </c>
      <c r="Q274" s="67">
        <f t="shared" ca="1" si="33"/>
        <v>46163</v>
      </c>
      <c r="R274" s="67" t="e">
        <f t="shared" ca="1" si="34"/>
        <v>#VALUE!</v>
      </c>
      <c r="S274" s="78" t="e">
        <f t="shared" si="32"/>
        <v>#DIV/0!</v>
      </c>
      <c r="T274" s="79" t="e">
        <f t="shared" si="35"/>
        <v>#N/A</v>
      </c>
    </row>
    <row r="275" spans="2:20" hidden="1" x14ac:dyDescent="0.3">
      <c r="B275" s="36" t="str">
        <f t="shared" si="29"/>
        <v>-</v>
      </c>
      <c r="C275" s="49"/>
      <c r="D275" s="50"/>
      <c r="E275" s="51"/>
      <c r="F275" s="50"/>
      <c r="G275" s="50"/>
      <c r="H275" s="50"/>
      <c r="I275" s="50"/>
      <c r="J275" s="50"/>
      <c r="K275" s="50"/>
      <c r="L275" s="50"/>
      <c r="M275" s="50"/>
      <c r="N275" s="52"/>
      <c r="O275" s="40">
        <f t="shared" si="30"/>
        <v>0</v>
      </c>
      <c r="P275" s="41" t="str">
        <f t="shared" si="31"/>
        <v/>
      </c>
      <c r="Q275" s="67">
        <f t="shared" ca="1" si="33"/>
        <v>46163</v>
      </c>
      <c r="R275" s="67" t="e">
        <f t="shared" ca="1" si="34"/>
        <v>#VALUE!</v>
      </c>
      <c r="S275" s="78" t="e">
        <f t="shared" si="32"/>
        <v>#DIV/0!</v>
      </c>
      <c r="T275" s="79" t="e">
        <f t="shared" si="35"/>
        <v>#N/A</v>
      </c>
    </row>
    <row r="276" spans="2:20" hidden="1" x14ac:dyDescent="0.3">
      <c r="B276" s="36" t="str">
        <f t="shared" si="29"/>
        <v>-</v>
      </c>
      <c r="C276" s="42"/>
      <c r="D276" s="43"/>
      <c r="E276" s="44"/>
      <c r="F276" s="43"/>
      <c r="G276" s="43"/>
      <c r="H276" s="43"/>
      <c r="I276" s="43"/>
      <c r="J276" s="43"/>
      <c r="K276" s="43"/>
      <c r="L276" s="43"/>
      <c r="M276" s="43"/>
      <c r="N276" s="48"/>
      <c r="O276" s="40">
        <f t="shared" si="30"/>
        <v>0</v>
      </c>
      <c r="P276" s="41" t="str">
        <f t="shared" si="31"/>
        <v/>
      </c>
      <c r="Q276" s="67">
        <f t="shared" ca="1" si="33"/>
        <v>46163</v>
      </c>
      <c r="R276" s="67" t="e">
        <f t="shared" ca="1" si="34"/>
        <v>#VALUE!</v>
      </c>
      <c r="S276" s="78" t="e">
        <f t="shared" si="32"/>
        <v>#DIV/0!</v>
      </c>
      <c r="T276" s="79" t="e">
        <f t="shared" si="35"/>
        <v>#N/A</v>
      </c>
    </row>
    <row r="277" spans="2:20" hidden="1" x14ac:dyDescent="0.3">
      <c r="B277" s="36" t="str">
        <f t="shared" si="29"/>
        <v>-</v>
      </c>
      <c r="C277" s="49"/>
      <c r="D277" s="50"/>
      <c r="E277" s="51"/>
      <c r="F277" s="50"/>
      <c r="G277" s="50"/>
      <c r="H277" s="50"/>
      <c r="I277" s="50"/>
      <c r="J277" s="50"/>
      <c r="K277" s="50"/>
      <c r="L277" s="50"/>
      <c r="M277" s="50"/>
      <c r="N277" s="52"/>
      <c r="O277" s="40">
        <f t="shared" si="30"/>
        <v>0</v>
      </c>
      <c r="P277" s="41" t="str">
        <f t="shared" si="31"/>
        <v/>
      </c>
      <c r="Q277" s="67">
        <f t="shared" ca="1" si="33"/>
        <v>46163</v>
      </c>
      <c r="R277" s="67" t="e">
        <f t="shared" ca="1" si="34"/>
        <v>#VALUE!</v>
      </c>
      <c r="S277" s="78" t="e">
        <f t="shared" si="32"/>
        <v>#DIV/0!</v>
      </c>
      <c r="T277" s="79" t="e">
        <f t="shared" si="35"/>
        <v>#N/A</v>
      </c>
    </row>
    <row r="278" spans="2:20" hidden="1" x14ac:dyDescent="0.3">
      <c r="B278" s="36" t="str">
        <f t="shared" si="29"/>
        <v>-</v>
      </c>
      <c r="C278" s="42"/>
      <c r="D278" s="43"/>
      <c r="E278" s="44"/>
      <c r="F278" s="43"/>
      <c r="G278" s="43"/>
      <c r="H278" s="43"/>
      <c r="I278" s="43"/>
      <c r="J278" s="43"/>
      <c r="K278" s="43"/>
      <c r="L278" s="43"/>
      <c r="M278" s="43"/>
      <c r="N278" s="48"/>
      <c r="O278" s="40">
        <f t="shared" si="30"/>
        <v>0</v>
      </c>
      <c r="P278" s="41" t="str">
        <f t="shared" si="31"/>
        <v/>
      </c>
      <c r="Q278" s="67">
        <f t="shared" ca="1" si="33"/>
        <v>46163</v>
      </c>
      <c r="R278" s="67" t="e">
        <f t="shared" ca="1" si="34"/>
        <v>#VALUE!</v>
      </c>
      <c r="S278" s="78" t="e">
        <f t="shared" si="32"/>
        <v>#DIV/0!</v>
      </c>
      <c r="T278" s="79" t="e">
        <f t="shared" si="35"/>
        <v>#N/A</v>
      </c>
    </row>
    <row r="279" spans="2:20" hidden="1" x14ac:dyDescent="0.3">
      <c r="B279" s="36" t="str">
        <f t="shared" si="29"/>
        <v>-</v>
      </c>
      <c r="C279" s="49"/>
      <c r="D279" s="50"/>
      <c r="E279" s="51"/>
      <c r="F279" s="50"/>
      <c r="G279" s="50"/>
      <c r="H279" s="50"/>
      <c r="I279" s="50"/>
      <c r="J279" s="50"/>
      <c r="K279" s="50"/>
      <c r="L279" s="50"/>
      <c r="M279" s="50"/>
      <c r="N279" s="52"/>
      <c r="O279" s="40">
        <f t="shared" si="30"/>
        <v>0</v>
      </c>
      <c r="P279" s="41" t="str">
        <f t="shared" si="31"/>
        <v/>
      </c>
      <c r="Q279" s="67">
        <f t="shared" ca="1" si="33"/>
        <v>46163</v>
      </c>
      <c r="R279" s="67" t="e">
        <f t="shared" ca="1" si="34"/>
        <v>#VALUE!</v>
      </c>
      <c r="S279" s="78" t="e">
        <f t="shared" si="32"/>
        <v>#DIV/0!</v>
      </c>
      <c r="T279" s="79" t="e">
        <f t="shared" si="35"/>
        <v>#N/A</v>
      </c>
    </row>
    <row r="280" spans="2:20" hidden="1" x14ac:dyDescent="0.3">
      <c r="B280" s="36" t="str">
        <f t="shared" si="29"/>
        <v>-</v>
      </c>
      <c r="C280" s="42"/>
      <c r="D280" s="43"/>
      <c r="E280" s="44"/>
      <c r="F280" s="43"/>
      <c r="G280" s="43"/>
      <c r="H280" s="43"/>
      <c r="I280" s="43"/>
      <c r="J280" s="43"/>
      <c r="K280" s="43"/>
      <c r="L280" s="43"/>
      <c r="M280" s="43"/>
      <c r="N280" s="48"/>
      <c r="O280" s="40">
        <f t="shared" si="30"/>
        <v>0</v>
      </c>
      <c r="P280" s="41" t="str">
        <f t="shared" si="31"/>
        <v/>
      </c>
      <c r="Q280" s="67">
        <f t="shared" ca="1" si="33"/>
        <v>46163</v>
      </c>
      <c r="R280" s="67" t="e">
        <f t="shared" ca="1" si="34"/>
        <v>#VALUE!</v>
      </c>
      <c r="S280" s="78" t="e">
        <f t="shared" si="32"/>
        <v>#DIV/0!</v>
      </c>
      <c r="T280" s="79" t="e">
        <f t="shared" si="35"/>
        <v>#N/A</v>
      </c>
    </row>
    <row r="281" spans="2:20" hidden="1" x14ac:dyDescent="0.3">
      <c r="B281" s="36" t="str">
        <f t="shared" si="29"/>
        <v>-</v>
      </c>
      <c r="C281" s="49"/>
      <c r="D281" s="50"/>
      <c r="E281" s="51"/>
      <c r="F281" s="50"/>
      <c r="G281" s="50"/>
      <c r="H281" s="50"/>
      <c r="I281" s="50"/>
      <c r="J281" s="50"/>
      <c r="K281" s="50"/>
      <c r="L281" s="50"/>
      <c r="M281" s="50"/>
      <c r="N281" s="52"/>
      <c r="O281" s="40">
        <f t="shared" si="30"/>
        <v>0</v>
      </c>
      <c r="P281" s="41" t="str">
        <f t="shared" si="31"/>
        <v/>
      </c>
      <c r="Q281" s="67">
        <f t="shared" ca="1" si="33"/>
        <v>46163</v>
      </c>
      <c r="R281" s="67" t="e">
        <f t="shared" ca="1" si="34"/>
        <v>#VALUE!</v>
      </c>
      <c r="S281" s="78" t="e">
        <f t="shared" si="32"/>
        <v>#DIV/0!</v>
      </c>
      <c r="T281" s="79" t="e">
        <f t="shared" si="35"/>
        <v>#N/A</v>
      </c>
    </row>
    <row r="282" spans="2:20" hidden="1" x14ac:dyDescent="0.3">
      <c r="B282" s="36" t="str">
        <f t="shared" si="29"/>
        <v>-</v>
      </c>
      <c r="C282" s="42"/>
      <c r="D282" s="43"/>
      <c r="E282" s="44"/>
      <c r="F282" s="43"/>
      <c r="G282" s="43"/>
      <c r="H282" s="43"/>
      <c r="I282" s="43"/>
      <c r="J282" s="43"/>
      <c r="K282" s="43"/>
      <c r="L282" s="43"/>
      <c r="M282" s="43"/>
      <c r="N282" s="48"/>
      <c r="O282" s="40">
        <f t="shared" si="30"/>
        <v>0</v>
      </c>
      <c r="P282" s="41" t="str">
        <f t="shared" si="31"/>
        <v/>
      </c>
      <c r="Q282" s="67">
        <f t="shared" ca="1" si="33"/>
        <v>46163</v>
      </c>
      <c r="R282" s="67" t="e">
        <f t="shared" ca="1" si="34"/>
        <v>#VALUE!</v>
      </c>
      <c r="S282" s="78" t="e">
        <f t="shared" si="32"/>
        <v>#DIV/0!</v>
      </c>
      <c r="T282" s="79" t="e">
        <f t="shared" si="35"/>
        <v>#N/A</v>
      </c>
    </row>
    <row r="283" spans="2:20" hidden="1" x14ac:dyDescent="0.3">
      <c r="B283" s="36" t="str">
        <f t="shared" si="29"/>
        <v>-</v>
      </c>
      <c r="C283" s="49"/>
      <c r="D283" s="50"/>
      <c r="E283" s="51"/>
      <c r="F283" s="50"/>
      <c r="G283" s="50"/>
      <c r="H283" s="50"/>
      <c r="I283" s="50"/>
      <c r="J283" s="50"/>
      <c r="K283" s="50"/>
      <c r="L283" s="50"/>
      <c r="M283" s="50"/>
      <c r="N283" s="52"/>
      <c r="O283" s="40">
        <f t="shared" si="30"/>
        <v>0</v>
      </c>
      <c r="P283" s="41" t="str">
        <f t="shared" si="31"/>
        <v/>
      </c>
      <c r="Q283" s="67">
        <f t="shared" ca="1" si="33"/>
        <v>46163</v>
      </c>
      <c r="R283" s="67" t="e">
        <f t="shared" ca="1" si="34"/>
        <v>#VALUE!</v>
      </c>
      <c r="S283" s="78" t="e">
        <f t="shared" si="32"/>
        <v>#DIV/0!</v>
      </c>
      <c r="T283" s="79" t="e">
        <f t="shared" si="35"/>
        <v>#N/A</v>
      </c>
    </row>
    <row r="284" spans="2:20" hidden="1" x14ac:dyDescent="0.3">
      <c r="B284" s="36" t="str">
        <f t="shared" si="29"/>
        <v>-</v>
      </c>
      <c r="C284" s="42"/>
      <c r="D284" s="43"/>
      <c r="E284" s="44"/>
      <c r="F284" s="43"/>
      <c r="G284" s="43"/>
      <c r="H284" s="43"/>
      <c r="I284" s="43"/>
      <c r="J284" s="43"/>
      <c r="K284" s="43"/>
      <c r="L284" s="43"/>
      <c r="M284" s="43"/>
      <c r="N284" s="48"/>
      <c r="O284" s="40">
        <f t="shared" si="30"/>
        <v>0</v>
      </c>
      <c r="P284" s="41" t="str">
        <f t="shared" si="31"/>
        <v/>
      </c>
      <c r="Q284" s="67">
        <f t="shared" ca="1" si="33"/>
        <v>46163</v>
      </c>
      <c r="R284" s="67" t="e">
        <f t="shared" ca="1" si="34"/>
        <v>#VALUE!</v>
      </c>
      <c r="S284" s="78" t="e">
        <f t="shared" si="32"/>
        <v>#DIV/0!</v>
      </c>
      <c r="T284" s="79" t="e">
        <f t="shared" si="35"/>
        <v>#N/A</v>
      </c>
    </row>
    <row r="285" spans="2:20" hidden="1" x14ac:dyDescent="0.3">
      <c r="B285" s="36" t="str">
        <f t="shared" si="29"/>
        <v>-</v>
      </c>
      <c r="C285" s="49"/>
      <c r="D285" s="50"/>
      <c r="E285" s="51"/>
      <c r="F285" s="50"/>
      <c r="G285" s="50"/>
      <c r="H285" s="50"/>
      <c r="I285" s="50"/>
      <c r="J285" s="50"/>
      <c r="K285" s="50"/>
      <c r="L285" s="50"/>
      <c r="M285" s="50"/>
      <c r="N285" s="52"/>
      <c r="O285" s="40">
        <f t="shared" si="30"/>
        <v>0</v>
      </c>
      <c r="P285" s="41" t="str">
        <f t="shared" si="31"/>
        <v/>
      </c>
      <c r="Q285" s="67">
        <f t="shared" ca="1" si="33"/>
        <v>46163</v>
      </c>
      <c r="R285" s="67" t="e">
        <f t="shared" ca="1" si="34"/>
        <v>#VALUE!</v>
      </c>
      <c r="S285" s="78" t="e">
        <f t="shared" si="32"/>
        <v>#DIV/0!</v>
      </c>
      <c r="T285" s="79" t="e">
        <f t="shared" si="35"/>
        <v>#N/A</v>
      </c>
    </row>
    <row r="286" spans="2:20" hidden="1" x14ac:dyDescent="0.3">
      <c r="B286" s="36" t="str">
        <f t="shared" si="29"/>
        <v>-</v>
      </c>
      <c r="C286" s="42"/>
      <c r="D286" s="43"/>
      <c r="E286" s="44"/>
      <c r="F286" s="43"/>
      <c r="G286" s="43"/>
      <c r="H286" s="43"/>
      <c r="I286" s="43"/>
      <c r="J286" s="43"/>
      <c r="K286" s="43"/>
      <c r="L286" s="43"/>
      <c r="M286" s="43"/>
      <c r="N286" s="48"/>
      <c r="O286" s="40">
        <f t="shared" si="30"/>
        <v>0</v>
      </c>
      <c r="P286" s="41" t="str">
        <f t="shared" si="31"/>
        <v/>
      </c>
      <c r="Q286" s="67">
        <f t="shared" ca="1" si="33"/>
        <v>46163</v>
      </c>
      <c r="R286" s="67" t="e">
        <f t="shared" ca="1" si="34"/>
        <v>#VALUE!</v>
      </c>
      <c r="S286" s="78" t="e">
        <f t="shared" si="32"/>
        <v>#DIV/0!</v>
      </c>
      <c r="T286" s="79" t="e">
        <f t="shared" si="35"/>
        <v>#N/A</v>
      </c>
    </row>
    <row r="287" spans="2:20" hidden="1" x14ac:dyDescent="0.3">
      <c r="B287" s="36" t="str">
        <f t="shared" si="29"/>
        <v>-</v>
      </c>
      <c r="C287" s="49"/>
      <c r="D287" s="50"/>
      <c r="E287" s="51"/>
      <c r="F287" s="50"/>
      <c r="G287" s="50"/>
      <c r="H287" s="50"/>
      <c r="I287" s="50"/>
      <c r="J287" s="50"/>
      <c r="K287" s="50"/>
      <c r="L287" s="50"/>
      <c r="M287" s="50"/>
      <c r="N287" s="52"/>
      <c r="O287" s="40">
        <f t="shared" si="30"/>
        <v>0</v>
      </c>
      <c r="P287" s="41" t="str">
        <f t="shared" si="31"/>
        <v/>
      </c>
      <c r="Q287" s="67">
        <f t="shared" ca="1" si="33"/>
        <v>46163</v>
      </c>
      <c r="R287" s="67" t="e">
        <f t="shared" ca="1" si="34"/>
        <v>#VALUE!</v>
      </c>
      <c r="S287" s="78" t="e">
        <f t="shared" si="32"/>
        <v>#DIV/0!</v>
      </c>
      <c r="T287" s="79" t="e">
        <f t="shared" si="35"/>
        <v>#N/A</v>
      </c>
    </row>
    <row r="288" spans="2:20" hidden="1" x14ac:dyDescent="0.3">
      <c r="B288" s="36" t="str">
        <f t="shared" si="29"/>
        <v>-</v>
      </c>
      <c r="C288" s="42"/>
      <c r="D288" s="43"/>
      <c r="E288" s="44"/>
      <c r="F288" s="43"/>
      <c r="G288" s="43"/>
      <c r="H288" s="43"/>
      <c r="I288" s="43"/>
      <c r="J288" s="43"/>
      <c r="K288" s="43"/>
      <c r="L288" s="43"/>
      <c r="M288" s="43"/>
      <c r="N288" s="48"/>
      <c r="O288" s="40">
        <f t="shared" si="30"/>
        <v>0</v>
      </c>
      <c r="P288" s="41" t="str">
        <f t="shared" si="31"/>
        <v/>
      </c>
      <c r="Q288" s="67">
        <f t="shared" ca="1" si="33"/>
        <v>46163</v>
      </c>
      <c r="R288" s="67" t="e">
        <f t="shared" ca="1" si="34"/>
        <v>#VALUE!</v>
      </c>
      <c r="S288" s="78" t="e">
        <f t="shared" si="32"/>
        <v>#DIV/0!</v>
      </c>
      <c r="T288" s="79" t="e">
        <f t="shared" si="35"/>
        <v>#N/A</v>
      </c>
    </row>
    <row r="289" spans="2:20" hidden="1" x14ac:dyDescent="0.3">
      <c r="B289" s="36" t="str">
        <f t="shared" si="29"/>
        <v>-</v>
      </c>
      <c r="C289" s="49"/>
      <c r="D289" s="50"/>
      <c r="E289" s="51"/>
      <c r="F289" s="50"/>
      <c r="G289" s="50"/>
      <c r="H289" s="50"/>
      <c r="I289" s="50"/>
      <c r="J289" s="50"/>
      <c r="K289" s="50"/>
      <c r="L289" s="50"/>
      <c r="M289" s="50"/>
      <c r="N289" s="52"/>
      <c r="O289" s="40">
        <f t="shared" si="30"/>
        <v>0</v>
      </c>
      <c r="P289" s="41" t="str">
        <f t="shared" si="31"/>
        <v/>
      </c>
      <c r="Q289" s="67">
        <f t="shared" ca="1" si="33"/>
        <v>46163</v>
      </c>
      <c r="R289" s="67" t="e">
        <f t="shared" ca="1" si="34"/>
        <v>#VALUE!</v>
      </c>
      <c r="S289" s="78" t="e">
        <f t="shared" si="32"/>
        <v>#DIV/0!</v>
      </c>
      <c r="T289" s="79" t="e">
        <f t="shared" si="35"/>
        <v>#N/A</v>
      </c>
    </row>
    <row r="290" spans="2:20" hidden="1" x14ac:dyDescent="0.3">
      <c r="B290" s="36" t="str">
        <f t="shared" si="29"/>
        <v>-</v>
      </c>
      <c r="C290" s="42"/>
      <c r="D290" s="43"/>
      <c r="E290" s="44"/>
      <c r="F290" s="43"/>
      <c r="G290" s="43"/>
      <c r="H290" s="43"/>
      <c r="I290" s="43"/>
      <c r="J290" s="43"/>
      <c r="K290" s="43"/>
      <c r="L290" s="43"/>
      <c r="M290" s="43"/>
      <c r="N290" s="48"/>
      <c r="O290" s="40">
        <f t="shared" si="30"/>
        <v>0</v>
      </c>
      <c r="P290" s="41" t="str">
        <f t="shared" si="31"/>
        <v/>
      </c>
      <c r="Q290" s="67">
        <f t="shared" ca="1" si="33"/>
        <v>46163</v>
      </c>
      <c r="R290" s="67" t="e">
        <f t="shared" ca="1" si="34"/>
        <v>#VALUE!</v>
      </c>
      <c r="S290" s="78" t="e">
        <f t="shared" si="32"/>
        <v>#DIV/0!</v>
      </c>
      <c r="T290" s="79" t="e">
        <f t="shared" si="35"/>
        <v>#N/A</v>
      </c>
    </row>
    <row r="291" spans="2:20" hidden="1" x14ac:dyDescent="0.3">
      <c r="B291" s="36" t="str">
        <f t="shared" si="29"/>
        <v>-</v>
      </c>
      <c r="C291" s="49"/>
      <c r="D291" s="50"/>
      <c r="E291" s="51"/>
      <c r="F291" s="50"/>
      <c r="G291" s="50"/>
      <c r="H291" s="50"/>
      <c r="I291" s="50"/>
      <c r="J291" s="50"/>
      <c r="K291" s="50"/>
      <c r="L291" s="50"/>
      <c r="M291" s="50"/>
      <c r="N291" s="52"/>
      <c r="O291" s="40">
        <f t="shared" si="30"/>
        <v>0</v>
      </c>
      <c r="P291" s="41" t="str">
        <f t="shared" si="31"/>
        <v/>
      </c>
      <c r="Q291" s="67">
        <f t="shared" ca="1" si="33"/>
        <v>46163</v>
      </c>
      <c r="R291" s="67" t="e">
        <f t="shared" ca="1" si="34"/>
        <v>#VALUE!</v>
      </c>
      <c r="S291" s="78" t="e">
        <f t="shared" si="32"/>
        <v>#DIV/0!</v>
      </c>
      <c r="T291" s="79" t="e">
        <f t="shared" si="35"/>
        <v>#N/A</v>
      </c>
    </row>
    <row r="292" spans="2:20" hidden="1" x14ac:dyDescent="0.3">
      <c r="B292" s="36" t="str">
        <f t="shared" si="29"/>
        <v>-</v>
      </c>
      <c r="C292" s="42"/>
      <c r="D292" s="43"/>
      <c r="E292" s="44"/>
      <c r="F292" s="43"/>
      <c r="G292" s="43"/>
      <c r="H292" s="43"/>
      <c r="I292" s="43"/>
      <c r="J292" s="43"/>
      <c r="K292" s="43"/>
      <c r="L292" s="43"/>
      <c r="M292" s="43"/>
      <c r="N292" s="48"/>
      <c r="O292" s="40">
        <f t="shared" si="30"/>
        <v>0</v>
      </c>
      <c r="P292" s="41" t="str">
        <f t="shared" si="31"/>
        <v/>
      </c>
      <c r="Q292" s="67">
        <f t="shared" ca="1" si="33"/>
        <v>46163</v>
      </c>
      <c r="R292" s="67" t="e">
        <f t="shared" ca="1" si="34"/>
        <v>#VALUE!</v>
      </c>
      <c r="S292" s="78" t="e">
        <f t="shared" si="32"/>
        <v>#DIV/0!</v>
      </c>
      <c r="T292" s="79" t="e">
        <f t="shared" si="35"/>
        <v>#N/A</v>
      </c>
    </row>
    <row r="293" spans="2:20" hidden="1" x14ac:dyDescent="0.3">
      <c r="B293" s="36" t="str">
        <f t="shared" si="29"/>
        <v>-</v>
      </c>
      <c r="C293" s="49"/>
      <c r="D293" s="50"/>
      <c r="E293" s="51"/>
      <c r="F293" s="50"/>
      <c r="G293" s="50"/>
      <c r="H293" s="50"/>
      <c r="I293" s="50"/>
      <c r="J293" s="50"/>
      <c r="K293" s="50"/>
      <c r="L293" s="50"/>
      <c r="M293" s="50"/>
      <c r="N293" s="52"/>
      <c r="O293" s="40">
        <f t="shared" si="30"/>
        <v>0</v>
      </c>
      <c r="P293" s="41" t="str">
        <f t="shared" si="31"/>
        <v/>
      </c>
      <c r="Q293" s="67">
        <f t="shared" ca="1" si="33"/>
        <v>46163</v>
      </c>
      <c r="R293" s="67" t="e">
        <f t="shared" ca="1" si="34"/>
        <v>#VALUE!</v>
      </c>
      <c r="S293" s="78" t="e">
        <f t="shared" si="32"/>
        <v>#DIV/0!</v>
      </c>
      <c r="T293" s="79" t="e">
        <f t="shared" si="35"/>
        <v>#N/A</v>
      </c>
    </row>
    <row r="294" spans="2:20" hidden="1" x14ac:dyDescent="0.3">
      <c r="B294" s="36" t="str">
        <f t="shared" si="29"/>
        <v>-</v>
      </c>
      <c r="C294" s="42"/>
      <c r="D294" s="43"/>
      <c r="E294" s="44"/>
      <c r="F294" s="43"/>
      <c r="G294" s="43"/>
      <c r="H294" s="43"/>
      <c r="I294" s="43"/>
      <c r="J294" s="43"/>
      <c r="K294" s="43"/>
      <c r="L294" s="43"/>
      <c r="M294" s="43"/>
      <c r="N294" s="48"/>
      <c r="O294" s="40">
        <f t="shared" si="30"/>
        <v>0</v>
      </c>
      <c r="P294" s="41" t="str">
        <f t="shared" si="31"/>
        <v/>
      </c>
      <c r="Q294" s="67">
        <f t="shared" ca="1" si="33"/>
        <v>46163</v>
      </c>
      <c r="R294" s="67" t="e">
        <f t="shared" ca="1" si="34"/>
        <v>#VALUE!</v>
      </c>
      <c r="S294" s="78" t="e">
        <f t="shared" si="32"/>
        <v>#DIV/0!</v>
      </c>
      <c r="T294" s="79" t="e">
        <f t="shared" si="35"/>
        <v>#N/A</v>
      </c>
    </row>
    <row r="295" spans="2:20" hidden="1" x14ac:dyDescent="0.3">
      <c r="B295" s="36" t="str">
        <f t="shared" si="29"/>
        <v>-</v>
      </c>
      <c r="C295" s="49"/>
      <c r="D295" s="50"/>
      <c r="E295" s="51"/>
      <c r="F295" s="50"/>
      <c r="G295" s="50"/>
      <c r="H295" s="50"/>
      <c r="I295" s="50"/>
      <c r="J295" s="50"/>
      <c r="K295" s="50"/>
      <c r="L295" s="50"/>
      <c r="M295" s="50"/>
      <c r="N295" s="52"/>
      <c r="O295" s="40">
        <f t="shared" si="30"/>
        <v>0</v>
      </c>
      <c r="P295" s="41" t="str">
        <f t="shared" si="31"/>
        <v/>
      </c>
      <c r="Q295" s="67">
        <f t="shared" ca="1" si="33"/>
        <v>46163</v>
      </c>
      <c r="R295" s="67" t="e">
        <f t="shared" ca="1" si="34"/>
        <v>#VALUE!</v>
      </c>
      <c r="S295" s="78" t="e">
        <f t="shared" si="32"/>
        <v>#DIV/0!</v>
      </c>
      <c r="T295" s="79" t="e">
        <f t="shared" si="35"/>
        <v>#N/A</v>
      </c>
    </row>
    <row r="296" spans="2:20" hidden="1" x14ac:dyDescent="0.3">
      <c r="B296" s="36" t="str">
        <f t="shared" si="29"/>
        <v>-</v>
      </c>
      <c r="C296" s="42"/>
      <c r="D296" s="43"/>
      <c r="E296" s="44"/>
      <c r="F296" s="43"/>
      <c r="G296" s="43"/>
      <c r="H296" s="43"/>
      <c r="I296" s="43"/>
      <c r="J296" s="43"/>
      <c r="K296" s="43"/>
      <c r="L296" s="43"/>
      <c r="M296" s="43"/>
      <c r="N296" s="48"/>
      <c r="O296" s="40">
        <f t="shared" si="30"/>
        <v>0</v>
      </c>
      <c r="P296" s="41" t="str">
        <f t="shared" si="31"/>
        <v/>
      </c>
      <c r="Q296" s="67">
        <f t="shared" ca="1" si="33"/>
        <v>46163</v>
      </c>
      <c r="R296" s="67" t="e">
        <f t="shared" ca="1" si="34"/>
        <v>#VALUE!</v>
      </c>
      <c r="S296" s="78" t="e">
        <f t="shared" si="32"/>
        <v>#DIV/0!</v>
      </c>
      <c r="T296" s="79" t="e">
        <f t="shared" si="35"/>
        <v>#N/A</v>
      </c>
    </row>
    <row r="297" spans="2:20" hidden="1" x14ac:dyDescent="0.3">
      <c r="B297" s="36" t="str">
        <f t="shared" si="29"/>
        <v>-</v>
      </c>
      <c r="C297" s="49"/>
      <c r="D297" s="50"/>
      <c r="E297" s="51"/>
      <c r="F297" s="50"/>
      <c r="G297" s="50"/>
      <c r="H297" s="50"/>
      <c r="I297" s="50"/>
      <c r="J297" s="50"/>
      <c r="K297" s="50"/>
      <c r="L297" s="50"/>
      <c r="M297" s="50"/>
      <c r="N297" s="52"/>
      <c r="O297" s="40">
        <f t="shared" si="30"/>
        <v>0</v>
      </c>
      <c r="P297" s="41" t="str">
        <f t="shared" si="31"/>
        <v/>
      </c>
      <c r="Q297" s="67">
        <f t="shared" ca="1" si="33"/>
        <v>46163</v>
      </c>
      <c r="R297" s="67" t="e">
        <f t="shared" ca="1" si="34"/>
        <v>#VALUE!</v>
      </c>
      <c r="S297" s="78" t="e">
        <f t="shared" si="32"/>
        <v>#DIV/0!</v>
      </c>
      <c r="T297" s="79" t="e">
        <f t="shared" si="35"/>
        <v>#N/A</v>
      </c>
    </row>
    <row r="298" spans="2:20" hidden="1" x14ac:dyDescent="0.3">
      <c r="B298" s="36" t="str">
        <f t="shared" si="29"/>
        <v>-</v>
      </c>
      <c r="C298" s="42"/>
      <c r="D298" s="43"/>
      <c r="E298" s="44"/>
      <c r="F298" s="43"/>
      <c r="G298" s="43"/>
      <c r="H298" s="43"/>
      <c r="I298" s="43"/>
      <c r="J298" s="43"/>
      <c r="K298" s="43"/>
      <c r="L298" s="43"/>
      <c r="M298" s="43"/>
      <c r="N298" s="48"/>
      <c r="O298" s="40">
        <f t="shared" si="30"/>
        <v>0</v>
      </c>
      <c r="P298" s="41" t="str">
        <f t="shared" si="31"/>
        <v/>
      </c>
      <c r="Q298" s="67">
        <f t="shared" ca="1" si="33"/>
        <v>46163</v>
      </c>
      <c r="R298" s="67" t="e">
        <f t="shared" ca="1" si="34"/>
        <v>#VALUE!</v>
      </c>
      <c r="S298" s="78" t="e">
        <f t="shared" si="32"/>
        <v>#DIV/0!</v>
      </c>
      <c r="T298" s="79" t="e">
        <f t="shared" si="35"/>
        <v>#N/A</v>
      </c>
    </row>
    <row r="299" spans="2:20" hidden="1" x14ac:dyDescent="0.3">
      <c r="B299" s="36" t="str">
        <f t="shared" si="29"/>
        <v>-</v>
      </c>
      <c r="C299" s="49"/>
      <c r="D299" s="50"/>
      <c r="E299" s="51"/>
      <c r="F299" s="50"/>
      <c r="G299" s="50"/>
      <c r="H299" s="50"/>
      <c r="I299" s="50"/>
      <c r="J299" s="50"/>
      <c r="K299" s="50"/>
      <c r="L299" s="50"/>
      <c r="M299" s="50"/>
      <c r="N299" s="52"/>
      <c r="O299" s="40">
        <f t="shared" si="30"/>
        <v>0</v>
      </c>
      <c r="P299" s="41" t="str">
        <f t="shared" si="31"/>
        <v/>
      </c>
      <c r="Q299" s="67">
        <f t="shared" ca="1" si="33"/>
        <v>46163</v>
      </c>
      <c r="R299" s="67" t="e">
        <f t="shared" ca="1" si="34"/>
        <v>#VALUE!</v>
      </c>
      <c r="S299" s="78" t="e">
        <f t="shared" si="32"/>
        <v>#DIV/0!</v>
      </c>
      <c r="T299" s="79" t="e">
        <f t="shared" si="35"/>
        <v>#N/A</v>
      </c>
    </row>
    <row r="300" spans="2:20" hidden="1" x14ac:dyDescent="0.3">
      <c r="B300" s="36" t="str">
        <f t="shared" si="29"/>
        <v>-</v>
      </c>
      <c r="C300" s="42"/>
      <c r="D300" s="43"/>
      <c r="E300" s="44"/>
      <c r="F300" s="43"/>
      <c r="G300" s="43"/>
      <c r="H300" s="43"/>
      <c r="I300" s="43"/>
      <c r="J300" s="43"/>
      <c r="K300" s="43"/>
      <c r="L300" s="43"/>
      <c r="M300" s="43"/>
      <c r="N300" s="48"/>
      <c r="O300" s="40">
        <f t="shared" si="30"/>
        <v>0</v>
      </c>
      <c r="P300" s="41" t="str">
        <f t="shared" si="31"/>
        <v/>
      </c>
      <c r="Q300" s="67">
        <f t="shared" ca="1" si="33"/>
        <v>46163</v>
      </c>
      <c r="R300" s="67" t="e">
        <f t="shared" ca="1" si="34"/>
        <v>#VALUE!</v>
      </c>
      <c r="S300" s="78" t="e">
        <f t="shared" si="32"/>
        <v>#DIV/0!</v>
      </c>
      <c r="T300" s="79" t="e">
        <f t="shared" si="35"/>
        <v>#N/A</v>
      </c>
    </row>
    <row r="301" spans="2:20" hidden="1" x14ac:dyDescent="0.3">
      <c r="B301" s="36" t="str">
        <f t="shared" si="29"/>
        <v>-</v>
      </c>
      <c r="C301" s="49"/>
      <c r="D301" s="50"/>
      <c r="E301" s="51"/>
      <c r="F301" s="50"/>
      <c r="G301" s="50"/>
      <c r="H301" s="50"/>
      <c r="I301" s="50"/>
      <c r="J301" s="50"/>
      <c r="K301" s="50"/>
      <c r="L301" s="50"/>
      <c r="M301" s="50"/>
      <c r="N301" s="52"/>
      <c r="O301" s="40">
        <f t="shared" si="30"/>
        <v>0</v>
      </c>
      <c r="P301" s="41" t="str">
        <f t="shared" si="31"/>
        <v/>
      </c>
      <c r="Q301" s="67">
        <f t="shared" ca="1" si="33"/>
        <v>46163</v>
      </c>
      <c r="R301" s="67" t="e">
        <f t="shared" ca="1" si="34"/>
        <v>#VALUE!</v>
      </c>
      <c r="S301" s="78" t="e">
        <f t="shared" si="32"/>
        <v>#DIV/0!</v>
      </c>
      <c r="T301" s="79" t="e">
        <f t="shared" si="35"/>
        <v>#N/A</v>
      </c>
    </row>
    <row r="302" spans="2:20" hidden="1" x14ac:dyDescent="0.3">
      <c r="B302" s="36" t="str">
        <f t="shared" si="29"/>
        <v>-</v>
      </c>
      <c r="C302" s="42"/>
      <c r="D302" s="43"/>
      <c r="E302" s="44"/>
      <c r="F302" s="43"/>
      <c r="G302" s="43"/>
      <c r="H302" s="43"/>
      <c r="I302" s="43"/>
      <c r="J302" s="43"/>
      <c r="K302" s="43"/>
      <c r="L302" s="43"/>
      <c r="M302" s="43"/>
      <c r="N302" s="48"/>
      <c r="O302" s="40">
        <f t="shared" si="30"/>
        <v>0</v>
      </c>
      <c r="P302" s="41" t="str">
        <f t="shared" si="31"/>
        <v/>
      </c>
      <c r="Q302" s="67">
        <f t="shared" ca="1" si="33"/>
        <v>46163</v>
      </c>
      <c r="R302" s="67" t="e">
        <f t="shared" ca="1" si="34"/>
        <v>#VALUE!</v>
      </c>
      <c r="S302" s="78" t="e">
        <f t="shared" si="32"/>
        <v>#DIV/0!</v>
      </c>
      <c r="T302" s="79" t="e">
        <f t="shared" si="35"/>
        <v>#N/A</v>
      </c>
    </row>
    <row r="303" spans="2:20" hidden="1" x14ac:dyDescent="0.3">
      <c r="B303" s="36" t="str">
        <f t="shared" si="29"/>
        <v>-</v>
      </c>
      <c r="C303" s="49"/>
      <c r="D303" s="50"/>
      <c r="E303" s="51"/>
      <c r="F303" s="50"/>
      <c r="G303" s="50"/>
      <c r="H303" s="50"/>
      <c r="I303" s="50"/>
      <c r="J303" s="50"/>
      <c r="K303" s="50"/>
      <c r="L303" s="50"/>
      <c r="M303" s="50"/>
      <c r="N303" s="52"/>
      <c r="O303" s="40">
        <f t="shared" si="30"/>
        <v>0</v>
      </c>
      <c r="P303" s="41" t="str">
        <f t="shared" si="31"/>
        <v/>
      </c>
      <c r="Q303" s="67">
        <f t="shared" ca="1" si="33"/>
        <v>46163</v>
      </c>
      <c r="R303" s="67" t="e">
        <f t="shared" ca="1" si="34"/>
        <v>#VALUE!</v>
      </c>
      <c r="S303" s="78" t="e">
        <f t="shared" si="32"/>
        <v>#DIV/0!</v>
      </c>
      <c r="T303" s="79" t="e">
        <f t="shared" si="35"/>
        <v>#N/A</v>
      </c>
    </row>
    <row r="304" spans="2:20" hidden="1" x14ac:dyDescent="0.3">
      <c r="B304" s="36" t="str">
        <f t="shared" si="29"/>
        <v>-</v>
      </c>
      <c r="C304" s="42"/>
      <c r="D304" s="43"/>
      <c r="E304" s="44"/>
      <c r="F304" s="43"/>
      <c r="G304" s="43"/>
      <c r="H304" s="43"/>
      <c r="I304" s="43"/>
      <c r="J304" s="43"/>
      <c r="K304" s="43"/>
      <c r="L304" s="43"/>
      <c r="M304" s="43"/>
      <c r="N304" s="48"/>
      <c r="O304" s="40">
        <f t="shared" si="30"/>
        <v>0</v>
      </c>
      <c r="P304" s="41" t="str">
        <f t="shared" si="31"/>
        <v/>
      </c>
      <c r="Q304" s="67">
        <f t="shared" ca="1" si="33"/>
        <v>46163</v>
      </c>
      <c r="R304" s="67" t="e">
        <f t="shared" ca="1" si="34"/>
        <v>#VALUE!</v>
      </c>
      <c r="S304" s="78" t="e">
        <f t="shared" si="32"/>
        <v>#DIV/0!</v>
      </c>
      <c r="T304" s="79" t="e">
        <f t="shared" si="35"/>
        <v>#N/A</v>
      </c>
    </row>
    <row r="305" spans="2:20" hidden="1" x14ac:dyDescent="0.3">
      <c r="B305" s="36" t="str">
        <f t="shared" si="29"/>
        <v>-</v>
      </c>
      <c r="C305" s="49"/>
      <c r="D305" s="50"/>
      <c r="E305" s="51"/>
      <c r="F305" s="50"/>
      <c r="G305" s="50"/>
      <c r="H305" s="50"/>
      <c r="I305" s="50"/>
      <c r="J305" s="50"/>
      <c r="K305" s="50"/>
      <c r="L305" s="50"/>
      <c r="M305" s="50"/>
      <c r="N305" s="52"/>
      <c r="O305" s="40">
        <f t="shared" si="30"/>
        <v>0</v>
      </c>
      <c r="P305" s="41" t="str">
        <f t="shared" si="31"/>
        <v/>
      </c>
      <c r="Q305" s="67">
        <f t="shared" ca="1" si="33"/>
        <v>46163</v>
      </c>
      <c r="R305" s="67" t="e">
        <f t="shared" ca="1" si="34"/>
        <v>#VALUE!</v>
      </c>
      <c r="S305" s="78" t="e">
        <f t="shared" si="32"/>
        <v>#DIV/0!</v>
      </c>
      <c r="T305" s="79" t="e">
        <f t="shared" si="35"/>
        <v>#N/A</v>
      </c>
    </row>
    <row r="306" spans="2:20" hidden="1" x14ac:dyDescent="0.3">
      <c r="B306" s="36" t="str">
        <f t="shared" si="29"/>
        <v>-</v>
      </c>
      <c r="C306" s="42"/>
      <c r="D306" s="43"/>
      <c r="E306" s="44"/>
      <c r="F306" s="43"/>
      <c r="G306" s="43"/>
      <c r="H306" s="43"/>
      <c r="I306" s="43"/>
      <c r="J306" s="43"/>
      <c r="K306" s="43"/>
      <c r="L306" s="43"/>
      <c r="M306" s="43"/>
      <c r="N306" s="48"/>
      <c r="O306" s="40">
        <f t="shared" si="30"/>
        <v>0</v>
      </c>
      <c r="P306" s="41" t="str">
        <f t="shared" si="31"/>
        <v/>
      </c>
      <c r="Q306" s="67">
        <f t="shared" ca="1" si="33"/>
        <v>46163</v>
      </c>
      <c r="R306" s="67" t="e">
        <f t="shared" ca="1" si="34"/>
        <v>#VALUE!</v>
      </c>
      <c r="S306" s="78" t="e">
        <f t="shared" si="32"/>
        <v>#DIV/0!</v>
      </c>
      <c r="T306" s="79" t="e">
        <f t="shared" si="35"/>
        <v>#N/A</v>
      </c>
    </row>
    <row r="307" spans="2:20" hidden="1" x14ac:dyDescent="0.3">
      <c r="B307" s="36" t="str">
        <f t="shared" si="29"/>
        <v>-</v>
      </c>
      <c r="C307" s="49"/>
      <c r="D307" s="50"/>
      <c r="E307" s="51"/>
      <c r="F307" s="50"/>
      <c r="G307" s="50"/>
      <c r="H307" s="50"/>
      <c r="I307" s="50"/>
      <c r="J307" s="50"/>
      <c r="K307" s="50"/>
      <c r="L307" s="50"/>
      <c r="M307" s="50"/>
      <c r="N307" s="52"/>
      <c r="O307" s="40">
        <f t="shared" si="30"/>
        <v>0</v>
      </c>
      <c r="P307" s="41" t="str">
        <f t="shared" si="31"/>
        <v/>
      </c>
      <c r="Q307" s="67">
        <f t="shared" ca="1" si="33"/>
        <v>46163</v>
      </c>
      <c r="R307" s="67" t="e">
        <f t="shared" ca="1" si="34"/>
        <v>#VALUE!</v>
      </c>
      <c r="S307" s="78" t="e">
        <f t="shared" si="32"/>
        <v>#DIV/0!</v>
      </c>
      <c r="T307" s="79" t="e">
        <f t="shared" si="35"/>
        <v>#N/A</v>
      </c>
    </row>
    <row r="308" spans="2:20" hidden="1" x14ac:dyDescent="0.3">
      <c r="B308" s="36" t="str">
        <f t="shared" si="29"/>
        <v>-</v>
      </c>
      <c r="C308" s="42"/>
      <c r="D308" s="43"/>
      <c r="E308" s="44"/>
      <c r="F308" s="43"/>
      <c r="G308" s="43"/>
      <c r="H308" s="43"/>
      <c r="I308" s="43"/>
      <c r="J308" s="43"/>
      <c r="K308" s="43"/>
      <c r="L308" s="43"/>
      <c r="M308" s="43"/>
      <c r="N308" s="48"/>
      <c r="O308" s="40">
        <f t="shared" si="30"/>
        <v>0</v>
      </c>
      <c r="P308" s="41" t="str">
        <f t="shared" si="31"/>
        <v/>
      </c>
      <c r="Q308" s="67">
        <f t="shared" ca="1" si="33"/>
        <v>46163</v>
      </c>
      <c r="R308" s="67" t="e">
        <f t="shared" ca="1" si="34"/>
        <v>#VALUE!</v>
      </c>
      <c r="S308" s="78" t="e">
        <f t="shared" si="32"/>
        <v>#DIV/0!</v>
      </c>
      <c r="T308" s="79" t="e">
        <f t="shared" si="35"/>
        <v>#N/A</v>
      </c>
    </row>
    <row r="309" spans="2:20" hidden="1" x14ac:dyDescent="0.3">
      <c r="B309" s="36" t="str">
        <f t="shared" si="29"/>
        <v>-</v>
      </c>
      <c r="C309" s="49"/>
      <c r="D309" s="50"/>
      <c r="E309" s="51"/>
      <c r="F309" s="50"/>
      <c r="G309" s="50"/>
      <c r="H309" s="50"/>
      <c r="I309" s="50"/>
      <c r="J309" s="50"/>
      <c r="K309" s="50"/>
      <c r="L309" s="50"/>
      <c r="M309" s="50"/>
      <c r="N309" s="52"/>
      <c r="O309" s="40">
        <f t="shared" si="30"/>
        <v>0</v>
      </c>
      <c r="P309" s="41" t="str">
        <f t="shared" si="31"/>
        <v/>
      </c>
      <c r="Q309" s="67">
        <f t="shared" ca="1" si="33"/>
        <v>46163</v>
      </c>
      <c r="R309" s="67" t="e">
        <f t="shared" ca="1" si="34"/>
        <v>#VALUE!</v>
      </c>
      <c r="S309" s="78" t="e">
        <f t="shared" si="32"/>
        <v>#DIV/0!</v>
      </c>
      <c r="T309" s="79" t="e">
        <f t="shared" si="35"/>
        <v>#N/A</v>
      </c>
    </row>
    <row r="310" spans="2:20" hidden="1" x14ac:dyDescent="0.3">
      <c r="B310" s="36" t="str">
        <f t="shared" si="29"/>
        <v>-</v>
      </c>
      <c r="C310" s="42"/>
      <c r="D310" s="43"/>
      <c r="E310" s="44"/>
      <c r="F310" s="43"/>
      <c r="G310" s="43"/>
      <c r="H310" s="43"/>
      <c r="I310" s="43"/>
      <c r="J310" s="43"/>
      <c r="K310" s="43"/>
      <c r="L310" s="43"/>
      <c r="M310" s="43"/>
      <c r="N310" s="48"/>
      <c r="O310" s="40">
        <f t="shared" si="30"/>
        <v>0</v>
      </c>
      <c r="P310" s="41" t="str">
        <f t="shared" si="31"/>
        <v/>
      </c>
      <c r="Q310" s="67">
        <f t="shared" ca="1" si="33"/>
        <v>46163</v>
      </c>
      <c r="R310" s="67" t="e">
        <f t="shared" ca="1" si="34"/>
        <v>#VALUE!</v>
      </c>
      <c r="S310" s="78" t="e">
        <f t="shared" si="32"/>
        <v>#DIV/0!</v>
      </c>
      <c r="T310" s="79" t="e">
        <f t="shared" si="35"/>
        <v>#N/A</v>
      </c>
    </row>
    <row r="311" spans="2:20" hidden="1" x14ac:dyDescent="0.3">
      <c r="B311" s="36" t="str">
        <f t="shared" si="29"/>
        <v>-</v>
      </c>
      <c r="C311" s="49"/>
      <c r="D311" s="50"/>
      <c r="E311" s="51"/>
      <c r="F311" s="50"/>
      <c r="G311" s="50"/>
      <c r="H311" s="50"/>
      <c r="I311" s="50"/>
      <c r="J311" s="50"/>
      <c r="K311" s="50"/>
      <c r="L311" s="50"/>
      <c r="M311" s="50"/>
      <c r="N311" s="52"/>
      <c r="O311" s="40">
        <f t="shared" si="30"/>
        <v>0</v>
      </c>
      <c r="P311" s="41" t="str">
        <f t="shared" si="31"/>
        <v/>
      </c>
      <c r="Q311" s="67">
        <f t="shared" ca="1" si="33"/>
        <v>46163</v>
      </c>
      <c r="R311" s="67" t="e">
        <f t="shared" ca="1" si="34"/>
        <v>#VALUE!</v>
      </c>
      <c r="S311" s="78" t="e">
        <f t="shared" si="32"/>
        <v>#DIV/0!</v>
      </c>
      <c r="T311" s="79" t="e">
        <f t="shared" si="35"/>
        <v>#N/A</v>
      </c>
    </row>
    <row r="312" spans="2:20" hidden="1" x14ac:dyDescent="0.3">
      <c r="B312" s="36" t="str">
        <f t="shared" si="29"/>
        <v>-</v>
      </c>
      <c r="C312" s="42"/>
      <c r="D312" s="43"/>
      <c r="E312" s="44"/>
      <c r="F312" s="43"/>
      <c r="G312" s="43"/>
      <c r="H312" s="43"/>
      <c r="I312" s="43"/>
      <c r="J312" s="43"/>
      <c r="K312" s="43"/>
      <c r="L312" s="43"/>
      <c r="M312" s="43"/>
      <c r="N312" s="48"/>
      <c r="O312" s="40">
        <f t="shared" si="30"/>
        <v>0</v>
      </c>
      <c r="P312" s="41" t="str">
        <f t="shared" si="31"/>
        <v/>
      </c>
      <c r="Q312" s="67">
        <f t="shared" ca="1" si="33"/>
        <v>46163</v>
      </c>
      <c r="R312" s="67" t="e">
        <f t="shared" ca="1" si="34"/>
        <v>#VALUE!</v>
      </c>
      <c r="S312" s="78" t="e">
        <f t="shared" si="32"/>
        <v>#DIV/0!</v>
      </c>
      <c r="T312" s="79" t="e">
        <f t="shared" si="35"/>
        <v>#N/A</v>
      </c>
    </row>
    <row r="313" spans="2:20" hidden="1" x14ac:dyDescent="0.3">
      <c r="B313" s="36" t="str">
        <f t="shared" si="29"/>
        <v>-</v>
      </c>
      <c r="C313" s="49"/>
      <c r="D313" s="50"/>
      <c r="E313" s="51"/>
      <c r="F313" s="50"/>
      <c r="G313" s="50"/>
      <c r="H313" s="50"/>
      <c r="I313" s="50"/>
      <c r="J313" s="50"/>
      <c r="K313" s="50"/>
      <c r="L313" s="50"/>
      <c r="M313" s="50"/>
      <c r="N313" s="52"/>
      <c r="O313" s="40">
        <f t="shared" si="30"/>
        <v>0</v>
      </c>
      <c r="P313" s="41" t="str">
        <f t="shared" si="31"/>
        <v/>
      </c>
      <c r="Q313" s="67">
        <f t="shared" ca="1" si="33"/>
        <v>46163</v>
      </c>
      <c r="R313" s="67" t="e">
        <f t="shared" ca="1" si="34"/>
        <v>#VALUE!</v>
      </c>
      <c r="S313" s="78" t="e">
        <f t="shared" si="32"/>
        <v>#DIV/0!</v>
      </c>
      <c r="T313" s="79" t="e">
        <f t="shared" si="35"/>
        <v>#N/A</v>
      </c>
    </row>
    <row r="314" spans="2:20" hidden="1" x14ac:dyDescent="0.3">
      <c r="B314" s="36" t="str">
        <f t="shared" si="29"/>
        <v>-</v>
      </c>
      <c r="C314" s="42"/>
      <c r="D314" s="43"/>
      <c r="E314" s="44"/>
      <c r="F314" s="43"/>
      <c r="G314" s="43"/>
      <c r="H314" s="43"/>
      <c r="I314" s="43"/>
      <c r="J314" s="43"/>
      <c r="K314" s="43"/>
      <c r="L314" s="43"/>
      <c r="M314" s="43"/>
      <c r="N314" s="48"/>
      <c r="O314" s="40">
        <f t="shared" si="30"/>
        <v>0</v>
      </c>
      <c r="P314" s="41" t="str">
        <f t="shared" si="31"/>
        <v/>
      </c>
      <c r="Q314" s="67">
        <f t="shared" ca="1" si="33"/>
        <v>46163</v>
      </c>
      <c r="R314" s="67" t="e">
        <f t="shared" ca="1" si="34"/>
        <v>#VALUE!</v>
      </c>
      <c r="S314" s="78" t="e">
        <f t="shared" si="32"/>
        <v>#DIV/0!</v>
      </c>
      <c r="T314" s="79" t="e">
        <f t="shared" si="35"/>
        <v>#N/A</v>
      </c>
    </row>
    <row r="315" spans="2:20" hidden="1" x14ac:dyDescent="0.3">
      <c r="B315" s="36" t="str">
        <f t="shared" si="29"/>
        <v>-</v>
      </c>
      <c r="C315" s="49"/>
      <c r="D315" s="50"/>
      <c r="E315" s="51"/>
      <c r="F315" s="50"/>
      <c r="G315" s="50"/>
      <c r="H315" s="50"/>
      <c r="I315" s="50"/>
      <c r="J315" s="50"/>
      <c r="K315" s="50"/>
      <c r="L315" s="50"/>
      <c r="M315" s="50"/>
      <c r="N315" s="52"/>
      <c r="O315" s="40">
        <f t="shared" si="30"/>
        <v>0</v>
      </c>
      <c r="P315" s="41" t="str">
        <f t="shared" si="31"/>
        <v/>
      </c>
      <c r="Q315" s="67">
        <f t="shared" ca="1" si="33"/>
        <v>46163</v>
      </c>
      <c r="R315" s="67" t="e">
        <f t="shared" ca="1" si="34"/>
        <v>#VALUE!</v>
      </c>
      <c r="S315" s="78" t="e">
        <f t="shared" si="32"/>
        <v>#DIV/0!</v>
      </c>
      <c r="T315" s="79" t="e">
        <f t="shared" si="35"/>
        <v>#N/A</v>
      </c>
    </row>
    <row r="316" spans="2:20" hidden="1" x14ac:dyDescent="0.3">
      <c r="B316" s="36" t="str">
        <f t="shared" si="29"/>
        <v>-</v>
      </c>
      <c r="C316" s="42"/>
      <c r="D316" s="43"/>
      <c r="E316" s="44"/>
      <c r="F316" s="43"/>
      <c r="G316" s="43"/>
      <c r="H316" s="43"/>
      <c r="I316" s="43"/>
      <c r="J316" s="43"/>
      <c r="K316" s="43"/>
      <c r="L316" s="43"/>
      <c r="M316" s="43"/>
      <c r="N316" s="48"/>
      <c r="O316" s="40">
        <f t="shared" si="30"/>
        <v>0</v>
      </c>
      <c r="P316" s="41" t="str">
        <f t="shared" si="31"/>
        <v/>
      </c>
      <c r="Q316" s="67">
        <f t="shared" ca="1" si="33"/>
        <v>46163</v>
      </c>
      <c r="R316" s="67" t="e">
        <f t="shared" ca="1" si="34"/>
        <v>#VALUE!</v>
      </c>
      <c r="S316" s="78" t="e">
        <f t="shared" si="32"/>
        <v>#DIV/0!</v>
      </c>
      <c r="T316" s="79" t="e">
        <f t="shared" si="35"/>
        <v>#N/A</v>
      </c>
    </row>
    <row r="317" spans="2:20" hidden="1" x14ac:dyDescent="0.3">
      <c r="B317" s="36" t="str">
        <f t="shared" si="29"/>
        <v>-</v>
      </c>
      <c r="C317" s="49"/>
      <c r="D317" s="50"/>
      <c r="E317" s="51"/>
      <c r="F317" s="50"/>
      <c r="G317" s="50"/>
      <c r="H317" s="50"/>
      <c r="I317" s="50"/>
      <c r="J317" s="50"/>
      <c r="K317" s="50"/>
      <c r="L317" s="50"/>
      <c r="M317" s="50"/>
      <c r="N317" s="52"/>
      <c r="O317" s="40">
        <f t="shared" si="30"/>
        <v>0</v>
      </c>
      <c r="P317" s="41" t="str">
        <f t="shared" si="31"/>
        <v/>
      </c>
      <c r="Q317" s="67">
        <f t="shared" ca="1" si="33"/>
        <v>46163</v>
      </c>
      <c r="R317" s="67" t="e">
        <f t="shared" ca="1" si="34"/>
        <v>#VALUE!</v>
      </c>
      <c r="S317" s="78" t="e">
        <f t="shared" si="32"/>
        <v>#DIV/0!</v>
      </c>
      <c r="T317" s="79" t="e">
        <f t="shared" si="35"/>
        <v>#N/A</v>
      </c>
    </row>
    <row r="318" spans="2:20" hidden="1" x14ac:dyDescent="0.3">
      <c r="B318" s="36" t="str">
        <f t="shared" si="29"/>
        <v>-</v>
      </c>
      <c r="C318" s="42"/>
      <c r="D318" s="43"/>
      <c r="E318" s="44"/>
      <c r="F318" s="43"/>
      <c r="G318" s="43"/>
      <c r="H318" s="43"/>
      <c r="I318" s="43"/>
      <c r="J318" s="43"/>
      <c r="K318" s="43"/>
      <c r="L318" s="43"/>
      <c r="M318" s="43"/>
      <c r="N318" s="48"/>
      <c r="O318" s="40">
        <f t="shared" si="30"/>
        <v>0</v>
      </c>
      <c r="P318" s="41" t="str">
        <f t="shared" si="31"/>
        <v/>
      </c>
      <c r="Q318" s="67">
        <f t="shared" ca="1" si="33"/>
        <v>46163</v>
      </c>
      <c r="R318" s="67" t="e">
        <f t="shared" ca="1" si="34"/>
        <v>#VALUE!</v>
      </c>
      <c r="S318" s="78" t="e">
        <f t="shared" si="32"/>
        <v>#DIV/0!</v>
      </c>
      <c r="T318" s="79" t="e">
        <f t="shared" si="35"/>
        <v>#N/A</v>
      </c>
    </row>
    <row r="319" spans="2:20" hidden="1" x14ac:dyDescent="0.3">
      <c r="B319" s="36" t="str">
        <f t="shared" si="29"/>
        <v>-</v>
      </c>
      <c r="C319" s="49"/>
      <c r="D319" s="50"/>
      <c r="E319" s="51"/>
      <c r="F319" s="50"/>
      <c r="G319" s="50"/>
      <c r="H319" s="50"/>
      <c r="I319" s="50"/>
      <c r="J319" s="50"/>
      <c r="K319" s="50"/>
      <c r="L319" s="50"/>
      <c r="M319" s="50"/>
      <c r="N319" s="52"/>
      <c r="O319" s="40">
        <f t="shared" si="30"/>
        <v>0</v>
      </c>
      <c r="P319" s="41" t="str">
        <f t="shared" si="31"/>
        <v/>
      </c>
      <c r="Q319" s="67">
        <f t="shared" ca="1" si="33"/>
        <v>46163</v>
      </c>
      <c r="R319" s="67" t="e">
        <f t="shared" ca="1" si="34"/>
        <v>#VALUE!</v>
      </c>
      <c r="S319" s="78" t="e">
        <f t="shared" si="32"/>
        <v>#DIV/0!</v>
      </c>
      <c r="T319" s="79" t="e">
        <f t="shared" si="35"/>
        <v>#N/A</v>
      </c>
    </row>
    <row r="320" spans="2:20" hidden="1" x14ac:dyDescent="0.3">
      <c r="B320" s="36" t="str">
        <f t="shared" si="29"/>
        <v>-</v>
      </c>
      <c r="C320" s="42"/>
      <c r="D320" s="43"/>
      <c r="E320" s="44"/>
      <c r="F320" s="43"/>
      <c r="G320" s="43"/>
      <c r="H320" s="43"/>
      <c r="I320" s="43"/>
      <c r="J320" s="43"/>
      <c r="K320" s="43"/>
      <c r="L320" s="43"/>
      <c r="M320" s="43"/>
      <c r="N320" s="48"/>
      <c r="O320" s="40">
        <f t="shared" si="30"/>
        <v>0</v>
      </c>
      <c r="P320" s="41" t="str">
        <f t="shared" si="31"/>
        <v/>
      </c>
      <c r="Q320" s="67">
        <f t="shared" ca="1" si="33"/>
        <v>46163</v>
      </c>
      <c r="R320" s="67" t="e">
        <f t="shared" ca="1" si="34"/>
        <v>#VALUE!</v>
      </c>
      <c r="S320" s="78" t="e">
        <f t="shared" si="32"/>
        <v>#DIV/0!</v>
      </c>
      <c r="T320" s="79" t="e">
        <f t="shared" si="35"/>
        <v>#N/A</v>
      </c>
    </row>
    <row r="321" spans="2:20" hidden="1" x14ac:dyDescent="0.3">
      <c r="B321" s="36" t="str">
        <f t="shared" si="29"/>
        <v>-</v>
      </c>
      <c r="C321" s="49"/>
      <c r="D321" s="50"/>
      <c r="E321" s="51"/>
      <c r="F321" s="50"/>
      <c r="G321" s="50"/>
      <c r="H321" s="50"/>
      <c r="I321" s="50"/>
      <c r="J321" s="50"/>
      <c r="K321" s="50"/>
      <c r="L321" s="50"/>
      <c r="M321" s="50"/>
      <c r="N321" s="52"/>
      <c r="O321" s="40">
        <f t="shared" si="30"/>
        <v>0</v>
      </c>
      <c r="P321" s="41" t="str">
        <f t="shared" si="31"/>
        <v/>
      </c>
      <c r="Q321" s="67">
        <f t="shared" ca="1" si="33"/>
        <v>46163</v>
      </c>
      <c r="R321" s="67" t="e">
        <f t="shared" ca="1" si="34"/>
        <v>#VALUE!</v>
      </c>
      <c r="S321" s="78" t="e">
        <f t="shared" si="32"/>
        <v>#DIV/0!</v>
      </c>
      <c r="T321" s="79" t="e">
        <f t="shared" si="35"/>
        <v>#N/A</v>
      </c>
    </row>
    <row r="322" spans="2:20" hidden="1" x14ac:dyDescent="0.3">
      <c r="B322" s="36" t="str">
        <f t="shared" ref="B322:B385" si="36">CONCATENATE(H322,"-",K322)</f>
        <v>-</v>
      </c>
      <c r="C322" s="42"/>
      <c r="D322" s="43"/>
      <c r="E322" s="44"/>
      <c r="F322" s="43"/>
      <c r="G322" s="43"/>
      <c r="H322" s="43"/>
      <c r="I322" s="43"/>
      <c r="J322" s="43"/>
      <c r="K322" s="43"/>
      <c r="L322" s="43"/>
      <c r="M322" s="43"/>
      <c r="N322" s="48"/>
      <c r="O322" s="40">
        <f t="shared" ref="O322:O385" si="37">IFERROR(E322*N322,"")</f>
        <v>0</v>
      </c>
      <c r="P322" s="41" t="str">
        <f t="shared" ref="P322:P385" si="38">IFERROR(SUMIFS(O:O,B:B,B322)/SUMIFS(N:N,B:B,B322),"")</f>
        <v/>
      </c>
      <c r="Q322" s="67">
        <f t="shared" ca="1" si="33"/>
        <v>46163</v>
      </c>
      <c r="R322" s="67" t="e">
        <f t="shared" ca="1" si="34"/>
        <v>#VALUE!</v>
      </c>
      <c r="S322" s="78" t="e">
        <f t="shared" ref="S322:S385" si="39">SUMIFS(N:N,B:B,B322,M:M,M322)/SUMIFS(N:N,B:B,B322)</f>
        <v>#DIV/0!</v>
      </c>
      <c r="T322" s="79" t="e">
        <f t="shared" si="35"/>
        <v>#N/A</v>
      </c>
    </row>
    <row r="323" spans="2:20" hidden="1" x14ac:dyDescent="0.3">
      <c r="B323" s="36" t="str">
        <f t="shared" si="36"/>
        <v>-</v>
      </c>
      <c r="C323" s="49"/>
      <c r="D323" s="50"/>
      <c r="E323" s="51"/>
      <c r="F323" s="50"/>
      <c r="G323" s="50"/>
      <c r="H323" s="50"/>
      <c r="I323" s="50"/>
      <c r="J323" s="50"/>
      <c r="K323" s="50"/>
      <c r="L323" s="50"/>
      <c r="M323" s="50"/>
      <c r="N323" s="52"/>
      <c r="O323" s="40">
        <f t="shared" si="37"/>
        <v>0</v>
      </c>
      <c r="P323" s="41" t="str">
        <f t="shared" si="38"/>
        <v/>
      </c>
      <c r="Q323" s="67">
        <f t="shared" ref="Q323:Q386" ca="1" si="40">TODAY()-E323</f>
        <v>46163</v>
      </c>
      <c r="R323" s="67" t="e">
        <f t="shared" ref="R323:R386" ca="1" si="41">TODAY()-P323</f>
        <v>#VALUE!</v>
      </c>
      <c r="S323" s="78" t="e">
        <f t="shared" si="39"/>
        <v>#DIV/0!</v>
      </c>
      <c r="T323" s="79" t="e">
        <f t="shared" si="35"/>
        <v>#N/A</v>
      </c>
    </row>
    <row r="324" spans="2:20" hidden="1" x14ac:dyDescent="0.3">
      <c r="B324" s="36" t="str">
        <f t="shared" si="36"/>
        <v>-</v>
      </c>
      <c r="C324" s="42"/>
      <c r="D324" s="43"/>
      <c r="E324" s="44"/>
      <c r="F324" s="43"/>
      <c r="G324" s="43"/>
      <c r="H324" s="43"/>
      <c r="I324" s="43"/>
      <c r="J324" s="43"/>
      <c r="K324" s="43"/>
      <c r="L324" s="43"/>
      <c r="M324" s="43"/>
      <c r="N324" s="48"/>
      <c r="O324" s="40">
        <f t="shared" si="37"/>
        <v>0</v>
      </c>
      <c r="P324" s="41" t="str">
        <f t="shared" si="38"/>
        <v/>
      </c>
      <c r="Q324" s="67">
        <f t="shared" ca="1" si="40"/>
        <v>46163</v>
      </c>
      <c r="R324" s="67" t="e">
        <f t="shared" ca="1" si="41"/>
        <v>#VALUE!</v>
      </c>
      <c r="S324" s="78" t="e">
        <f t="shared" si="39"/>
        <v>#DIV/0!</v>
      </c>
      <c r="T324" s="79" t="e">
        <f t="shared" si="35"/>
        <v>#N/A</v>
      </c>
    </row>
    <row r="325" spans="2:20" hidden="1" x14ac:dyDescent="0.3">
      <c r="B325" s="36" t="str">
        <f t="shared" si="36"/>
        <v>-</v>
      </c>
      <c r="C325" s="49"/>
      <c r="D325" s="50"/>
      <c r="E325" s="51"/>
      <c r="F325" s="50"/>
      <c r="G325" s="50"/>
      <c r="H325" s="50"/>
      <c r="I325" s="50"/>
      <c r="J325" s="50"/>
      <c r="K325" s="50"/>
      <c r="L325" s="50"/>
      <c r="M325" s="50"/>
      <c r="N325" s="52"/>
      <c r="O325" s="40">
        <f t="shared" si="37"/>
        <v>0</v>
      </c>
      <c r="P325" s="41" t="str">
        <f t="shared" si="38"/>
        <v/>
      </c>
      <c r="Q325" s="67">
        <f t="shared" ca="1" si="40"/>
        <v>46163</v>
      </c>
      <c r="R325" s="67" t="e">
        <f t="shared" ca="1" si="41"/>
        <v>#VALUE!</v>
      </c>
      <c r="S325" s="78" t="e">
        <f t="shared" si="39"/>
        <v>#DIV/0!</v>
      </c>
      <c r="T325" s="79" t="e">
        <f t="shared" si="35"/>
        <v>#N/A</v>
      </c>
    </row>
    <row r="326" spans="2:20" hidden="1" x14ac:dyDescent="0.3">
      <c r="B326" s="36" t="str">
        <f t="shared" si="36"/>
        <v>-</v>
      </c>
      <c r="C326" s="42"/>
      <c r="D326" s="43"/>
      <c r="E326" s="44"/>
      <c r="F326" s="43"/>
      <c r="G326" s="43"/>
      <c r="H326" s="43"/>
      <c r="I326" s="43"/>
      <c r="J326" s="43"/>
      <c r="K326" s="43"/>
      <c r="L326" s="43"/>
      <c r="M326" s="43"/>
      <c r="N326" s="48"/>
      <c r="O326" s="40">
        <f t="shared" si="37"/>
        <v>0</v>
      </c>
      <c r="P326" s="41" t="str">
        <f t="shared" si="38"/>
        <v/>
      </c>
      <c r="Q326" s="67">
        <f t="shared" ca="1" si="40"/>
        <v>46163</v>
      </c>
      <c r="R326" s="67" t="e">
        <f t="shared" ca="1" si="41"/>
        <v>#VALUE!</v>
      </c>
      <c r="S326" s="78" t="e">
        <f t="shared" si="39"/>
        <v>#DIV/0!</v>
      </c>
      <c r="T326" s="79" t="e">
        <f t="shared" si="35"/>
        <v>#N/A</v>
      </c>
    </row>
    <row r="327" spans="2:20" hidden="1" x14ac:dyDescent="0.3">
      <c r="B327" s="36" t="str">
        <f t="shared" si="36"/>
        <v>-</v>
      </c>
      <c r="C327" s="49"/>
      <c r="D327" s="50"/>
      <c r="E327" s="51"/>
      <c r="F327" s="50"/>
      <c r="G327" s="50"/>
      <c r="H327" s="50"/>
      <c r="I327" s="50"/>
      <c r="J327" s="50"/>
      <c r="K327" s="50"/>
      <c r="L327" s="50"/>
      <c r="M327" s="50"/>
      <c r="N327" s="52"/>
      <c r="O327" s="40">
        <f t="shared" si="37"/>
        <v>0</v>
      </c>
      <c r="P327" s="41" t="str">
        <f t="shared" si="38"/>
        <v/>
      </c>
      <c r="Q327" s="67">
        <f t="shared" ca="1" si="40"/>
        <v>46163</v>
      </c>
      <c r="R327" s="67" t="e">
        <f t="shared" ca="1" si="41"/>
        <v>#VALUE!</v>
      </c>
      <c r="S327" s="78" t="e">
        <f t="shared" si="39"/>
        <v>#DIV/0!</v>
      </c>
      <c r="T327" s="79" t="e">
        <f t="shared" si="35"/>
        <v>#N/A</v>
      </c>
    </row>
    <row r="328" spans="2:20" hidden="1" x14ac:dyDescent="0.3">
      <c r="B328" s="36" t="str">
        <f t="shared" si="36"/>
        <v>-</v>
      </c>
      <c r="C328" s="42"/>
      <c r="D328" s="43"/>
      <c r="E328" s="44"/>
      <c r="F328" s="43"/>
      <c r="G328" s="43"/>
      <c r="H328" s="43"/>
      <c r="I328" s="43"/>
      <c r="J328" s="43"/>
      <c r="K328" s="43"/>
      <c r="L328" s="43"/>
      <c r="M328" s="43"/>
      <c r="N328" s="48"/>
      <c r="O328" s="40">
        <f t="shared" si="37"/>
        <v>0</v>
      </c>
      <c r="P328" s="41" t="str">
        <f t="shared" si="38"/>
        <v/>
      </c>
      <c r="Q328" s="67">
        <f t="shared" ca="1" si="40"/>
        <v>46163</v>
      </c>
      <c r="R328" s="67" t="e">
        <f t="shared" ca="1" si="41"/>
        <v>#VALUE!</v>
      </c>
      <c r="S328" s="78" t="e">
        <f t="shared" si="39"/>
        <v>#DIV/0!</v>
      </c>
      <c r="T328" s="79" t="e">
        <f t="shared" si="35"/>
        <v>#N/A</v>
      </c>
    </row>
    <row r="329" spans="2:20" hidden="1" x14ac:dyDescent="0.3">
      <c r="B329" s="36" t="str">
        <f t="shared" si="36"/>
        <v>-</v>
      </c>
      <c r="C329" s="49"/>
      <c r="D329" s="50"/>
      <c r="E329" s="51"/>
      <c r="F329" s="50"/>
      <c r="G329" s="50"/>
      <c r="H329" s="50"/>
      <c r="I329" s="50"/>
      <c r="J329" s="50"/>
      <c r="K329" s="50"/>
      <c r="L329" s="50"/>
      <c r="M329" s="50"/>
      <c r="N329" s="52"/>
      <c r="O329" s="40">
        <f t="shared" si="37"/>
        <v>0</v>
      </c>
      <c r="P329" s="41" t="str">
        <f t="shared" si="38"/>
        <v/>
      </c>
      <c r="Q329" s="67">
        <f t="shared" ca="1" si="40"/>
        <v>46163</v>
      </c>
      <c r="R329" s="67" t="e">
        <f t="shared" ca="1" si="41"/>
        <v>#VALUE!</v>
      </c>
      <c r="S329" s="78" t="e">
        <f t="shared" si="39"/>
        <v>#DIV/0!</v>
      </c>
      <c r="T329" s="79" t="e">
        <f t="shared" si="35"/>
        <v>#N/A</v>
      </c>
    </row>
    <row r="330" spans="2:20" hidden="1" x14ac:dyDescent="0.3">
      <c r="B330" s="36" t="str">
        <f t="shared" si="36"/>
        <v>-</v>
      </c>
      <c r="C330" s="42"/>
      <c r="D330" s="43"/>
      <c r="E330" s="44"/>
      <c r="F330" s="43"/>
      <c r="G330" s="43"/>
      <c r="H330" s="43"/>
      <c r="I330" s="43"/>
      <c r="J330" s="43"/>
      <c r="K330" s="43"/>
      <c r="L330" s="43"/>
      <c r="M330" s="43"/>
      <c r="N330" s="48"/>
      <c r="O330" s="40">
        <f t="shared" si="37"/>
        <v>0</v>
      </c>
      <c r="P330" s="41" t="str">
        <f t="shared" si="38"/>
        <v/>
      </c>
      <c r="Q330" s="67">
        <f t="shared" ca="1" si="40"/>
        <v>46163</v>
      </c>
      <c r="R330" s="67" t="e">
        <f t="shared" ca="1" si="41"/>
        <v>#VALUE!</v>
      </c>
      <c r="S330" s="78" t="e">
        <f t="shared" si="39"/>
        <v>#DIV/0!</v>
      </c>
      <c r="T330" s="79" t="e">
        <f t="shared" si="35"/>
        <v>#N/A</v>
      </c>
    </row>
    <row r="331" spans="2:20" hidden="1" x14ac:dyDescent="0.3">
      <c r="B331" s="36" t="str">
        <f t="shared" si="36"/>
        <v>-</v>
      </c>
      <c r="C331" s="49"/>
      <c r="D331" s="50"/>
      <c r="E331" s="51"/>
      <c r="F331" s="50"/>
      <c r="G331" s="50"/>
      <c r="H331" s="50"/>
      <c r="I331" s="50"/>
      <c r="J331" s="50"/>
      <c r="K331" s="50"/>
      <c r="L331" s="50"/>
      <c r="M331" s="50"/>
      <c r="N331" s="52"/>
      <c r="O331" s="40">
        <f t="shared" si="37"/>
        <v>0</v>
      </c>
      <c r="P331" s="41" t="str">
        <f t="shared" si="38"/>
        <v/>
      </c>
      <c r="Q331" s="67">
        <f t="shared" ca="1" si="40"/>
        <v>46163</v>
      </c>
      <c r="R331" s="67" t="e">
        <f t="shared" ca="1" si="41"/>
        <v>#VALUE!</v>
      </c>
      <c r="S331" s="78" t="e">
        <f t="shared" si="39"/>
        <v>#DIV/0!</v>
      </c>
      <c r="T331" s="79" t="e">
        <f t="shared" si="35"/>
        <v>#N/A</v>
      </c>
    </row>
    <row r="332" spans="2:20" hidden="1" x14ac:dyDescent="0.3">
      <c r="B332" s="36" t="str">
        <f t="shared" si="36"/>
        <v>-</v>
      </c>
      <c r="C332" s="42"/>
      <c r="D332" s="43"/>
      <c r="E332" s="44"/>
      <c r="F332" s="43"/>
      <c r="G332" s="43"/>
      <c r="H332" s="43"/>
      <c r="I332" s="43"/>
      <c r="J332" s="43"/>
      <c r="K332" s="43"/>
      <c r="L332" s="43"/>
      <c r="M332" s="43"/>
      <c r="N332" s="48"/>
      <c r="O332" s="40">
        <f t="shared" si="37"/>
        <v>0</v>
      </c>
      <c r="P332" s="41" t="str">
        <f t="shared" si="38"/>
        <v/>
      </c>
      <c r="Q332" s="67">
        <f t="shared" ca="1" si="40"/>
        <v>46163</v>
      </c>
      <c r="R332" s="67" t="e">
        <f t="shared" ca="1" si="41"/>
        <v>#VALUE!</v>
      </c>
      <c r="S332" s="78" t="e">
        <f t="shared" si="39"/>
        <v>#DIV/0!</v>
      </c>
      <c r="T332" s="79" t="e">
        <f t="shared" si="35"/>
        <v>#N/A</v>
      </c>
    </row>
    <row r="333" spans="2:20" hidden="1" x14ac:dyDescent="0.3">
      <c r="B333" s="36" t="str">
        <f t="shared" si="36"/>
        <v>-</v>
      </c>
      <c r="C333" s="49"/>
      <c r="D333" s="50"/>
      <c r="E333" s="51"/>
      <c r="F333" s="50"/>
      <c r="G333" s="50"/>
      <c r="H333" s="50"/>
      <c r="I333" s="50"/>
      <c r="J333" s="50"/>
      <c r="K333" s="50"/>
      <c r="L333" s="50"/>
      <c r="M333" s="50"/>
      <c r="N333" s="52"/>
      <c r="O333" s="40">
        <f t="shared" si="37"/>
        <v>0</v>
      </c>
      <c r="P333" s="41" t="str">
        <f t="shared" si="38"/>
        <v/>
      </c>
      <c r="Q333" s="67">
        <f t="shared" ca="1" si="40"/>
        <v>46163</v>
      </c>
      <c r="R333" s="67" t="e">
        <f t="shared" ca="1" si="41"/>
        <v>#VALUE!</v>
      </c>
      <c r="S333" s="78" t="e">
        <f t="shared" si="39"/>
        <v>#DIV/0!</v>
      </c>
      <c r="T333" s="79" t="e">
        <f t="shared" si="35"/>
        <v>#N/A</v>
      </c>
    </row>
    <row r="334" spans="2:20" hidden="1" x14ac:dyDescent="0.3">
      <c r="B334" s="36" t="str">
        <f t="shared" si="36"/>
        <v>-</v>
      </c>
      <c r="C334" s="42"/>
      <c r="D334" s="43"/>
      <c r="E334" s="44"/>
      <c r="F334" s="43"/>
      <c r="G334" s="43"/>
      <c r="H334" s="43"/>
      <c r="I334" s="43"/>
      <c r="J334" s="43"/>
      <c r="K334" s="43"/>
      <c r="L334" s="43"/>
      <c r="M334" s="43"/>
      <c r="N334" s="48"/>
      <c r="O334" s="40">
        <f t="shared" si="37"/>
        <v>0</v>
      </c>
      <c r="P334" s="41" t="str">
        <f t="shared" si="38"/>
        <v/>
      </c>
      <c r="Q334" s="67">
        <f t="shared" ca="1" si="40"/>
        <v>46163</v>
      </c>
      <c r="R334" s="67" t="e">
        <f t="shared" ca="1" si="41"/>
        <v>#VALUE!</v>
      </c>
      <c r="S334" s="78" t="e">
        <f t="shared" si="39"/>
        <v>#DIV/0!</v>
      </c>
      <c r="T334" s="79" t="e">
        <f t="shared" si="35"/>
        <v>#N/A</v>
      </c>
    </row>
    <row r="335" spans="2:20" hidden="1" x14ac:dyDescent="0.3">
      <c r="B335" s="36" t="str">
        <f t="shared" si="36"/>
        <v>-</v>
      </c>
      <c r="C335" s="49"/>
      <c r="D335" s="50"/>
      <c r="E335" s="51"/>
      <c r="F335" s="50"/>
      <c r="G335" s="50"/>
      <c r="H335" s="50"/>
      <c r="I335" s="50"/>
      <c r="J335" s="50"/>
      <c r="K335" s="50"/>
      <c r="L335" s="50"/>
      <c r="M335" s="50"/>
      <c r="N335" s="52"/>
      <c r="O335" s="40">
        <f t="shared" si="37"/>
        <v>0</v>
      </c>
      <c r="P335" s="41" t="str">
        <f t="shared" si="38"/>
        <v/>
      </c>
      <c r="Q335" s="67">
        <f t="shared" ca="1" si="40"/>
        <v>46163</v>
      </c>
      <c r="R335" s="67" t="e">
        <f t="shared" ca="1" si="41"/>
        <v>#VALUE!</v>
      </c>
      <c r="S335" s="78" t="e">
        <f t="shared" si="39"/>
        <v>#DIV/0!</v>
      </c>
      <c r="T335" s="79" t="e">
        <f t="shared" si="35"/>
        <v>#N/A</v>
      </c>
    </row>
    <row r="336" spans="2:20" hidden="1" x14ac:dyDescent="0.3">
      <c r="B336" s="36" t="str">
        <f t="shared" si="36"/>
        <v>-</v>
      </c>
      <c r="C336" s="42"/>
      <c r="D336" s="43"/>
      <c r="E336" s="44"/>
      <c r="F336" s="43"/>
      <c r="G336" s="43"/>
      <c r="H336" s="43"/>
      <c r="I336" s="43"/>
      <c r="J336" s="43"/>
      <c r="K336" s="43"/>
      <c r="L336" s="43"/>
      <c r="M336" s="43"/>
      <c r="N336" s="48"/>
      <c r="O336" s="40">
        <f t="shared" si="37"/>
        <v>0</v>
      </c>
      <c r="P336" s="41" t="str">
        <f t="shared" si="38"/>
        <v/>
      </c>
      <c r="Q336" s="67">
        <f t="shared" ca="1" si="40"/>
        <v>46163</v>
      </c>
      <c r="R336" s="67" t="e">
        <f t="shared" ca="1" si="41"/>
        <v>#VALUE!</v>
      </c>
      <c r="S336" s="78" t="e">
        <f t="shared" si="39"/>
        <v>#DIV/0!</v>
      </c>
      <c r="T336" s="79" t="e">
        <f t="shared" si="35"/>
        <v>#N/A</v>
      </c>
    </row>
    <row r="337" spans="2:20" hidden="1" x14ac:dyDescent="0.3">
      <c r="B337" s="36" t="str">
        <f t="shared" si="36"/>
        <v>-</v>
      </c>
      <c r="C337" s="49"/>
      <c r="D337" s="50"/>
      <c r="E337" s="51"/>
      <c r="F337" s="50"/>
      <c r="G337" s="50"/>
      <c r="H337" s="50"/>
      <c r="I337" s="50"/>
      <c r="J337" s="50"/>
      <c r="K337" s="50"/>
      <c r="L337" s="50"/>
      <c r="M337" s="50"/>
      <c r="N337" s="52"/>
      <c r="O337" s="40">
        <f t="shared" si="37"/>
        <v>0</v>
      </c>
      <c r="P337" s="41" t="str">
        <f t="shared" si="38"/>
        <v/>
      </c>
      <c r="Q337" s="67">
        <f t="shared" ca="1" si="40"/>
        <v>46163</v>
      </c>
      <c r="R337" s="67" t="e">
        <f t="shared" ca="1" si="41"/>
        <v>#VALUE!</v>
      </c>
      <c r="S337" s="78" t="e">
        <f t="shared" si="39"/>
        <v>#DIV/0!</v>
      </c>
      <c r="T337" s="79" t="e">
        <f t="shared" ref="T337:T400" si="42">_xlfn.XLOOKUP(_xlfn.MAXIFS(S:S,H:H,H337,K:K,K337),S:S,M:M)</f>
        <v>#N/A</v>
      </c>
    </row>
    <row r="338" spans="2:20" hidden="1" x14ac:dyDescent="0.3">
      <c r="B338" s="36" t="str">
        <f t="shared" si="36"/>
        <v>-</v>
      </c>
      <c r="C338" s="42"/>
      <c r="D338" s="43"/>
      <c r="E338" s="44"/>
      <c r="F338" s="43"/>
      <c r="G338" s="43"/>
      <c r="H338" s="43"/>
      <c r="I338" s="43"/>
      <c r="J338" s="43"/>
      <c r="K338" s="43"/>
      <c r="L338" s="43"/>
      <c r="M338" s="43"/>
      <c r="N338" s="48"/>
      <c r="O338" s="40">
        <f t="shared" si="37"/>
        <v>0</v>
      </c>
      <c r="P338" s="41" t="str">
        <f t="shared" si="38"/>
        <v/>
      </c>
      <c r="Q338" s="67">
        <f t="shared" ca="1" si="40"/>
        <v>46163</v>
      </c>
      <c r="R338" s="67" t="e">
        <f t="shared" ca="1" si="41"/>
        <v>#VALUE!</v>
      </c>
      <c r="S338" s="78" t="e">
        <f t="shared" si="39"/>
        <v>#DIV/0!</v>
      </c>
      <c r="T338" s="79" t="e">
        <f t="shared" si="42"/>
        <v>#N/A</v>
      </c>
    </row>
    <row r="339" spans="2:20" hidden="1" x14ac:dyDescent="0.3">
      <c r="B339" s="36" t="str">
        <f t="shared" si="36"/>
        <v>-</v>
      </c>
      <c r="C339" s="49"/>
      <c r="D339" s="50"/>
      <c r="E339" s="51"/>
      <c r="F339" s="50"/>
      <c r="G339" s="50"/>
      <c r="H339" s="50"/>
      <c r="I339" s="50"/>
      <c r="J339" s="50"/>
      <c r="K339" s="50"/>
      <c r="L339" s="50"/>
      <c r="M339" s="50"/>
      <c r="N339" s="52"/>
      <c r="O339" s="40">
        <f t="shared" si="37"/>
        <v>0</v>
      </c>
      <c r="P339" s="41" t="str">
        <f t="shared" si="38"/>
        <v/>
      </c>
      <c r="Q339" s="67">
        <f t="shared" ca="1" si="40"/>
        <v>46163</v>
      </c>
      <c r="R339" s="67" t="e">
        <f t="shared" ca="1" si="41"/>
        <v>#VALUE!</v>
      </c>
      <c r="S339" s="78" t="e">
        <f t="shared" si="39"/>
        <v>#DIV/0!</v>
      </c>
      <c r="T339" s="79" t="e">
        <f t="shared" si="42"/>
        <v>#N/A</v>
      </c>
    </row>
    <row r="340" spans="2:20" hidden="1" x14ac:dyDescent="0.3">
      <c r="B340" s="36" t="str">
        <f t="shared" si="36"/>
        <v>-</v>
      </c>
      <c r="C340" s="42"/>
      <c r="D340" s="43"/>
      <c r="E340" s="44"/>
      <c r="F340" s="43"/>
      <c r="G340" s="43"/>
      <c r="H340" s="43"/>
      <c r="I340" s="43"/>
      <c r="J340" s="43"/>
      <c r="K340" s="43"/>
      <c r="L340" s="43"/>
      <c r="M340" s="43"/>
      <c r="N340" s="48"/>
      <c r="O340" s="40">
        <f t="shared" si="37"/>
        <v>0</v>
      </c>
      <c r="P340" s="41" t="str">
        <f t="shared" si="38"/>
        <v/>
      </c>
      <c r="Q340" s="67">
        <f t="shared" ca="1" si="40"/>
        <v>46163</v>
      </c>
      <c r="R340" s="67" t="e">
        <f t="shared" ca="1" si="41"/>
        <v>#VALUE!</v>
      </c>
      <c r="S340" s="78" t="e">
        <f t="shared" si="39"/>
        <v>#DIV/0!</v>
      </c>
      <c r="T340" s="79" t="e">
        <f t="shared" si="42"/>
        <v>#N/A</v>
      </c>
    </row>
    <row r="341" spans="2:20" hidden="1" x14ac:dyDescent="0.3">
      <c r="B341" s="36" t="str">
        <f t="shared" si="36"/>
        <v>-</v>
      </c>
      <c r="C341" s="49"/>
      <c r="D341" s="50"/>
      <c r="E341" s="51"/>
      <c r="F341" s="50"/>
      <c r="G341" s="50"/>
      <c r="H341" s="50"/>
      <c r="I341" s="50"/>
      <c r="J341" s="50"/>
      <c r="K341" s="50"/>
      <c r="L341" s="50"/>
      <c r="M341" s="50"/>
      <c r="N341" s="52"/>
      <c r="O341" s="40">
        <f t="shared" si="37"/>
        <v>0</v>
      </c>
      <c r="P341" s="41" t="str">
        <f t="shared" si="38"/>
        <v/>
      </c>
      <c r="Q341" s="67">
        <f t="shared" ca="1" si="40"/>
        <v>46163</v>
      </c>
      <c r="R341" s="67" t="e">
        <f t="shared" ca="1" si="41"/>
        <v>#VALUE!</v>
      </c>
      <c r="S341" s="78" t="e">
        <f t="shared" si="39"/>
        <v>#DIV/0!</v>
      </c>
      <c r="T341" s="79" t="e">
        <f t="shared" si="42"/>
        <v>#N/A</v>
      </c>
    </row>
    <row r="342" spans="2:20" hidden="1" x14ac:dyDescent="0.3">
      <c r="B342" s="36" t="str">
        <f t="shared" si="36"/>
        <v>-</v>
      </c>
      <c r="C342" s="42"/>
      <c r="D342" s="43"/>
      <c r="E342" s="44"/>
      <c r="F342" s="43"/>
      <c r="G342" s="43"/>
      <c r="H342" s="43"/>
      <c r="I342" s="43"/>
      <c r="J342" s="43"/>
      <c r="K342" s="43"/>
      <c r="L342" s="43"/>
      <c r="M342" s="43"/>
      <c r="N342" s="48"/>
      <c r="O342" s="40">
        <f t="shared" si="37"/>
        <v>0</v>
      </c>
      <c r="P342" s="41" t="str">
        <f t="shared" si="38"/>
        <v/>
      </c>
      <c r="Q342" s="67">
        <f t="shared" ca="1" si="40"/>
        <v>46163</v>
      </c>
      <c r="R342" s="67" t="e">
        <f t="shared" ca="1" si="41"/>
        <v>#VALUE!</v>
      </c>
      <c r="S342" s="78" t="e">
        <f t="shared" si="39"/>
        <v>#DIV/0!</v>
      </c>
      <c r="T342" s="79" t="e">
        <f t="shared" si="42"/>
        <v>#N/A</v>
      </c>
    </row>
    <row r="343" spans="2:20" hidden="1" x14ac:dyDescent="0.3">
      <c r="B343" s="36" t="str">
        <f t="shared" si="36"/>
        <v>-</v>
      </c>
      <c r="C343" s="49"/>
      <c r="D343" s="50"/>
      <c r="E343" s="51"/>
      <c r="F343" s="50"/>
      <c r="G343" s="50"/>
      <c r="H343" s="50"/>
      <c r="I343" s="50"/>
      <c r="J343" s="50"/>
      <c r="K343" s="50"/>
      <c r="L343" s="50"/>
      <c r="M343" s="50"/>
      <c r="N343" s="52"/>
      <c r="O343" s="40">
        <f t="shared" si="37"/>
        <v>0</v>
      </c>
      <c r="P343" s="41" t="str">
        <f t="shared" si="38"/>
        <v/>
      </c>
      <c r="Q343" s="67">
        <f t="shared" ca="1" si="40"/>
        <v>46163</v>
      </c>
      <c r="R343" s="67" t="e">
        <f t="shared" ca="1" si="41"/>
        <v>#VALUE!</v>
      </c>
      <c r="S343" s="78" t="e">
        <f t="shared" si="39"/>
        <v>#DIV/0!</v>
      </c>
      <c r="T343" s="79" t="e">
        <f t="shared" si="42"/>
        <v>#N/A</v>
      </c>
    </row>
    <row r="344" spans="2:20" hidden="1" x14ac:dyDescent="0.3">
      <c r="B344" s="36" t="str">
        <f t="shared" si="36"/>
        <v>-</v>
      </c>
      <c r="C344" s="42"/>
      <c r="D344" s="43"/>
      <c r="E344" s="44"/>
      <c r="F344" s="43"/>
      <c r="G344" s="43"/>
      <c r="H344" s="43"/>
      <c r="I344" s="43"/>
      <c r="J344" s="43"/>
      <c r="K344" s="43"/>
      <c r="L344" s="43"/>
      <c r="M344" s="43"/>
      <c r="N344" s="48"/>
      <c r="O344" s="40">
        <f t="shared" si="37"/>
        <v>0</v>
      </c>
      <c r="P344" s="41" t="str">
        <f t="shared" si="38"/>
        <v/>
      </c>
      <c r="Q344" s="67">
        <f t="shared" ca="1" si="40"/>
        <v>46163</v>
      </c>
      <c r="R344" s="67" t="e">
        <f t="shared" ca="1" si="41"/>
        <v>#VALUE!</v>
      </c>
      <c r="S344" s="78" t="e">
        <f t="shared" si="39"/>
        <v>#DIV/0!</v>
      </c>
      <c r="T344" s="79" t="e">
        <f t="shared" si="42"/>
        <v>#N/A</v>
      </c>
    </row>
    <row r="345" spans="2:20" hidden="1" x14ac:dyDescent="0.3">
      <c r="B345" s="36" t="str">
        <f t="shared" si="36"/>
        <v>-</v>
      </c>
      <c r="C345" s="49"/>
      <c r="D345" s="50"/>
      <c r="E345" s="51"/>
      <c r="F345" s="50"/>
      <c r="G345" s="50"/>
      <c r="H345" s="50"/>
      <c r="I345" s="50"/>
      <c r="J345" s="50"/>
      <c r="K345" s="50"/>
      <c r="L345" s="50"/>
      <c r="M345" s="50"/>
      <c r="N345" s="52"/>
      <c r="O345" s="40">
        <f t="shared" si="37"/>
        <v>0</v>
      </c>
      <c r="P345" s="41" t="str">
        <f t="shared" si="38"/>
        <v/>
      </c>
      <c r="Q345" s="67">
        <f t="shared" ca="1" si="40"/>
        <v>46163</v>
      </c>
      <c r="R345" s="67" t="e">
        <f t="shared" ca="1" si="41"/>
        <v>#VALUE!</v>
      </c>
      <c r="S345" s="78" t="e">
        <f t="shared" si="39"/>
        <v>#DIV/0!</v>
      </c>
      <c r="T345" s="79" t="e">
        <f t="shared" si="42"/>
        <v>#N/A</v>
      </c>
    </row>
    <row r="346" spans="2:20" hidden="1" x14ac:dyDescent="0.3">
      <c r="B346" s="36" t="str">
        <f t="shared" si="36"/>
        <v>-</v>
      </c>
      <c r="C346" s="42"/>
      <c r="D346" s="43"/>
      <c r="E346" s="44"/>
      <c r="F346" s="43"/>
      <c r="G346" s="43"/>
      <c r="H346" s="43"/>
      <c r="I346" s="43"/>
      <c r="J346" s="43"/>
      <c r="K346" s="43"/>
      <c r="L346" s="43"/>
      <c r="M346" s="43"/>
      <c r="N346" s="48"/>
      <c r="O346" s="40">
        <f t="shared" si="37"/>
        <v>0</v>
      </c>
      <c r="P346" s="41" t="str">
        <f t="shared" si="38"/>
        <v/>
      </c>
      <c r="Q346" s="67">
        <f t="shared" ca="1" si="40"/>
        <v>46163</v>
      </c>
      <c r="R346" s="67" t="e">
        <f t="shared" ca="1" si="41"/>
        <v>#VALUE!</v>
      </c>
      <c r="S346" s="78" t="e">
        <f t="shared" si="39"/>
        <v>#DIV/0!</v>
      </c>
      <c r="T346" s="79" t="e">
        <f t="shared" si="42"/>
        <v>#N/A</v>
      </c>
    </row>
    <row r="347" spans="2:20" hidden="1" x14ac:dyDescent="0.3">
      <c r="B347" s="36" t="str">
        <f t="shared" si="36"/>
        <v>-</v>
      </c>
      <c r="C347" s="49"/>
      <c r="D347" s="50"/>
      <c r="E347" s="51"/>
      <c r="F347" s="50"/>
      <c r="G347" s="50"/>
      <c r="H347" s="50"/>
      <c r="I347" s="50"/>
      <c r="J347" s="50"/>
      <c r="K347" s="50"/>
      <c r="L347" s="50"/>
      <c r="M347" s="50"/>
      <c r="N347" s="52"/>
      <c r="O347" s="40">
        <f t="shared" si="37"/>
        <v>0</v>
      </c>
      <c r="P347" s="41" t="str">
        <f t="shared" si="38"/>
        <v/>
      </c>
      <c r="Q347" s="67">
        <f t="shared" ca="1" si="40"/>
        <v>46163</v>
      </c>
      <c r="R347" s="67" t="e">
        <f t="shared" ca="1" si="41"/>
        <v>#VALUE!</v>
      </c>
      <c r="S347" s="78" t="e">
        <f t="shared" si="39"/>
        <v>#DIV/0!</v>
      </c>
      <c r="T347" s="79" t="e">
        <f t="shared" si="42"/>
        <v>#N/A</v>
      </c>
    </row>
    <row r="348" spans="2:20" hidden="1" x14ac:dyDescent="0.3">
      <c r="B348" s="36" t="str">
        <f t="shared" si="36"/>
        <v>-</v>
      </c>
      <c r="C348" s="42"/>
      <c r="D348" s="43"/>
      <c r="E348" s="44"/>
      <c r="F348" s="43"/>
      <c r="G348" s="43"/>
      <c r="H348" s="43"/>
      <c r="I348" s="43"/>
      <c r="J348" s="43"/>
      <c r="K348" s="43"/>
      <c r="L348" s="43"/>
      <c r="M348" s="43"/>
      <c r="N348" s="48"/>
      <c r="O348" s="40">
        <f t="shared" si="37"/>
        <v>0</v>
      </c>
      <c r="P348" s="41" t="str">
        <f t="shared" si="38"/>
        <v/>
      </c>
      <c r="Q348" s="67">
        <f t="shared" ca="1" si="40"/>
        <v>46163</v>
      </c>
      <c r="R348" s="67" t="e">
        <f t="shared" ca="1" si="41"/>
        <v>#VALUE!</v>
      </c>
      <c r="S348" s="78" t="e">
        <f t="shared" si="39"/>
        <v>#DIV/0!</v>
      </c>
      <c r="T348" s="79" t="e">
        <f t="shared" si="42"/>
        <v>#N/A</v>
      </c>
    </row>
    <row r="349" spans="2:20" hidden="1" x14ac:dyDescent="0.3">
      <c r="B349" s="36" t="str">
        <f t="shared" si="36"/>
        <v>-</v>
      </c>
      <c r="C349" s="49"/>
      <c r="D349" s="50"/>
      <c r="E349" s="51"/>
      <c r="F349" s="50"/>
      <c r="G349" s="50"/>
      <c r="H349" s="50"/>
      <c r="I349" s="50"/>
      <c r="J349" s="50"/>
      <c r="K349" s="50"/>
      <c r="L349" s="50"/>
      <c r="M349" s="50"/>
      <c r="N349" s="52"/>
      <c r="O349" s="40">
        <f t="shared" si="37"/>
        <v>0</v>
      </c>
      <c r="P349" s="41" t="str">
        <f t="shared" si="38"/>
        <v/>
      </c>
      <c r="Q349" s="67">
        <f t="shared" ca="1" si="40"/>
        <v>46163</v>
      </c>
      <c r="R349" s="67" t="e">
        <f t="shared" ca="1" si="41"/>
        <v>#VALUE!</v>
      </c>
      <c r="S349" s="78" t="e">
        <f t="shared" si="39"/>
        <v>#DIV/0!</v>
      </c>
      <c r="T349" s="79" t="e">
        <f t="shared" si="42"/>
        <v>#N/A</v>
      </c>
    </row>
    <row r="350" spans="2:20" hidden="1" x14ac:dyDescent="0.3">
      <c r="B350" s="36" t="str">
        <f t="shared" si="36"/>
        <v>-</v>
      </c>
      <c r="C350" s="42"/>
      <c r="D350" s="43"/>
      <c r="E350" s="44"/>
      <c r="F350" s="43"/>
      <c r="G350" s="43"/>
      <c r="H350" s="43"/>
      <c r="I350" s="43"/>
      <c r="J350" s="43"/>
      <c r="K350" s="43"/>
      <c r="L350" s="43"/>
      <c r="M350" s="43"/>
      <c r="N350" s="48"/>
      <c r="O350" s="40">
        <f t="shared" si="37"/>
        <v>0</v>
      </c>
      <c r="P350" s="41" t="str">
        <f t="shared" si="38"/>
        <v/>
      </c>
      <c r="Q350" s="67">
        <f t="shared" ca="1" si="40"/>
        <v>46163</v>
      </c>
      <c r="R350" s="67" t="e">
        <f t="shared" ca="1" si="41"/>
        <v>#VALUE!</v>
      </c>
      <c r="S350" s="78" t="e">
        <f t="shared" si="39"/>
        <v>#DIV/0!</v>
      </c>
      <c r="T350" s="79" t="e">
        <f t="shared" si="42"/>
        <v>#N/A</v>
      </c>
    </row>
    <row r="351" spans="2:20" hidden="1" x14ac:dyDescent="0.3">
      <c r="B351" s="36" t="str">
        <f t="shared" si="36"/>
        <v>-</v>
      </c>
      <c r="C351" s="49"/>
      <c r="D351" s="50"/>
      <c r="E351" s="51"/>
      <c r="F351" s="50"/>
      <c r="G351" s="50"/>
      <c r="H351" s="50"/>
      <c r="I351" s="50"/>
      <c r="J351" s="50"/>
      <c r="K351" s="50"/>
      <c r="L351" s="50"/>
      <c r="M351" s="50"/>
      <c r="N351" s="52"/>
      <c r="O351" s="40">
        <f t="shared" si="37"/>
        <v>0</v>
      </c>
      <c r="P351" s="41" t="str">
        <f t="shared" si="38"/>
        <v/>
      </c>
      <c r="Q351" s="67">
        <f t="shared" ca="1" si="40"/>
        <v>46163</v>
      </c>
      <c r="R351" s="67" t="e">
        <f t="shared" ca="1" si="41"/>
        <v>#VALUE!</v>
      </c>
      <c r="S351" s="78" t="e">
        <f t="shared" si="39"/>
        <v>#DIV/0!</v>
      </c>
      <c r="T351" s="79" t="e">
        <f t="shared" si="42"/>
        <v>#N/A</v>
      </c>
    </row>
    <row r="352" spans="2:20" hidden="1" x14ac:dyDescent="0.3">
      <c r="B352" s="36" t="str">
        <f t="shared" si="36"/>
        <v>-</v>
      </c>
      <c r="C352" s="42"/>
      <c r="D352" s="43"/>
      <c r="E352" s="44"/>
      <c r="F352" s="43"/>
      <c r="G352" s="43"/>
      <c r="H352" s="43"/>
      <c r="I352" s="43"/>
      <c r="J352" s="43"/>
      <c r="K352" s="43"/>
      <c r="L352" s="43"/>
      <c r="M352" s="43"/>
      <c r="N352" s="48"/>
      <c r="O352" s="40">
        <f t="shared" si="37"/>
        <v>0</v>
      </c>
      <c r="P352" s="41" t="str">
        <f t="shared" si="38"/>
        <v/>
      </c>
      <c r="Q352" s="67">
        <f t="shared" ca="1" si="40"/>
        <v>46163</v>
      </c>
      <c r="R352" s="67" t="e">
        <f t="shared" ca="1" si="41"/>
        <v>#VALUE!</v>
      </c>
      <c r="S352" s="78" t="e">
        <f t="shared" si="39"/>
        <v>#DIV/0!</v>
      </c>
      <c r="T352" s="79" t="e">
        <f t="shared" si="42"/>
        <v>#N/A</v>
      </c>
    </row>
    <row r="353" spans="2:20" hidden="1" x14ac:dyDescent="0.3">
      <c r="B353" s="36" t="str">
        <f t="shared" si="36"/>
        <v>-</v>
      </c>
      <c r="C353" s="49"/>
      <c r="D353" s="50"/>
      <c r="E353" s="51"/>
      <c r="F353" s="50"/>
      <c r="G353" s="50"/>
      <c r="H353" s="50"/>
      <c r="I353" s="50"/>
      <c r="J353" s="50"/>
      <c r="K353" s="50"/>
      <c r="L353" s="50"/>
      <c r="M353" s="50"/>
      <c r="N353" s="52"/>
      <c r="O353" s="40">
        <f t="shared" si="37"/>
        <v>0</v>
      </c>
      <c r="P353" s="41" t="str">
        <f t="shared" si="38"/>
        <v/>
      </c>
      <c r="Q353" s="67">
        <f t="shared" ca="1" si="40"/>
        <v>46163</v>
      </c>
      <c r="R353" s="67" t="e">
        <f t="shared" ca="1" si="41"/>
        <v>#VALUE!</v>
      </c>
      <c r="S353" s="78" t="e">
        <f t="shared" si="39"/>
        <v>#DIV/0!</v>
      </c>
      <c r="T353" s="79" t="e">
        <f t="shared" si="42"/>
        <v>#N/A</v>
      </c>
    </row>
    <row r="354" spans="2:20" hidden="1" x14ac:dyDescent="0.3">
      <c r="B354" s="36" t="str">
        <f t="shared" si="36"/>
        <v>-</v>
      </c>
      <c r="C354" s="42"/>
      <c r="D354" s="43"/>
      <c r="E354" s="44"/>
      <c r="F354" s="43"/>
      <c r="G354" s="43"/>
      <c r="H354" s="43"/>
      <c r="I354" s="43"/>
      <c r="J354" s="43"/>
      <c r="K354" s="43"/>
      <c r="L354" s="43"/>
      <c r="M354" s="43"/>
      <c r="N354" s="48"/>
      <c r="O354" s="40">
        <f t="shared" si="37"/>
        <v>0</v>
      </c>
      <c r="P354" s="41" t="str">
        <f t="shared" si="38"/>
        <v/>
      </c>
      <c r="Q354" s="67">
        <f t="shared" ca="1" si="40"/>
        <v>46163</v>
      </c>
      <c r="R354" s="67" t="e">
        <f t="shared" ca="1" si="41"/>
        <v>#VALUE!</v>
      </c>
      <c r="S354" s="78" t="e">
        <f t="shared" si="39"/>
        <v>#DIV/0!</v>
      </c>
      <c r="T354" s="79" t="e">
        <f t="shared" si="42"/>
        <v>#N/A</v>
      </c>
    </row>
    <row r="355" spans="2:20" hidden="1" x14ac:dyDescent="0.3">
      <c r="B355" s="36" t="str">
        <f t="shared" si="36"/>
        <v>-</v>
      </c>
      <c r="C355" s="49"/>
      <c r="D355" s="50"/>
      <c r="E355" s="51"/>
      <c r="F355" s="50"/>
      <c r="G355" s="50"/>
      <c r="H355" s="50"/>
      <c r="I355" s="50"/>
      <c r="J355" s="50"/>
      <c r="K355" s="50"/>
      <c r="L355" s="50"/>
      <c r="M355" s="50"/>
      <c r="N355" s="52"/>
      <c r="O355" s="40">
        <f t="shared" si="37"/>
        <v>0</v>
      </c>
      <c r="P355" s="41" t="str">
        <f t="shared" si="38"/>
        <v/>
      </c>
      <c r="Q355" s="67">
        <f t="shared" ca="1" si="40"/>
        <v>46163</v>
      </c>
      <c r="R355" s="67" t="e">
        <f t="shared" ca="1" si="41"/>
        <v>#VALUE!</v>
      </c>
      <c r="S355" s="78" t="e">
        <f t="shared" si="39"/>
        <v>#DIV/0!</v>
      </c>
      <c r="T355" s="79" t="e">
        <f t="shared" si="42"/>
        <v>#N/A</v>
      </c>
    </row>
    <row r="356" spans="2:20" hidden="1" x14ac:dyDescent="0.3">
      <c r="B356" s="36" t="str">
        <f t="shared" si="36"/>
        <v>-</v>
      </c>
      <c r="C356" s="42"/>
      <c r="D356" s="43"/>
      <c r="E356" s="44"/>
      <c r="F356" s="43"/>
      <c r="G356" s="43"/>
      <c r="H356" s="43"/>
      <c r="I356" s="43"/>
      <c r="J356" s="43"/>
      <c r="K356" s="43"/>
      <c r="L356" s="43"/>
      <c r="M356" s="43"/>
      <c r="N356" s="48"/>
      <c r="O356" s="40">
        <f t="shared" si="37"/>
        <v>0</v>
      </c>
      <c r="P356" s="41" t="str">
        <f t="shared" si="38"/>
        <v/>
      </c>
      <c r="Q356" s="67">
        <f t="shared" ca="1" si="40"/>
        <v>46163</v>
      </c>
      <c r="R356" s="67" t="e">
        <f t="shared" ca="1" si="41"/>
        <v>#VALUE!</v>
      </c>
      <c r="S356" s="78" t="e">
        <f t="shared" si="39"/>
        <v>#DIV/0!</v>
      </c>
      <c r="T356" s="79" t="e">
        <f t="shared" si="42"/>
        <v>#N/A</v>
      </c>
    </row>
    <row r="357" spans="2:20" hidden="1" x14ac:dyDescent="0.3">
      <c r="B357" s="36" t="str">
        <f t="shared" si="36"/>
        <v>-</v>
      </c>
      <c r="C357" s="49"/>
      <c r="D357" s="50"/>
      <c r="E357" s="51"/>
      <c r="F357" s="50"/>
      <c r="G357" s="50"/>
      <c r="H357" s="50"/>
      <c r="I357" s="50"/>
      <c r="J357" s="50"/>
      <c r="K357" s="50"/>
      <c r="L357" s="50"/>
      <c r="M357" s="50"/>
      <c r="N357" s="52"/>
      <c r="O357" s="40">
        <f t="shared" si="37"/>
        <v>0</v>
      </c>
      <c r="P357" s="41" t="str">
        <f t="shared" si="38"/>
        <v/>
      </c>
      <c r="Q357" s="67">
        <f t="shared" ca="1" si="40"/>
        <v>46163</v>
      </c>
      <c r="R357" s="67" t="e">
        <f t="shared" ca="1" si="41"/>
        <v>#VALUE!</v>
      </c>
      <c r="S357" s="78" t="e">
        <f t="shared" si="39"/>
        <v>#DIV/0!</v>
      </c>
      <c r="T357" s="79" t="e">
        <f t="shared" si="42"/>
        <v>#N/A</v>
      </c>
    </row>
    <row r="358" spans="2:20" hidden="1" x14ac:dyDescent="0.3">
      <c r="B358" s="36" t="str">
        <f t="shared" si="36"/>
        <v>-</v>
      </c>
      <c r="C358" s="42"/>
      <c r="D358" s="43"/>
      <c r="E358" s="44"/>
      <c r="F358" s="43"/>
      <c r="G358" s="43"/>
      <c r="H358" s="43"/>
      <c r="I358" s="43"/>
      <c r="J358" s="43"/>
      <c r="K358" s="43"/>
      <c r="L358" s="43"/>
      <c r="M358" s="43"/>
      <c r="N358" s="48"/>
      <c r="O358" s="40">
        <f t="shared" si="37"/>
        <v>0</v>
      </c>
      <c r="P358" s="41" t="str">
        <f t="shared" si="38"/>
        <v/>
      </c>
      <c r="Q358" s="67">
        <f t="shared" ca="1" si="40"/>
        <v>46163</v>
      </c>
      <c r="R358" s="67" t="e">
        <f t="shared" ca="1" si="41"/>
        <v>#VALUE!</v>
      </c>
      <c r="S358" s="78" t="e">
        <f t="shared" si="39"/>
        <v>#DIV/0!</v>
      </c>
      <c r="T358" s="79" t="e">
        <f t="shared" si="42"/>
        <v>#N/A</v>
      </c>
    </row>
    <row r="359" spans="2:20" hidden="1" x14ac:dyDescent="0.3">
      <c r="B359" s="36" t="str">
        <f t="shared" si="36"/>
        <v>-</v>
      </c>
      <c r="C359" s="49"/>
      <c r="D359" s="50"/>
      <c r="E359" s="51"/>
      <c r="F359" s="50"/>
      <c r="G359" s="50"/>
      <c r="H359" s="50"/>
      <c r="I359" s="50"/>
      <c r="J359" s="50"/>
      <c r="K359" s="50"/>
      <c r="L359" s="50"/>
      <c r="M359" s="50"/>
      <c r="N359" s="52"/>
      <c r="O359" s="40">
        <f t="shared" si="37"/>
        <v>0</v>
      </c>
      <c r="P359" s="41" t="str">
        <f t="shared" si="38"/>
        <v/>
      </c>
      <c r="Q359" s="67">
        <f t="shared" ca="1" si="40"/>
        <v>46163</v>
      </c>
      <c r="R359" s="67" t="e">
        <f t="shared" ca="1" si="41"/>
        <v>#VALUE!</v>
      </c>
      <c r="S359" s="78" t="e">
        <f t="shared" si="39"/>
        <v>#DIV/0!</v>
      </c>
      <c r="T359" s="79" t="e">
        <f t="shared" si="42"/>
        <v>#N/A</v>
      </c>
    </row>
    <row r="360" spans="2:20" hidden="1" x14ac:dyDescent="0.3">
      <c r="B360" s="36" t="str">
        <f t="shared" si="36"/>
        <v>-</v>
      </c>
      <c r="C360" s="42"/>
      <c r="D360" s="43"/>
      <c r="E360" s="44"/>
      <c r="F360" s="43"/>
      <c r="G360" s="43"/>
      <c r="H360" s="43"/>
      <c r="I360" s="43"/>
      <c r="J360" s="43"/>
      <c r="K360" s="43"/>
      <c r="L360" s="43"/>
      <c r="M360" s="43"/>
      <c r="N360" s="48"/>
      <c r="O360" s="40">
        <f t="shared" si="37"/>
        <v>0</v>
      </c>
      <c r="P360" s="41" t="str">
        <f t="shared" si="38"/>
        <v/>
      </c>
      <c r="Q360" s="67">
        <f t="shared" ca="1" si="40"/>
        <v>46163</v>
      </c>
      <c r="R360" s="67" t="e">
        <f t="shared" ca="1" si="41"/>
        <v>#VALUE!</v>
      </c>
      <c r="S360" s="78" t="e">
        <f t="shared" si="39"/>
        <v>#DIV/0!</v>
      </c>
      <c r="T360" s="79" t="e">
        <f t="shared" si="42"/>
        <v>#N/A</v>
      </c>
    </row>
    <row r="361" spans="2:20" hidden="1" x14ac:dyDescent="0.3">
      <c r="B361" s="36" t="str">
        <f t="shared" si="36"/>
        <v>-</v>
      </c>
      <c r="C361" s="49"/>
      <c r="D361" s="50"/>
      <c r="E361" s="51"/>
      <c r="F361" s="50"/>
      <c r="G361" s="50"/>
      <c r="H361" s="50"/>
      <c r="I361" s="50"/>
      <c r="J361" s="50"/>
      <c r="K361" s="50"/>
      <c r="L361" s="50"/>
      <c r="M361" s="50"/>
      <c r="N361" s="52"/>
      <c r="O361" s="40">
        <f t="shared" si="37"/>
        <v>0</v>
      </c>
      <c r="P361" s="41" t="str">
        <f t="shared" si="38"/>
        <v/>
      </c>
      <c r="Q361" s="67">
        <f t="shared" ca="1" si="40"/>
        <v>46163</v>
      </c>
      <c r="R361" s="67" t="e">
        <f t="shared" ca="1" si="41"/>
        <v>#VALUE!</v>
      </c>
      <c r="S361" s="78" t="e">
        <f t="shared" si="39"/>
        <v>#DIV/0!</v>
      </c>
      <c r="T361" s="79" t="e">
        <f t="shared" si="42"/>
        <v>#N/A</v>
      </c>
    </row>
    <row r="362" spans="2:20" hidden="1" x14ac:dyDescent="0.3">
      <c r="B362" s="36" t="str">
        <f t="shared" si="36"/>
        <v>-</v>
      </c>
      <c r="C362" s="42"/>
      <c r="D362" s="43"/>
      <c r="E362" s="44"/>
      <c r="F362" s="43"/>
      <c r="G362" s="43"/>
      <c r="H362" s="43"/>
      <c r="I362" s="43"/>
      <c r="J362" s="43"/>
      <c r="K362" s="43"/>
      <c r="L362" s="43"/>
      <c r="M362" s="43"/>
      <c r="N362" s="48"/>
      <c r="O362" s="40">
        <f t="shared" si="37"/>
        <v>0</v>
      </c>
      <c r="P362" s="41" t="str">
        <f t="shared" si="38"/>
        <v/>
      </c>
      <c r="Q362" s="67">
        <f t="shared" ca="1" si="40"/>
        <v>46163</v>
      </c>
      <c r="R362" s="67" t="e">
        <f t="shared" ca="1" si="41"/>
        <v>#VALUE!</v>
      </c>
      <c r="S362" s="78" t="e">
        <f t="shared" si="39"/>
        <v>#DIV/0!</v>
      </c>
      <c r="T362" s="79" t="e">
        <f t="shared" si="42"/>
        <v>#N/A</v>
      </c>
    </row>
    <row r="363" spans="2:20" hidden="1" x14ac:dyDescent="0.3">
      <c r="B363" s="36" t="str">
        <f t="shared" si="36"/>
        <v>-</v>
      </c>
      <c r="C363" s="49"/>
      <c r="D363" s="50"/>
      <c r="E363" s="51"/>
      <c r="F363" s="50"/>
      <c r="G363" s="50"/>
      <c r="H363" s="50"/>
      <c r="I363" s="50"/>
      <c r="J363" s="50"/>
      <c r="K363" s="50"/>
      <c r="L363" s="50"/>
      <c r="M363" s="50"/>
      <c r="N363" s="52"/>
      <c r="O363" s="40">
        <f t="shared" si="37"/>
        <v>0</v>
      </c>
      <c r="P363" s="41" t="str">
        <f t="shared" si="38"/>
        <v/>
      </c>
      <c r="Q363" s="67">
        <f t="shared" ca="1" si="40"/>
        <v>46163</v>
      </c>
      <c r="R363" s="67" t="e">
        <f t="shared" ca="1" si="41"/>
        <v>#VALUE!</v>
      </c>
      <c r="S363" s="78" t="e">
        <f t="shared" si="39"/>
        <v>#DIV/0!</v>
      </c>
      <c r="T363" s="79" t="e">
        <f t="shared" si="42"/>
        <v>#N/A</v>
      </c>
    </row>
    <row r="364" spans="2:20" hidden="1" x14ac:dyDescent="0.3">
      <c r="B364" s="36" t="str">
        <f t="shared" si="36"/>
        <v>-</v>
      </c>
      <c r="C364" s="42"/>
      <c r="D364" s="43"/>
      <c r="E364" s="44"/>
      <c r="F364" s="43"/>
      <c r="G364" s="43"/>
      <c r="H364" s="43"/>
      <c r="I364" s="43"/>
      <c r="J364" s="43"/>
      <c r="K364" s="43"/>
      <c r="L364" s="43"/>
      <c r="M364" s="43"/>
      <c r="N364" s="48"/>
      <c r="O364" s="40">
        <f t="shared" si="37"/>
        <v>0</v>
      </c>
      <c r="P364" s="41" t="str">
        <f t="shared" si="38"/>
        <v/>
      </c>
      <c r="Q364" s="67">
        <f t="shared" ca="1" si="40"/>
        <v>46163</v>
      </c>
      <c r="R364" s="67" t="e">
        <f t="shared" ca="1" si="41"/>
        <v>#VALUE!</v>
      </c>
      <c r="S364" s="78" t="e">
        <f t="shared" si="39"/>
        <v>#DIV/0!</v>
      </c>
      <c r="T364" s="79" t="e">
        <f t="shared" si="42"/>
        <v>#N/A</v>
      </c>
    </row>
    <row r="365" spans="2:20" hidden="1" x14ac:dyDescent="0.3">
      <c r="B365" s="36" t="str">
        <f t="shared" si="36"/>
        <v>-</v>
      </c>
      <c r="C365" s="49"/>
      <c r="D365" s="50"/>
      <c r="E365" s="51"/>
      <c r="F365" s="50"/>
      <c r="G365" s="50"/>
      <c r="H365" s="50"/>
      <c r="I365" s="50"/>
      <c r="J365" s="50"/>
      <c r="K365" s="50"/>
      <c r="L365" s="50"/>
      <c r="M365" s="50"/>
      <c r="N365" s="52"/>
      <c r="O365" s="40">
        <f t="shared" si="37"/>
        <v>0</v>
      </c>
      <c r="P365" s="41" t="str">
        <f t="shared" si="38"/>
        <v/>
      </c>
      <c r="Q365" s="67">
        <f t="shared" ca="1" si="40"/>
        <v>46163</v>
      </c>
      <c r="R365" s="67" t="e">
        <f t="shared" ca="1" si="41"/>
        <v>#VALUE!</v>
      </c>
      <c r="S365" s="78" t="e">
        <f t="shared" si="39"/>
        <v>#DIV/0!</v>
      </c>
      <c r="T365" s="79" t="e">
        <f t="shared" si="42"/>
        <v>#N/A</v>
      </c>
    </row>
    <row r="366" spans="2:20" hidden="1" x14ac:dyDescent="0.3">
      <c r="B366" s="36" t="str">
        <f t="shared" si="36"/>
        <v>-</v>
      </c>
      <c r="C366" s="42"/>
      <c r="D366" s="43"/>
      <c r="E366" s="44"/>
      <c r="F366" s="43"/>
      <c r="G366" s="43"/>
      <c r="H366" s="43"/>
      <c r="I366" s="43"/>
      <c r="J366" s="43"/>
      <c r="K366" s="43"/>
      <c r="L366" s="43"/>
      <c r="M366" s="43"/>
      <c r="N366" s="48"/>
      <c r="O366" s="40">
        <f t="shared" si="37"/>
        <v>0</v>
      </c>
      <c r="P366" s="41" t="str">
        <f t="shared" si="38"/>
        <v/>
      </c>
      <c r="Q366" s="67">
        <f t="shared" ca="1" si="40"/>
        <v>46163</v>
      </c>
      <c r="R366" s="67" t="e">
        <f t="shared" ca="1" si="41"/>
        <v>#VALUE!</v>
      </c>
      <c r="S366" s="78" t="e">
        <f t="shared" si="39"/>
        <v>#DIV/0!</v>
      </c>
      <c r="T366" s="79" t="e">
        <f t="shared" si="42"/>
        <v>#N/A</v>
      </c>
    </row>
    <row r="367" spans="2:20" hidden="1" x14ac:dyDescent="0.3">
      <c r="B367" s="36" t="str">
        <f t="shared" si="36"/>
        <v>-</v>
      </c>
      <c r="C367" s="49"/>
      <c r="D367" s="50"/>
      <c r="E367" s="51"/>
      <c r="F367" s="50"/>
      <c r="G367" s="50"/>
      <c r="H367" s="50"/>
      <c r="I367" s="50"/>
      <c r="J367" s="50"/>
      <c r="K367" s="50"/>
      <c r="L367" s="50"/>
      <c r="M367" s="50"/>
      <c r="N367" s="52"/>
      <c r="O367" s="40">
        <f t="shared" si="37"/>
        <v>0</v>
      </c>
      <c r="P367" s="41" t="str">
        <f t="shared" si="38"/>
        <v/>
      </c>
      <c r="Q367" s="67">
        <f t="shared" ca="1" si="40"/>
        <v>46163</v>
      </c>
      <c r="R367" s="67" t="e">
        <f t="shared" ca="1" si="41"/>
        <v>#VALUE!</v>
      </c>
      <c r="S367" s="78" t="e">
        <f t="shared" si="39"/>
        <v>#DIV/0!</v>
      </c>
      <c r="T367" s="79" t="e">
        <f t="shared" si="42"/>
        <v>#N/A</v>
      </c>
    </row>
    <row r="368" spans="2:20" hidden="1" x14ac:dyDescent="0.3">
      <c r="B368" s="36" t="str">
        <f t="shared" si="36"/>
        <v>-</v>
      </c>
      <c r="C368" s="42"/>
      <c r="D368" s="43"/>
      <c r="E368" s="44"/>
      <c r="F368" s="43"/>
      <c r="G368" s="43"/>
      <c r="H368" s="43"/>
      <c r="I368" s="43"/>
      <c r="J368" s="43"/>
      <c r="K368" s="43"/>
      <c r="L368" s="43"/>
      <c r="M368" s="43"/>
      <c r="N368" s="48"/>
      <c r="O368" s="40">
        <f t="shared" si="37"/>
        <v>0</v>
      </c>
      <c r="P368" s="41" t="str">
        <f t="shared" si="38"/>
        <v/>
      </c>
      <c r="Q368" s="67">
        <f t="shared" ca="1" si="40"/>
        <v>46163</v>
      </c>
      <c r="R368" s="67" t="e">
        <f t="shared" ca="1" si="41"/>
        <v>#VALUE!</v>
      </c>
      <c r="S368" s="78" t="e">
        <f t="shared" si="39"/>
        <v>#DIV/0!</v>
      </c>
      <c r="T368" s="79" t="e">
        <f t="shared" si="42"/>
        <v>#N/A</v>
      </c>
    </row>
    <row r="369" spans="2:20" hidden="1" x14ac:dyDescent="0.3">
      <c r="B369" s="36" t="str">
        <f t="shared" si="36"/>
        <v>-</v>
      </c>
      <c r="C369" s="49"/>
      <c r="D369" s="50"/>
      <c r="E369" s="51"/>
      <c r="F369" s="50"/>
      <c r="G369" s="50"/>
      <c r="H369" s="50"/>
      <c r="I369" s="50"/>
      <c r="J369" s="50"/>
      <c r="K369" s="50"/>
      <c r="L369" s="50"/>
      <c r="M369" s="50"/>
      <c r="N369" s="52"/>
      <c r="O369" s="40">
        <f t="shared" si="37"/>
        <v>0</v>
      </c>
      <c r="P369" s="41" t="str">
        <f t="shared" si="38"/>
        <v/>
      </c>
      <c r="Q369" s="67">
        <f t="shared" ca="1" si="40"/>
        <v>46163</v>
      </c>
      <c r="R369" s="67" t="e">
        <f t="shared" ca="1" si="41"/>
        <v>#VALUE!</v>
      </c>
      <c r="S369" s="78" t="e">
        <f t="shared" si="39"/>
        <v>#DIV/0!</v>
      </c>
      <c r="T369" s="79" t="e">
        <f t="shared" si="42"/>
        <v>#N/A</v>
      </c>
    </row>
    <row r="370" spans="2:20" hidden="1" x14ac:dyDescent="0.3">
      <c r="B370" s="36" t="str">
        <f t="shared" si="36"/>
        <v>-</v>
      </c>
      <c r="C370" s="42"/>
      <c r="D370" s="43"/>
      <c r="E370" s="44"/>
      <c r="F370" s="43"/>
      <c r="G370" s="43"/>
      <c r="H370" s="43"/>
      <c r="I370" s="43"/>
      <c r="J370" s="43"/>
      <c r="K370" s="43"/>
      <c r="L370" s="43"/>
      <c r="M370" s="43"/>
      <c r="N370" s="48"/>
      <c r="O370" s="40">
        <f t="shared" si="37"/>
        <v>0</v>
      </c>
      <c r="P370" s="41" t="str">
        <f t="shared" si="38"/>
        <v/>
      </c>
      <c r="Q370" s="67">
        <f t="shared" ca="1" si="40"/>
        <v>46163</v>
      </c>
      <c r="R370" s="67" t="e">
        <f t="shared" ca="1" si="41"/>
        <v>#VALUE!</v>
      </c>
      <c r="S370" s="78" t="e">
        <f t="shared" si="39"/>
        <v>#DIV/0!</v>
      </c>
      <c r="T370" s="79" t="e">
        <f t="shared" si="42"/>
        <v>#N/A</v>
      </c>
    </row>
    <row r="371" spans="2:20" hidden="1" x14ac:dyDescent="0.3">
      <c r="B371" s="36" t="str">
        <f t="shared" si="36"/>
        <v>-</v>
      </c>
      <c r="C371" s="49"/>
      <c r="D371" s="50"/>
      <c r="E371" s="51"/>
      <c r="F371" s="50"/>
      <c r="G371" s="50"/>
      <c r="H371" s="50"/>
      <c r="I371" s="50"/>
      <c r="J371" s="50"/>
      <c r="K371" s="50"/>
      <c r="L371" s="50"/>
      <c r="M371" s="50"/>
      <c r="N371" s="52"/>
      <c r="O371" s="40">
        <f t="shared" si="37"/>
        <v>0</v>
      </c>
      <c r="P371" s="41" t="str">
        <f t="shared" si="38"/>
        <v/>
      </c>
      <c r="Q371" s="67">
        <f t="shared" ca="1" si="40"/>
        <v>46163</v>
      </c>
      <c r="R371" s="67" t="e">
        <f t="shared" ca="1" si="41"/>
        <v>#VALUE!</v>
      </c>
      <c r="S371" s="78" t="e">
        <f t="shared" si="39"/>
        <v>#DIV/0!</v>
      </c>
      <c r="T371" s="79" t="e">
        <f t="shared" si="42"/>
        <v>#N/A</v>
      </c>
    </row>
    <row r="372" spans="2:20" hidden="1" x14ac:dyDescent="0.3">
      <c r="B372" s="36" t="str">
        <f t="shared" si="36"/>
        <v>-</v>
      </c>
      <c r="C372" s="42"/>
      <c r="D372" s="43"/>
      <c r="E372" s="44"/>
      <c r="F372" s="43"/>
      <c r="G372" s="43"/>
      <c r="H372" s="43"/>
      <c r="I372" s="43"/>
      <c r="J372" s="43"/>
      <c r="K372" s="43"/>
      <c r="L372" s="43"/>
      <c r="M372" s="43"/>
      <c r="N372" s="48"/>
      <c r="O372" s="40">
        <f t="shared" si="37"/>
        <v>0</v>
      </c>
      <c r="P372" s="41" t="str">
        <f t="shared" si="38"/>
        <v/>
      </c>
      <c r="Q372" s="67">
        <f t="shared" ca="1" si="40"/>
        <v>46163</v>
      </c>
      <c r="R372" s="67" t="e">
        <f t="shared" ca="1" si="41"/>
        <v>#VALUE!</v>
      </c>
      <c r="S372" s="78" t="e">
        <f t="shared" si="39"/>
        <v>#DIV/0!</v>
      </c>
      <c r="T372" s="79" t="e">
        <f t="shared" si="42"/>
        <v>#N/A</v>
      </c>
    </row>
    <row r="373" spans="2:20" hidden="1" x14ac:dyDescent="0.3">
      <c r="B373" s="36" t="str">
        <f t="shared" si="36"/>
        <v>-</v>
      </c>
      <c r="C373" s="49"/>
      <c r="D373" s="50"/>
      <c r="E373" s="51"/>
      <c r="F373" s="50"/>
      <c r="G373" s="50"/>
      <c r="H373" s="50"/>
      <c r="I373" s="50"/>
      <c r="J373" s="50"/>
      <c r="K373" s="50"/>
      <c r="L373" s="50"/>
      <c r="M373" s="50"/>
      <c r="N373" s="52"/>
      <c r="O373" s="40">
        <f t="shared" si="37"/>
        <v>0</v>
      </c>
      <c r="P373" s="41" t="str">
        <f t="shared" si="38"/>
        <v/>
      </c>
      <c r="Q373" s="67">
        <f t="shared" ca="1" si="40"/>
        <v>46163</v>
      </c>
      <c r="R373" s="67" t="e">
        <f t="shared" ca="1" si="41"/>
        <v>#VALUE!</v>
      </c>
      <c r="S373" s="78" t="e">
        <f t="shared" si="39"/>
        <v>#DIV/0!</v>
      </c>
      <c r="T373" s="79" t="e">
        <f t="shared" si="42"/>
        <v>#N/A</v>
      </c>
    </row>
    <row r="374" spans="2:20" hidden="1" x14ac:dyDescent="0.3">
      <c r="B374" s="36" t="str">
        <f t="shared" si="36"/>
        <v>-</v>
      </c>
      <c r="C374" s="42"/>
      <c r="D374" s="43"/>
      <c r="E374" s="44"/>
      <c r="F374" s="43"/>
      <c r="G374" s="43"/>
      <c r="H374" s="43"/>
      <c r="I374" s="43"/>
      <c r="J374" s="43"/>
      <c r="K374" s="43"/>
      <c r="L374" s="43"/>
      <c r="M374" s="43"/>
      <c r="N374" s="48"/>
      <c r="O374" s="40">
        <f t="shared" si="37"/>
        <v>0</v>
      </c>
      <c r="P374" s="41" t="str">
        <f t="shared" si="38"/>
        <v/>
      </c>
      <c r="Q374" s="67">
        <f t="shared" ca="1" si="40"/>
        <v>46163</v>
      </c>
      <c r="R374" s="67" t="e">
        <f t="shared" ca="1" si="41"/>
        <v>#VALUE!</v>
      </c>
      <c r="S374" s="78" t="e">
        <f t="shared" si="39"/>
        <v>#DIV/0!</v>
      </c>
      <c r="T374" s="79" t="e">
        <f t="shared" si="42"/>
        <v>#N/A</v>
      </c>
    </row>
    <row r="375" spans="2:20" hidden="1" x14ac:dyDescent="0.3">
      <c r="B375" s="36" t="str">
        <f t="shared" si="36"/>
        <v>-</v>
      </c>
      <c r="C375" s="49"/>
      <c r="D375" s="50"/>
      <c r="E375" s="51"/>
      <c r="F375" s="50"/>
      <c r="G375" s="50"/>
      <c r="H375" s="50"/>
      <c r="I375" s="50"/>
      <c r="J375" s="50"/>
      <c r="K375" s="50"/>
      <c r="L375" s="50"/>
      <c r="M375" s="50"/>
      <c r="N375" s="52"/>
      <c r="O375" s="40">
        <f t="shared" si="37"/>
        <v>0</v>
      </c>
      <c r="P375" s="41" t="str">
        <f t="shared" si="38"/>
        <v/>
      </c>
      <c r="Q375" s="67">
        <f t="shared" ca="1" si="40"/>
        <v>46163</v>
      </c>
      <c r="R375" s="67" t="e">
        <f t="shared" ca="1" si="41"/>
        <v>#VALUE!</v>
      </c>
      <c r="S375" s="78" t="e">
        <f t="shared" si="39"/>
        <v>#DIV/0!</v>
      </c>
      <c r="T375" s="79" t="e">
        <f t="shared" si="42"/>
        <v>#N/A</v>
      </c>
    </row>
    <row r="376" spans="2:20" hidden="1" x14ac:dyDescent="0.3">
      <c r="B376" s="36" t="str">
        <f t="shared" si="36"/>
        <v>-</v>
      </c>
      <c r="C376" s="42"/>
      <c r="D376" s="43"/>
      <c r="E376" s="44"/>
      <c r="F376" s="43"/>
      <c r="G376" s="43"/>
      <c r="H376" s="43"/>
      <c r="I376" s="43"/>
      <c r="J376" s="43"/>
      <c r="K376" s="43"/>
      <c r="L376" s="43"/>
      <c r="M376" s="43"/>
      <c r="N376" s="48"/>
      <c r="O376" s="40">
        <f t="shared" si="37"/>
        <v>0</v>
      </c>
      <c r="P376" s="41" t="str">
        <f t="shared" si="38"/>
        <v/>
      </c>
      <c r="Q376" s="67">
        <f t="shared" ca="1" si="40"/>
        <v>46163</v>
      </c>
      <c r="R376" s="67" t="e">
        <f t="shared" ca="1" si="41"/>
        <v>#VALUE!</v>
      </c>
      <c r="S376" s="78" t="e">
        <f t="shared" si="39"/>
        <v>#DIV/0!</v>
      </c>
      <c r="T376" s="79" t="e">
        <f t="shared" si="42"/>
        <v>#N/A</v>
      </c>
    </row>
    <row r="377" spans="2:20" hidden="1" x14ac:dyDescent="0.3">
      <c r="B377" s="36" t="str">
        <f t="shared" si="36"/>
        <v>-</v>
      </c>
      <c r="C377" s="49"/>
      <c r="D377" s="50"/>
      <c r="E377" s="51"/>
      <c r="F377" s="50"/>
      <c r="G377" s="50"/>
      <c r="H377" s="50"/>
      <c r="I377" s="50"/>
      <c r="J377" s="50"/>
      <c r="K377" s="50"/>
      <c r="L377" s="50"/>
      <c r="M377" s="50"/>
      <c r="N377" s="52"/>
      <c r="O377" s="40">
        <f t="shared" si="37"/>
        <v>0</v>
      </c>
      <c r="P377" s="41" t="str">
        <f t="shared" si="38"/>
        <v/>
      </c>
      <c r="Q377" s="67">
        <f t="shared" ca="1" si="40"/>
        <v>46163</v>
      </c>
      <c r="R377" s="67" t="e">
        <f t="shared" ca="1" si="41"/>
        <v>#VALUE!</v>
      </c>
      <c r="S377" s="78" t="e">
        <f t="shared" si="39"/>
        <v>#DIV/0!</v>
      </c>
      <c r="T377" s="79" t="e">
        <f t="shared" si="42"/>
        <v>#N/A</v>
      </c>
    </row>
    <row r="378" spans="2:20" hidden="1" x14ac:dyDescent="0.3">
      <c r="B378" s="36" t="str">
        <f t="shared" si="36"/>
        <v>-</v>
      </c>
      <c r="C378" s="42"/>
      <c r="D378" s="43"/>
      <c r="E378" s="44"/>
      <c r="F378" s="43"/>
      <c r="G378" s="43"/>
      <c r="H378" s="43"/>
      <c r="I378" s="43"/>
      <c r="J378" s="43"/>
      <c r="K378" s="43"/>
      <c r="L378" s="43"/>
      <c r="M378" s="43"/>
      <c r="N378" s="48"/>
      <c r="O378" s="40">
        <f t="shared" si="37"/>
        <v>0</v>
      </c>
      <c r="P378" s="41" t="str">
        <f t="shared" si="38"/>
        <v/>
      </c>
      <c r="Q378" s="67">
        <f t="shared" ca="1" si="40"/>
        <v>46163</v>
      </c>
      <c r="R378" s="67" t="e">
        <f t="shared" ca="1" si="41"/>
        <v>#VALUE!</v>
      </c>
      <c r="S378" s="78" t="e">
        <f t="shared" si="39"/>
        <v>#DIV/0!</v>
      </c>
      <c r="T378" s="79" t="e">
        <f t="shared" si="42"/>
        <v>#N/A</v>
      </c>
    </row>
    <row r="379" spans="2:20" hidden="1" x14ac:dyDescent="0.3">
      <c r="B379" s="36" t="str">
        <f t="shared" si="36"/>
        <v>-</v>
      </c>
      <c r="C379" s="49"/>
      <c r="D379" s="50"/>
      <c r="E379" s="51"/>
      <c r="F379" s="50"/>
      <c r="G379" s="50"/>
      <c r="H379" s="50"/>
      <c r="I379" s="50"/>
      <c r="J379" s="50"/>
      <c r="K379" s="50"/>
      <c r="L379" s="50"/>
      <c r="M379" s="50"/>
      <c r="N379" s="52"/>
      <c r="O379" s="40">
        <f t="shared" si="37"/>
        <v>0</v>
      </c>
      <c r="P379" s="41" t="str">
        <f t="shared" si="38"/>
        <v/>
      </c>
      <c r="Q379" s="67">
        <f t="shared" ca="1" si="40"/>
        <v>46163</v>
      </c>
      <c r="R379" s="67" t="e">
        <f t="shared" ca="1" si="41"/>
        <v>#VALUE!</v>
      </c>
      <c r="S379" s="78" t="e">
        <f t="shared" si="39"/>
        <v>#DIV/0!</v>
      </c>
      <c r="T379" s="79" t="e">
        <f t="shared" si="42"/>
        <v>#N/A</v>
      </c>
    </row>
    <row r="380" spans="2:20" hidden="1" x14ac:dyDescent="0.3">
      <c r="B380" s="36" t="str">
        <f t="shared" si="36"/>
        <v>-</v>
      </c>
      <c r="C380" s="42"/>
      <c r="D380" s="43"/>
      <c r="E380" s="44"/>
      <c r="F380" s="43"/>
      <c r="G380" s="43"/>
      <c r="H380" s="43"/>
      <c r="I380" s="43"/>
      <c r="J380" s="43"/>
      <c r="K380" s="43"/>
      <c r="L380" s="43"/>
      <c r="M380" s="43"/>
      <c r="N380" s="48"/>
      <c r="O380" s="40">
        <f t="shared" si="37"/>
        <v>0</v>
      </c>
      <c r="P380" s="41" t="str">
        <f t="shared" si="38"/>
        <v/>
      </c>
      <c r="Q380" s="67">
        <f t="shared" ca="1" si="40"/>
        <v>46163</v>
      </c>
      <c r="R380" s="67" t="e">
        <f t="shared" ca="1" si="41"/>
        <v>#VALUE!</v>
      </c>
      <c r="S380" s="78" t="e">
        <f t="shared" si="39"/>
        <v>#DIV/0!</v>
      </c>
      <c r="T380" s="79" t="e">
        <f t="shared" si="42"/>
        <v>#N/A</v>
      </c>
    </row>
    <row r="381" spans="2:20" hidden="1" x14ac:dyDescent="0.3">
      <c r="B381" s="36" t="str">
        <f t="shared" si="36"/>
        <v>-</v>
      </c>
      <c r="C381" s="49"/>
      <c r="D381" s="50"/>
      <c r="E381" s="51"/>
      <c r="F381" s="50"/>
      <c r="G381" s="50"/>
      <c r="H381" s="50"/>
      <c r="I381" s="50"/>
      <c r="J381" s="50"/>
      <c r="K381" s="50"/>
      <c r="L381" s="50"/>
      <c r="M381" s="50"/>
      <c r="N381" s="52"/>
      <c r="O381" s="40">
        <f t="shared" si="37"/>
        <v>0</v>
      </c>
      <c r="P381" s="41" t="str">
        <f t="shared" si="38"/>
        <v/>
      </c>
      <c r="Q381" s="67">
        <f t="shared" ca="1" si="40"/>
        <v>46163</v>
      </c>
      <c r="R381" s="67" t="e">
        <f t="shared" ca="1" si="41"/>
        <v>#VALUE!</v>
      </c>
      <c r="S381" s="78" t="e">
        <f t="shared" si="39"/>
        <v>#DIV/0!</v>
      </c>
      <c r="T381" s="79" t="e">
        <f t="shared" si="42"/>
        <v>#N/A</v>
      </c>
    </row>
    <row r="382" spans="2:20" hidden="1" x14ac:dyDescent="0.3">
      <c r="B382" s="36" t="str">
        <f t="shared" si="36"/>
        <v>-</v>
      </c>
      <c r="C382" s="42"/>
      <c r="D382" s="43"/>
      <c r="E382" s="44"/>
      <c r="F382" s="43"/>
      <c r="G382" s="43"/>
      <c r="H382" s="43"/>
      <c r="I382" s="43"/>
      <c r="J382" s="43"/>
      <c r="K382" s="43"/>
      <c r="L382" s="43"/>
      <c r="M382" s="43"/>
      <c r="N382" s="48"/>
      <c r="O382" s="40">
        <f t="shared" si="37"/>
        <v>0</v>
      </c>
      <c r="P382" s="41" t="str">
        <f t="shared" si="38"/>
        <v/>
      </c>
      <c r="Q382" s="67">
        <f t="shared" ca="1" si="40"/>
        <v>46163</v>
      </c>
      <c r="R382" s="67" t="e">
        <f t="shared" ca="1" si="41"/>
        <v>#VALUE!</v>
      </c>
      <c r="S382" s="78" t="e">
        <f t="shared" si="39"/>
        <v>#DIV/0!</v>
      </c>
      <c r="T382" s="79" t="e">
        <f t="shared" si="42"/>
        <v>#N/A</v>
      </c>
    </row>
    <row r="383" spans="2:20" hidden="1" x14ac:dyDescent="0.3">
      <c r="B383" s="36" t="str">
        <f t="shared" si="36"/>
        <v>-</v>
      </c>
      <c r="C383" s="49"/>
      <c r="D383" s="50"/>
      <c r="E383" s="51"/>
      <c r="F383" s="50"/>
      <c r="G383" s="50"/>
      <c r="H383" s="50"/>
      <c r="I383" s="50"/>
      <c r="J383" s="50"/>
      <c r="K383" s="50"/>
      <c r="L383" s="50"/>
      <c r="M383" s="50"/>
      <c r="N383" s="52"/>
      <c r="O383" s="40">
        <f t="shared" si="37"/>
        <v>0</v>
      </c>
      <c r="P383" s="41" t="str">
        <f t="shared" si="38"/>
        <v/>
      </c>
      <c r="Q383" s="67">
        <f t="shared" ca="1" si="40"/>
        <v>46163</v>
      </c>
      <c r="R383" s="67" t="e">
        <f t="shared" ca="1" si="41"/>
        <v>#VALUE!</v>
      </c>
      <c r="S383" s="78" t="e">
        <f t="shared" si="39"/>
        <v>#DIV/0!</v>
      </c>
      <c r="T383" s="79" t="e">
        <f t="shared" si="42"/>
        <v>#N/A</v>
      </c>
    </row>
    <row r="384" spans="2:20" hidden="1" x14ac:dyDescent="0.3">
      <c r="B384" s="36" t="str">
        <f t="shared" si="36"/>
        <v>-</v>
      </c>
      <c r="C384" s="42"/>
      <c r="D384" s="43"/>
      <c r="E384" s="44"/>
      <c r="F384" s="43"/>
      <c r="G384" s="43"/>
      <c r="H384" s="43"/>
      <c r="I384" s="43"/>
      <c r="J384" s="43"/>
      <c r="K384" s="43"/>
      <c r="L384" s="43"/>
      <c r="M384" s="43"/>
      <c r="N384" s="48"/>
      <c r="O384" s="40">
        <f t="shared" si="37"/>
        <v>0</v>
      </c>
      <c r="P384" s="41" t="str">
        <f t="shared" si="38"/>
        <v/>
      </c>
      <c r="Q384" s="67">
        <f t="shared" ca="1" si="40"/>
        <v>46163</v>
      </c>
      <c r="R384" s="67" t="e">
        <f t="shared" ca="1" si="41"/>
        <v>#VALUE!</v>
      </c>
      <c r="S384" s="78" t="e">
        <f t="shared" si="39"/>
        <v>#DIV/0!</v>
      </c>
      <c r="T384" s="79" t="e">
        <f t="shared" si="42"/>
        <v>#N/A</v>
      </c>
    </row>
    <row r="385" spans="2:20" hidden="1" x14ac:dyDescent="0.3">
      <c r="B385" s="36" t="str">
        <f t="shared" si="36"/>
        <v>-</v>
      </c>
      <c r="C385" s="49"/>
      <c r="D385" s="50"/>
      <c r="E385" s="51"/>
      <c r="F385" s="50"/>
      <c r="G385" s="50"/>
      <c r="H385" s="50"/>
      <c r="I385" s="50"/>
      <c r="J385" s="50"/>
      <c r="K385" s="50"/>
      <c r="L385" s="50"/>
      <c r="M385" s="50"/>
      <c r="N385" s="52"/>
      <c r="O385" s="40">
        <f t="shared" si="37"/>
        <v>0</v>
      </c>
      <c r="P385" s="41" t="str">
        <f t="shared" si="38"/>
        <v/>
      </c>
      <c r="Q385" s="67">
        <f t="shared" ca="1" si="40"/>
        <v>46163</v>
      </c>
      <c r="R385" s="67" t="e">
        <f t="shared" ca="1" si="41"/>
        <v>#VALUE!</v>
      </c>
      <c r="S385" s="78" t="e">
        <f t="shared" si="39"/>
        <v>#DIV/0!</v>
      </c>
      <c r="T385" s="79" t="e">
        <f t="shared" si="42"/>
        <v>#N/A</v>
      </c>
    </row>
    <row r="386" spans="2:20" hidden="1" x14ac:dyDescent="0.3">
      <c r="B386" s="36" t="str">
        <f t="shared" ref="B386:B446" si="43">CONCATENATE(H386,"-",K386)</f>
        <v>-</v>
      </c>
      <c r="C386" s="42"/>
      <c r="D386" s="43"/>
      <c r="E386" s="44"/>
      <c r="F386" s="43"/>
      <c r="G386" s="43"/>
      <c r="H386" s="43"/>
      <c r="I386" s="43"/>
      <c r="J386" s="43"/>
      <c r="K386" s="43"/>
      <c r="L386" s="43"/>
      <c r="M386" s="43"/>
      <c r="N386" s="48"/>
      <c r="O386" s="40">
        <f t="shared" ref="O386:O446" si="44">IFERROR(E386*N386,"")</f>
        <v>0</v>
      </c>
      <c r="P386" s="41" t="str">
        <f t="shared" ref="P386:P446" si="45">IFERROR(SUMIFS(O:O,B:B,B386)/SUMIFS(N:N,B:B,B386),"")</f>
        <v/>
      </c>
      <c r="Q386" s="67">
        <f t="shared" ca="1" si="40"/>
        <v>46163</v>
      </c>
      <c r="R386" s="67" t="e">
        <f t="shared" ca="1" si="41"/>
        <v>#VALUE!</v>
      </c>
      <c r="S386" s="78" t="e">
        <f t="shared" ref="S386:S446" si="46">SUMIFS(N:N,B:B,B386,M:M,M386)/SUMIFS(N:N,B:B,B386)</f>
        <v>#DIV/0!</v>
      </c>
      <c r="T386" s="79" t="e">
        <f t="shared" si="42"/>
        <v>#N/A</v>
      </c>
    </row>
    <row r="387" spans="2:20" hidden="1" x14ac:dyDescent="0.3">
      <c r="B387" s="36" t="str">
        <f t="shared" si="43"/>
        <v>-</v>
      </c>
      <c r="C387" s="49"/>
      <c r="D387" s="50"/>
      <c r="E387" s="51"/>
      <c r="F387" s="50"/>
      <c r="G387" s="50"/>
      <c r="H387" s="50"/>
      <c r="I387" s="50"/>
      <c r="J387" s="50"/>
      <c r="K387" s="50"/>
      <c r="L387" s="50"/>
      <c r="M387" s="50"/>
      <c r="N387" s="52"/>
      <c r="O387" s="40">
        <f t="shared" si="44"/>
        <v>0</v>
      </c>
      <c r="P387" s="41" t="str">
        <f t="shared" si="45"/>
        <v/>
      </c>
      <c r="Q387" s="67">
        <f t="shared" ref="Q387:Q446" ca="1" si="47">TODAY()-E387</f>
        <v>46163</v>
      </c>
      <c r="R387" s="67" t="e">
        <f t="shared" ref="R387:R446" ca="1" si="48">TODAY()-P387</f>
        <v>#VALUE!</v>
      </c>
      <c r="S387" s="78" t="e">
        <f t="shared" si="46"/>
        <v>#DIV/0!</v>
      </c>
      <c r="T387" s="79" t="e">
        <f t="shared" si="42"/>
        <v>#N/A</v>
      </c>
    </row>
    <row r="388" spans="2:20" hidden="1" x14ac:dyDescent="0.3">
      <c r="B388" s="36" t="str">
        <f t="shared" si="43"/>
        <v>-</v>
      </c>
      <c r="C388" s="42"/>
      <c r="D388" s="43"/>
      <c r="E388" s="44"/>
      <c r="F388" s="43"/>
      <c r="G388" s="43"/>
      <c r="H388" s="43"/>
      <c r="I388" s="43"/>
      <c r="J388" s="43"/>
      <c r="K388" s="43"/>
      <c r="L388" s="43"/>
      <c r="M388" s="43"/>
      <c r="N388" s="48"/>
      <c r="O388" s="40">
        <f t="shared" si="44"/>
        <v>0</v>
      </c>
      <c r="P388" s="41" t="str">
        <f t="shared" si="45"/>
        <v/>
      </c>
      <c r="Q388" s="67">
        <f t="shared" ca="1" si="47"/>
        <v>46163</v>
      </c>
      <c r="R388" s="67" t="e">
        <f t="shared" ca="1" si="48"/>
        <v>#VALUE!</v>
      </c>
      <c r="S388" s="78" t="e">
        <f t="shared" si="46"/>
        <v>#DIV/0!</v>
      </c>
      <c r="T388" s="79" t="e">
        <f t="shared" si="42"/>
        <v>#N/A</v>
      </c>
    </row>
    <row r="389" spans="2:20" hidden="1" x14ac:dyDescent="0.3">
      <c r="B389" s="36" t="str">
        <f t="shared" si="43"/>
        <v>-</v>
      </c>
      <c r="C389" s="49"/>
      <c r="D389" s="50"/>
      <c r="E389" s="51"/>
      <c r="F389" s="50"/>
      <c r="G389" s="50"/>
      <c r="H389" s="50"/>
      <c r="I389" s="50"/>
      <c r="J389" s="50"/>
      <c r="K389" s="50"/>
      <c r="L389" s="50"/>
      <c r="M389" s="50"/>
      <c r="N389" s="52"/>
      <c r="O389" s="40">
        <f t="shared" si="44"/>
        <v>0</v>
      </c>
      <c r="P389" s="41" t="str">
        <f t="shared" si="45"/>
        <v/>
      </c>
      <c r="Q389" s="67">
        <f t="shared" ca="1" si="47"/>
        <v>46163</v>
      </c>
      <c r="R389" s="67" t="e">
        <f t="shared" ca="1" si="48"/>
        <v>#VALUE!</v>
      </c>
      <c r="S389" s="78" t="e">
        <f t="shared" si="46"/>
        <v>#DIV/0!</v>
      </c>
      <c r="T389" s="79" t="e">
        <f t="shared" si="42"/>
        <v>#N/A</v>
      </c>
    </row>
    <row r="390" spans="2:20" hidden="1" x14ac:dyDescent="0.3">
      <c r="B390" s="36" t="str">
        <f t="shared" si="43"/>
        <v>-</v>
      </c>
      <c r="C390" s="42"/>
      <c r="D390" s="43"/>
      <c r="E390" s="44"/>
      <c r="F390" s="43"/>
      <c r="G390" s="43"/>
      <c r="H390" s="43"/>
      <c r="I390" s="43"/>
      <c r="J390" s="43"/>
      <c r="K390" s="43"/>
      <c r="L390" s="43"/>
      <c r="M390" s="43"/>
      <c r="N390" s="48"/>
      <c r="O390" s="40">
        <f t="shared" si="44"/>
        <v>0</v>
      </c>
      <c r="P390" s="41" t="str">
        <f t="shared" si="45"/>
        <v/>
      </c>
      <c r="Q390" s="67">
        <f t="shared" ca="1" si="47"/>
        <v>46163</v>
      </c>
      <c r="R390" s="67" t="e">
        <f t="shared" ca="1" si="48"/>
        <v>#VALUE!</v>
      </c>
      <c r="S390" s="78" t="e">
        <f t="shared" si="46"/>
        <v>#DIV/0!</v>
      </c>
      <c r="T390" s="79" t="e">
        <f t="shared" si="42"/>
        <v>#N/A</v>
      </c>
    </row>
    <row r="391" spans="2:20" hidden="1" x14ac:dyDescent="0.3">
      <c r="B391" s="36" t="str">
        <f t="shared" si="43"/>
        <v>-</v>
      </c>
      <c r="C391" s="49"/>
      <c r="D391" s="50"/>
      <c r="E391" s="51"/>
      <c r="F391" s="50"/>
      <c r="G391" s="50"/>
      <c r="H391" s="50"/>
      <c r="I391" s="50"/>
      <c r="J391" s="50"/>
      <c r="K391" s="50"/>
      <c r="L391" s="50"/>
      <c r="M391" s="50"/>
      <c r="N391" s="52"/>
      <c r="O391" s="40">
        <f t="shared" si="44"/>
        <v>0</v>
      </c>
      <c r="P391" s="41" t="str">
        <f t="shared" si="45"/>
        <v/>
      </c>
      <c r="Q391" s="67">
        <f t="shared" ca="1" si="47"/>
        <v>46163</v>
      </c>
      <c r="R391" s="67" t="e">
        <f t="shared" ca="1" si="48"/>
        <v>#VALUE!</v>
      </c>
      <c r="S391" s="78" t="e">
        <f t="shared" si="46"/>
        <v>#DIV/0!</v>
      </c>
      <c r="T391" s="79" t="e">
        <f t="shared" si="42"/>
        <v>#N/A</v>
      </c>
    </row>
    <row r="392" spans="2:20" hidden="1" x14ac:dyDescent="0.3">
      <c r="B392" s="36" t="str">
        <f t="shared" si="43"/>
        <v>-</v>
      </c>
      <c r="C392" s="42"/>
      <c r="D392" s="43"/>
      <c r="E392" s="44"/>
      <c r="F392" s="43"/>
      <c r="G392" s="43"/>
      <c r="H392" s="43"/>
      <c r="I392" s="43"/>
      <c r="J392" s="43"/>
      <c r="K392" s="43"/>
      <c r="L392" s="43"/>
      <c r="M392" s="43"/>
      <c r="N392" s="48"/>
      <c r="O392" s="40">
        <f t="shared" si="44"/>
        <v>0</v>
      </c>
      <c r="P392" s="41" t="str">
        <f t="shared" si="45"/>
        <v/>
      </c>
      <c r="Q392" s="67">
        <f t="shared" ca="1" si="47"/>
        <v>46163</v>
      </c>
      <c r="R392" s="67" t="e">
        <f t="shared" ca="1" si="48"/>
        <v>#VALUE!</v>
      </c>
      <c r="S392" s="78" t="e">
        <f t="shared" si="46"/>
        <v>#DIV/0!</v>
      </c>
      <c r="T392" s="79" t="e">
        <f t="shared" si="42"/>
        <v>#N/A</v>
      </c>
    </row>
    <row r="393" spans="2:20" hidden="1" x14ac:dyDescent="0.3">
      <c r="B393" s="36" t="str">
        <f t="shared" si="43"/>
        <v>-</v>
      </c>
      <c r="C393" s="49"/>
      <c r="D393" s="50"/>
      <c r="E393" s="51"/>
      <c r="F393" s="50"/>
      <c r="G393" s="50"/>
      <c r="H393" s="50"/>
      <c r="I393" s="50"/>
      <c r="J393" s="50"/>
      <c r="K393" s="50"/>
      <c r="L393" s="50"/>
      <c r="M393" s="50"/>
      <c r="N393" s="52"/>
      <c r="O393" s="40">
        <f t="shared" si="44"/>
        <v>0</v>
      </c>
      <c r="P393" s="41" t="str">
        <f t="shared" si="45"/>
        <v/>
      </c>
      <c r="Q393" s="67">
        <f t="shared" ca="1" si="47"/>
        <v>46163</v>
      </c>
      <c r="R393" s="67" t="e">
        <f t="shared" ca="1" si="48"/>
        <v>#VALUE!</v>
      </c>
      <c r="S393" s="78" t="e">
        <f t="shared" si="46"/>
        <v>#DIV/0!</v>
      </c>
      <c r="T393" s="79" t="e">
        <f t="shared" si="42"/>
        <v>#N/A</v>
      </c>
    </row>
    <row r="394" spans="2:20" hidden="1" x14ac:dyDescent="0.3">
      <c r="B394" s="36" t="str">
        <f t="shared" si="43"/>
        <v>-</v>
      </c>
      <c r="C394" s="42"/>
      <c r="D394" s="43"/>
      <c r="E394" s="44"/>
      <c r="F394" s="43"/>
      <c r="G394" s="43"/>
      <c r="H394" s="43"/>
      <c r="I394" s="43"/>
      <c r="J394" s="43"/>
      <c r="K394" s="43"/>
      <c r="L394" s="43"/>
      <c r="M394" s="43"/>
      <c r="N394" s="48"/>
      <c r="O394" s="40">
        <f t="shared" si="44"/>
        <v>0</v>
      </c>
      <c r="P394" s="41" t="str">
        <f t="shared" si="45"/>
        <v/>
      </c>
      <c r="Q394" s="67">
        <f t="shared" ca="1" si="47"/>
        <v>46163</v>
      </c>
      <c r="R394" s="67" t="e">
        <f t="shared" ca="1" si="48"/>
        <v>#VALUE!</v>
      </c>
      <c r="S394" s="78" t="e">
        <f t="shared" si="46"/>
        <v>#DIV/0!</v>
      </c>
      <c r="T394" s="79" t="e">
        <f t="shared" si="42"/>
        <v>#N/A</v>
      </c>
    </row>
    <row r="395" spans="2:20" hidden="1" x14ac:dyDescent="0.3">
      <c r="B395" s="36" t="str">
        <f t="shared" si="43"/>
        <v>-</v>
      </c>
      <c r="C395" s="49"/>
      <c r="D395" s="50"/>
      <c r="E395" s="51"/>
      <c r="F395" s="50"/>
      <c r="G395" s="50"/>
      <c r="H395" s="50"/>
      <c r="I395" s="50"/>
      <c r="J395" s="50"/>
      <c r="K395" s="50"/>
      <c r="L395" s="50"/>
      <c r="M395" s="50"/>
      <c r="N395" s="52"/>
      <c r="O395" s="40">
        <f t="shared" si="44"/>
        <v>0</v>
      </c>
      <c r="P395" s="41" t="str">
        <f t="shared" si="45"/>
        <v/>
      </c>
      <c r="Q395" s="67">
        <f t="shared" ca="1" si="47"/>
        <v>46163</v>
      </c>
      <c r="R395" s="67" t="e">
        <f t="shared" ca="1" si="48"/>
        <v>#VALUE!</v>
      </c>
      <c r="S395" s="78" t="e">
        <f t="shared" si="46"/>
        <v>#DIV/0!</v>
      </c>
      <c r="T395" s="79" t="e">
        <f t="shared" si="42"/>
        <v>#N/A</v>
      </c>
    </row>
    <row r="396" spans="2:20" hidden="1" x14ac:dyDescent="0.3">
      <c r="B396" s="36" t="str">
        <f t="shared" si="43"/>
        <v>-</v>
      </c>
      <c r="C396" s="42"/>
      <c r="D396" s="43"/>
      <c r="E396" s="44"/>
      <c r="F396" s="43"/>
      <c r="G396" s="43"/>
      <c r="H396" s="43"/>
      <c r="I396" s="43"/>
      <c r="J396" s="43"/>
      <c r="K396" s="43"/>
      <c r="L396" s="43"/>
      <c r="M396" s="43"/>
      <c r="N396" s="48"/>
      <c r="O396" s="40">
        <f t="shared" si="44"/>
        <v>0</v>
      </c>
      <c r="P396" s="41" t="str">
        <f t="shared" si="45"/>
        <v/>
      </c>
      <c r="Q396" s="67">
        <f t="shared" ca="1" si="47"/>
        <v>46163</v>
      </c>
      <c r="R396" s="67" t="e">
        <f t="shared" ca="1" si="48"/>
        <v>#VALUE!</v>
      </c>
      <c r="S396" s="78" t="e">
        <f t="shared" si="46"/>
        <v>#DIV/0!</v>
      </c>
      <c r="T396" s="79" t="e">
        <f t="shared" si="42"/>
        <v>#N/A</v>
      </c>
    </row>
    <row r="397" spans="2:20" hidden="1" x14ac:dyDescent="0.3">
      <c r="B397" s="36" t="str">
        <f t="shared" si="43"/>
        <v>-</v>
      </c>
      <c r="C397" s="49"/>
      <c r="D397" s="50"/>
      <c r="E397" s="51"/>
      <c r="F397" s="50"/>
      <c r="G397" s="50"/>
      <c r="H397" s="50"/>
      <c r="I397" s="50"/>
      <c r="J397" s="50"/>
      <c r="K397" s="50"/>
      <c r="L397" s="50"/>
      <c r="M397" s="50"/>
      <c r="N397" s="52"/>
      <c r="O397" s="40">
        <f t="shared" si="44"/>
        <v>0</v>
      </c>
      <c r="P397" s="41" t="str">
        <f t="shared" si="45"/>
        <v/>
      </c>
      <c r="Q397" s="67">
        <f t="shared" ca="1" si="47"/>
        <v>46163</v>
      </c>
      <c r="R397" s="67" t="e">
        <f t="shared" ca="1" si="48"/>
        <v>#VALUE!</v>
      </c>
      <c r="S397" s="78" t="e">
        <f t="shared" si="46"/>
        <v>#DIV/0!</v>
      </c>
      <c r="T397" s="79" t="e">
        <f t="shared" si="42"/>
        <v>#N/A</v>
      </c>
    </row>
    <row r="398" spans="2:20" hidden="1" x14ac:dyDescent="0.3">
      <c r="B398" s="36" t="str">
        <f t="shared" si="43"/>
        <v>-</v>
      </c>
      <c r="C398" s="42"/>
      <c r="D398" s="43"/>
      <c r="E398" s="44"/>
      <c r="F398" s="43"/>
      <c r="G398" s="43"/>
      <c r="H398" s="43"/>
      <c r="I398" s="43"/>
      <c r="J398" s="43"/>
      <c r="K398" s="43"/>
      <c r="L398" s="43"/>
      <c r="M398" s="43"/>
      <c r="N398" s="48"/>
      <c r="O398" s="40">
        <f t="shared" si="44"/>
        <v>0</v>
      </c>
      <c r="P398" s="41" t="str">
        <f t="shared" si="45"/>
        <v/>
      </c>
      <c r="Q398" s="67">
        <f t="shared" ca="1" si="47"/>
        <v>46163</v>
      </c>
      <c r="R398" s="67" t="e">
        <f t="shared" ca="1" si="48"/>
        <v>#VALUE!</v>
      </c>
      <c r="S398" s="78" t="e">
        <f t="shared" si="46"/>
        <v>#DIV/0!</v>
      </c>
      <c r="T398" s="79" t="e">
        <f t="shared" si="42"/>
        <v>#N/A</v>
      </c>
    </row>
    <row r="399" spans="2:20" hidden="1" x14ac:dyDescent="0.3">
      <c r="B399" s="36" t="str">
        <f t="shared" si="43"/>
        <v>-</v>
      </c>
      <c r="C399" s="49"/>
      <c r="D399" s="50"/>
      <c r="E399" s="51"/>
      <c r="F399" s="50"/>
      <c r="G399" s="50"/>
      <c r="H399" s="50"/>
      <c r="I399" s="50"/>
      <c r="J399" s="50"/>
      <c r="K399" s="50"/>
      <c r="L399" s="50"/>
      <c r="M399" s="50"/>
      <c r="N399" s="52"/>
      <c r="O399" s="40">
        <f t="shared" si="44"/>
        <v>0</v>
      </c>
      <c r="P399" s="41" t="str">
        <f t="shared" si="45"/>
        <v/>
      </c>
      <c r="Q399" s="67">
        <f t="shared" ca="1" si="47"/>
        <v>46163</v>
      </c>
      <c r="R399" s="67" t="e">
        <f t="shared" ca="1" si="48"/>
        <v>#VALUE!</v>
      </c>
      <c r="S399" s="78" t="e">
        <f t="shared" si="46"/>
        <v>#DIV/0!</v>
      </c>
      <c r="T399" s="79" t="e">
        <f t="shared" si="42"/>
        <v>#N/A</v>
      </c>
    </row>
    <row r="400" spans="2:20" hidden="1" x14ac:dyDescent="0.3">
      <c r="B400" s="36" t="str">
        <f t="shared" si="43"/>
        <v>-</v>
      </c>
      <c r="C400" s="42"/>
      <c r="D400" s="43"/>
      <c r="E400" s="44"/>
      <c r="F400" s="43"/>
      <c r="G400" s="43"/>
      <c r="H400" s="43"/>
      <c r="I400" s="43"/>
      <c r="J400" s="43"/>
      <c r="K400" s="43"/>
      <c r="L400" s="43"/>
      <c r="M400" s="43"/>
      <c r="N400" s="48"/>
      <c r="O400" s="40">
        <f t="shared" si="44"/>
        <v>0</v>
      </c>
      <c r="P400" s="41" t="str">
        <f t="shared" si="45"/>
        <v/>
      </c>
      <c r="Q400" s="67">
        <f t="shared" ca="1" si="47"/>
        <v>46163</v>
      </c>
      <c r="R400" s="67" t="e">
        <f t="shared" ca="1" si="48"/>
        <v>#VALUE!</v>
      </c>
      <c r="S400" s="78" t="e">
        <f t="shared" si="46"/>
        <v>#DIV/0!</v>
      </c>
      <c r="T400" s="79" t="e">
        <f t="shared" si="42"/>
        <v>#N/A</v>
      </c>
    </row>
    <row r="401" spans="2:20" hidden="1" x14ac:dyDescent="0.3">
      <c r="B401" s="36" t="str">
        <f t="shared" si="43"/>
        <v>-</v>
      </c>
      <c r="C401" s="49"/>
      <c r="D401" s="50"/>
      <c r="E401" s="51"/>
      <c r="F401" s="50"/>
      <c r="G401" s="50"/>
      <c r="H401" s="50"/>
      <c r="I401" s="50"/>
      <c r="J401" s="50"/>
      <c r="K401" s="50"/>
      <c r="L401" s="50"/>
      <c r="M401" s="50"/>
      <c r="N401" s="52"/>
      <c r="O401" s="40">
        <f t="shared" si="44"/>
        <v>0</v>
      </c>
      <c r="P401" s="41" t="str">
        <f t="shared" si="45"/>
        <v/>
      </c>
      <c r="Q401" s="67">
        <f t="shared" ca="1" si="47"/>
        <v>46163</v>
      </c>
      <c r="R401" s="67" t="e">
        <f t="shared" ca="1" si="48"/>
        <v>#VALUE!</v>
      </c>
      <c r="S401" s="78" t="e">
        <f t="shared" si="46"/>
        <v>#DIV/0!</v>
      </c>
      <c r="T401" s="79" t="e">
        <f t="shared" ref="T401:T446" si="49">_xlfn.XLOOKUP(_xlfn.MAXIFS(S:S,H:H,H401,K:K,K401),S:S,M:M)</f>
        <v>#N/A</v>
      </c>
    </row>
    <row r="402" spans="2:20" hidden="1" x14ac:dyDescent="0.3">
      <c r="B402" s="36" t="str">
        <f t="shared" si="43"/>
        <v>-</v>
      </c>
      <c r="C402" s="42"/>
      <c r="D402" s="43"/>
      <c r="E402" s="44"/>
      <c r="F402" s="43"/>
      <c r="G402" s="43"/>
      <c r="H402" s="43"/>
      <c r="I402" s="43"/>
      <c r="J402" s="43"/>
      <c r="K402" s="43"/>
      <c r="L402" s="43"/>
      <c r="M402" s="43"/>
      <c r="N402" s="48"/>
      <c r="O402" s="40">
        <f t="shared" si="44"/>
        <v>0</v>
      </c>
      <c r="P402" s="41" t="str">
        <f t="shared" si="45"/>
        <v/>
      </c>
      <c r="Q402" s="67">
        <f t="shared" ca="1" si="47"/>
        <v>46163</v>
      </c>
      <c r="R402" s="67" t="e">
        <f t="shared" ca="1" si="48"/>
        <v>#VALUE!</v>
      </c>
      <c r="S402" s="78" t="e">
        <f t="shared" si="46"/>
        <v>#DIV/0!</v>
      </c>
      <c r="T402" s="79" t="e">
        <f t="shared" si="49"/>
        <v>#N/A</v>
      </c>
    </row>
    <row r="403" spans="2:20" hidden="1" x14ac:dyDescent="0.3">
      <c r="B403" s="36" t="str">
        <f t="shared" si="43"/>
        <v>-</v>
      </c>
      <c r="C403" s="49"/>
      <c r="D403" s="50"/>
      <c r="E403" s="51"/>
      <c r="F403" s="50"/>
      <c r="G403" s="50"/>
      <c r="H403" s="50"/>
      <c r="I403" s="50"/>
      <c r="J403" s="50"/>
      <c r="K403" s="50"/>
      <c r="L403" s="50"/>
      <c r="M403" s="50"/>
      <c r="N403" s="52"/>
      <c r="O403" s="40">
        <f t="shared" si="44"/>
        <v>0</v>
      </c>
      <c r="P403" s="41" t="str">
        <f t="shared" si="45"/>
        <v/>
      </c>
      <c r="Q403" s="67">
        <f t="shared" ca="1" si="47"/>
        <v>46163</v>
      </c>
      <c r="R403" s="67" t="e">
        <f t="shared" ca="1" si="48"/>
        <v>#VALUE!</v>
      </c>
      <c r="S403" s="78" t="e">
        <f t="shared" si="46"/>
        <v>#DIV/0!</v>
      </c>
      <c r="T403" s="79" t="e">
        <f t="shared" si="49"/>
        <v>#N/A</v>
      </c>
    </row>
    <row r="404" spans="2:20" hidden="1" x14ac:dyDescent="0.3">
      <c r="B404" s="36" t="str">
        <f t="shared" si="43"/>
        <v>-</v>
      </c>
      <c r="C404" s="42"/>
      <c r="D404" s="43"/>
      <c r="E404" s="44"/>
      <c r="F404" s="43"/>
      <c r="G404" s="43"/>
      <c r="H404" s="43"/>
      <c r="I404" s="43"/>
      <c r="J404" s="43"/>
      <c r="K404" s="43"/>
      <c r="L404" s="43"/>
      <c r="M404" s="43"/>
      <c r="N404" s="48"/>
      <c r="O404" s="40">
        <f t="shared" si="44"/>
        <v>0</v>
      </c>
      <c r="P404" s="41" t="str">
        <f t="shared" si="45"/>
        <v/>
      </c>
      <c r="Q404" s="67">
        <f t="shared" ca="1" si="47"/>
        <v>46163</v>
      </c>
      <c r="R404" s="67" t="e">
        <f t="shared" ca="1" si="48"/>
        <v>#VALUE!</v>
      </c>
      <c r="S404" s="78" t="e">
        <f t="shared" si="46"/>
        <v>#DIV/0!</v>
      </c>
      <c r="T404" s="79" t="e">
        <f t="shared" si="49"/>
        <v>#N/A</v>
      </c>
    </row>
    <row r="405" spans="2:20" hidden="1" x14ac:dyDescent="0.3">
      <c r="B405" s="36" t="str">
        <f t="shared" si="43"/>
        <v>-</v>
      </c>
      <c r="C405" s="49"/>
      <c r="D405" s="50"/>
      <c r="E405" s="51"/>
      <c r="F405" s="50"/>
      <c r="G405" s="50"/>
      <c r="H405" s="50"/>
      <c r="I405" s="50"/>
      <c r="J405" s="50"/>
      <c r="K405" s="50"/>
      <c r="L405" s="50"/>
      <c r="M405" s="50"/>
      <c r="N405" s="52"/>
      <c r="O405" s="40">
        <f t="shared" si="44"/>
        <v>0</v>
      </c>
      <c r="P405" s="41" t="str">
        <f t="shared" si="45"/>
        <v/>
      </c>
      <c r="Q405" s="67">
        <f t="shared" ca="1" si="47"/>
        <v>46163</v>
      </c>
      <c r="R405" s="67" t="e">
        <f t="shared" ca="1" si="48"/>
        <v>#VALUE!</v>
      </c>
      <c r="S405" s="78" t="e">
        <f t="shared" si="46"/>
        <v>#DIV/0!</v>
      </c>
      <c r="T405" s="79" t="e">
        <f t="shared" si="49"/>
        <v>#N/A</v>
      </c>
    </row>
    <row r="406" spans="2:20" hidden="1" x14ac:dyDescent="0.3">
      <c r="B406" s="36" t="str">
        <f t="shared" si="43"/>
        <v>-</v>
      </c>
      <c r="C406" s="42"/>
      <c r="D406" s="43"/>
      <c r="E406" s="44"/>
      <c r="F406" s="43"/>
      <c r="G406" s="43"/>
      <c r="H406" s="43"/>
      <c r="I406" s="43"/>
      <c r="J406" s="43"/>
      <c r="K406" s="43"/>
      <c r="L406" s="43"/>
      <c r="M406" s="43"/>
      <c r="N406" s="48"/>
      <c r="O406" s="40">
        <f t="shared" si="44"/>
        <v>0</v>
      </c>
      <c r="P406" s="41" t="str">
        <f t="shared" si="45"/>
        <v/>
      </c>
      <c r="Q406" s="67">
        <f t="shared" ca="1" si="47"/>
        <v>46163</v>
      </c>
      <c r="R406" s="67" t="e">
        <f t="shared" ca="1" si="48"/>
        <v>#VALUE!</v>
      </c>
      <c r="S406" s="78" t="e">
        <f t="shared" si="46"/>
        <v>#DIV/0!</v>
      </c>
      <c r="T406" s="79" t="e">
        <f t="shared" si="49"/>
        <v>#N/A</v>
      </c>
    </row>
    <row r="407" spans="2:20" hidden="1" x14ac:dyDescent="0.3">
      <c r="B407" s="36" t="str">
        <f t="shared" si="43"/>
        <v>-</v>
      </c>
      <c r="C407" s="49"/>
      <c r="D407" s="50"/>
      <c r="E407" s="51"/>
      <c r="F407" s="50"/>
      <c r="G407" s="50"/>
      <c r="H407" s="50"/>
      <c r="I407" s="50"/>
      <c r="J407" s="50"/>
      <c r="K407" s="50"/>
      <c r="L407" s="50"/>
      <c r="M407" s="50"/>
      <c r="N407" s="52"/>
      <c r="O407" s="40">
        <f t="shared" si="44"/>
        <v>0</v>
      </c>
      <c r="P407" s="41" t="str">
        <f t="shared" si="45"/>
        <v/>
      </c>
      <c r="Q407" s="67">
        <f t="shared" ca="1" si="47"/>
        <v>46163</v>
      </c>
      <c r="R407" s="67" t="e">
        <f t="shared" ca="1" si="48"/>
        <v>#VALUE!</v>
      </c>
      <c r="S407" s="78" t="e">
        <f t="shared" si="46"/>
        <v>#DIV/0!</v>
      </c>
      <c r="T407" s="79" t="e">
        <f t="shared" si="49"/>
        <v>#N/A</v>
      </c>
    </row>
    <row r="408" spans="2:20" hidden="1" x14ac:dyDescent="0.3">
      <c r="B408" s="36" t="str">
        <f t="shared" si="43"/>
        <v>-</v>
      </c>
      <c r="C408" s="42"/>
      <c r="D408" s="43"/>
      <c r="E408" s="44"/>
      <c r="F408" s="43"/>
      <c r="G408" s="43"/>
      <c r="H408" s="43"/>
      <c r="I408" s="43"/>
      <c r="J408" s="43"/>
      <c r="K408" s="43"/>
      <c r="L408" s="43"/>
      <c r="M408" s="43"/>
      <c r="N408" s="48"/>
      <c r="O408" s="40">
        <f t="shared" si="44"/>
        <v>0</v>
      </c>
      <c r="P408" s="41" t="str">
        <f t="shared" si="45"/>
        <v/>
      </c>
      <c r="Q408" s="67">
        <f t="shared" ca="1" si="47"/>
        <v>46163</v>
      </c>
      <c r="R408" s="67" t="e">
        <f t="shared" ca="1" si="48"/>
        <v>#VALUE!</v>
      </c>
      <c r="S408" s="78" t="e">
        <f t="shared" si="46"/>
        <v>#DIV/0!</v>
      </c>
      <c r="T408" s="79" t="e">
        <f t="shared" si="49"/>
        <v>#N/A</v>
      </c>
    </row>
    <row r="409" spans="2:20" hidden="1" x14ac:dyDescent="0.3">
      <c r="B409" s="36" t="str">
        <f t="shared" si="43"/>
        <v>-</v>
      </c>
      <c r="C409" s="49"/>
      <c r="D409" s="50"/>
      <c r="E409" s="51"/>
      <c r="F409" s="50"/>
      <c r="G409" s="50"/>
      <c r="H409" s="50"/>
      <c r="I409" s="50"/>
      <c r="J409" s="50"/>
      <c r="K409" s="50"/>
      <c r="L409" s="50"/>
      <c r="M409" s="50"/>
      <c r="N409" s="52"/>
      <c r="O409" s="40">
        <f t="shared" si="44"/>
        <v>0</v>
      </c>
      <c r="P409" s="41" t="str">
        <f t="shared" si="45"/>
        <v/>
      </c>
      <c r="Q409" s="67">
        <f t="shared" ca="1" si="47"/>
        <v>46163</v>
      </c>
      <c r="R409" s="67" t="e">
        <f t="shared" ca="1" si="48"/>
        <v>#VALUE!</v>
      </c>
      <c r="S409" s="78" t="e">
        <f t="shared" si="46"/>
        <v>#DIV/0!</v>
      </c>
      <c r="T409" s="79" t="e">
        <f t="shared" si="49"/>
        <v>#N/A</v>
      </c>
    </row>
    <row r="410" spans="2:20" hidden="1" x14ac:dyDescent="0.3">
      <c r="B410" s="36" t="str">
        <f t="shared" si="43"/>
        <v>-</v>
      </c>
      <c r="C410" s="42"/>
      <c r="D410" s="43"/>
      <c r="E410" s="44"/>
      <c r="F410" s="43"/>
      <c r="G410" s="43"/>
      <c r="H410" s="43"/>
      <c r="I410" s="43"/>
      <c r="J410" s="43"/>
      <c r="K410" s="43"/>
      <c r="L410" s="43"/>
      <c r="M410" s="43"/>
      <c r="N410" s="48"/>
      <c r="O410" s="40">
        <f t="shared" si="44"/>
        <v>0</v>
      </c>
      <c r="P410" s="41" t="str">
        <f t="shared" si="45"/>
        <v/>
      </c>
      <c r="Q410" s="67">
        <f t="shared" ca="1" si="47"/>
        <v>46163</v>
      </c>
      <c r="R410" s="67" t="e">
        <f t="shared" ca="1" si="48"/>
        <v>#VALUE!</v>
      </c>
      <c r="S410" s="78" t="e">
        <f t="shared" si="46"/>
        <v>#DIV/0!</v>
      </c>
      <c r="T410" s="79" t="e">
        <f t="shared" si="49"/>
        <v>#N/A</v>
      </c>
    </row>
    <row r="411" spans="2:20" hidden="1" x14ac:dyDescent="0.3">
      <c r="B411" s="36" t="str">
        <f t="shared" si="43"/>
        <v>-</v>
      </c>
      <c r="C411" s="49"/>
      <c r="D411" s="50"/>
      <c r="E411" s="51"/>
      <c r="F411" s="50"/>
      <c r="G411" s="50"/>
      <c r="H411" s="50"/>
      <c r="I411" s="50"/>
      <c r="J411" s="50"/>
      <c r="K411" s="50"/>
      <c r="L411" s="50"/>
      <c r="M411" s="50"/>
      <c r="N411" s="52"/>
      <c r="O411" s="40">
        <f t="shared" si="44"/>
        <v>0</v>
      </c>
      <c r="P411" s="41" t="str">
        <f t="shared" si="45"/>
        <v/>
      </c>
      <c r="Q411" s="67">
        <f t="shared" ca="1" si="47"/>
        <v>46163</v>
      </c>
      <c r="R411" s="67" t="e">
        <f t="shared" ca="1" si="48"/>
        <v>#VALUE!</v>
      </c>
      <c r="S411" s="78" t="e">
        <f t="shared" si="46"/>
        <v>#DIV/0!</v>
      </c>
      <c r="T411" s="79" t="e">
        <f t="shared" si="49"/>
        <v>#N/A</v>
      </c>
    </row>
    <row r="412" spans="2:20" hidden="1" x14ac:dyDescent="0.3">
      <c r="B412" s="36" t="str">
        <f t="shared" si="43"/>
        <v>-</v>
      </c>
      <c r="C412" s="42"/>
      <c r="D412" s="43"/>
      <c r="E412" s="44"/>
      <c r="F412" s="43"/>
      <c r="G412" s="43"/>
      <c r="H412" s="43"/>
      <c r="I412" s="43"/>
      <c r="J412" s="43"/>
      <c r="K412" s="43"/>
      <c r="L412" s="43"/>
      <c r="M412" s="43"/>
      <c r="N412" s="48"/>
      <c r="O412" s="40">
        <f t="shared" si="44"/>
        <v>0</v>
      </c>
      <c r="P412" s="41" t="str">
        <f t="shared" si="45"/>
        <v/>
      </c>
      <c r="Q412" s="67">
        <f t="shared" ca="1" si="47"/>
        <v>46163</v>
      </c>
      <c r="R412" s="67" t="e">
        <f t="shared" ca="1" si="48"/>
        <v>#VALUE!</v>
      </c>
      <c r="S412" s="78" t="e">
        <f t="shared" si="46"/>
        <v>#DIV/0!</v>
      </c>
      <c r="T412" s="79" t="e">
        <f t="shared" si="49"/>
        <v>#N/A</v>
      </c>
    </row>
    <row r="413" spans="2:20" hidden="1" x14ac:dyDescent="0.3">
      <c r="B413" s="36" t="str">
        <f t="shared" si="43"/>
        <v>-</v>
      </c>
      <c r="C413" s="49"/>
      <c r="D413" s="50"/>
      <c r="E413" s="51"/>
      <c r="F413" s="50"/>
      <c r="G413" s="50"/>
      <c r="H413" s="50"/>
      <c r="I413" s="50"/>
      <c r="J413" s="50"/>
      <c r="K413" s="50"/>
      <c r="L413" s="50"/>
      <c r="M413" s="50"/>
      <c r="N413" s="52"/>
      <c r="O413" s="40">
        <f t="shared" si="44"/>
        <v>0</v>
      </c>
      <c r="P413" s="41" t="str">
        <f t="shared" si="45"/>
        <v/>
      </c>
      <c r="Q413" s="67">
        <f t="shared" ca="1" si="47"/>
        <v>46163</v>
      </c>
      <c r="R413" s="67" t="e">
        <f t="shared" ca="1" si="48"/>
        <v>#VALUE!</v>
      </c>
      <c r="S413" s="78" t="e">
        <f t="shared" si="46"/>
        <v>#DIV/0!</v>
      </c>
      <c r="T413" s="79" t="e">
        <f t="shared" si="49"/>
        <v>#N/A</v>
      </c>
    </row>
    <row r="414" spans="2:20" hidden="1" x14ac:dyDescent="0.3">
      <c r="B414" s="36" t="str">
        <f t="shared" si="43"/>
        <v>-</v>
      </c>
      <c r="C414" s="42"/>
      <c r="D414" s="43"/>
      <c r="E414" s="44"/>
      <c r="F414" s="43"/>
      <c r="G414" s="43"/>
      <c r="H414" s="43"/>
      <c r="I414" s="43"/>
      <c r="J414" s="43"/>
      <c r="K414" s="43"/>
      <c r="L414" s="43"/>
      <c r="M414" s="43"/>
      <c r="N414" s="48"/>
      <c r="O414" s="40">
        <f t="shared" si="44"/>
        <v>0</v>
      </c>
      <c r="P414" s="41" t="str">
        <f t="shared" si="45"/>
        <v/>
      </c>
      <c r="Q414" s="67">
        <f t="shared" ca="1" si="47"/>
        <v>46163</v>
      </c>
      <c r="R414" s="67" t="e">
        <f t="shared" ca="1" si="48"/>
        <v>#VALUE!</v>
      </c>
      <c r="S414" s="78" t="e">
        <f t="shared" si="46"/>
        <v>#DIV/0!</v>
      </c>
      <c r="T414" s="79" t="e">
        <f t="shared" si="49"/>
        <v>#N/A</v>
      </c>
    </row>
    <row r="415" spans="2:20" hidden="1" x14ac:dyDescent="0.3">
      <c r="B415" s="36" t="str">
        <f t="shared" si="43"/>
        <v>-</v>
      </c>
      <c r="C415" s="49"/>
      <c r="D415" s="50"/>
      <c r="E415" s="51"/>
      <c r="F415" s="50"/>
      <c r="G415" s="50"/>
      <c r="H415" s="50"/>
      <c r="I415" s="50"/>
      <c r="J415" s="50"/>
      <c r="K415" s="50"/>
      <c r="L415" s="50"/>
      <c r="M415" s="50"/>
      <c r="N415" s="52"/>
      <c r="O415" s="40">
        <f t="shared" si="44"/>
        <v>0</v>
      </c>
      <c r="P415" s="41" t="str">
        <f t="shared" si="45"/>
        <v/>
      </c>
      <c r="Q415" s="67">
        <f t="shared" ca="1" si="47"/>
        <v>46163</v>
      </c>
      <c r="R415" s="67" t="e">
        <f t="shared" ca="1" si="48"/>
        <v>#VALUE!</v>
      </c>
      <c r="S415" s="78" t="e">
        <f t="shared" si="46"/>
        <v>#DIV/0!</v>
      </c>
      <c r="T415" s="79" t="e">
        <f t="shared" si="49"/>
        <v>#N/A</v>
      </c>
    </row>
    <row r="416" spans="2:20" hidden="1" x14ac:dyDescent="0.3">
      <c r="B416" s="36" t="str">
        <f t="shared" si="43"/>
        <v>-</v>
      </c>
      <c r="C416" s="42"/>
      <c r="D416" s="43"/>
      <c r="E416" s="44"/>
      <c r="F416" s="43"/>
      <c r="G416" s="43"/>
      <c r="H416" s="43"/>
      <c r="I416" s="43"/>
      <c r="J416" s="43"/>
      <c r="K416" s="43"/>
      <c r="L416" s="43"/>
      <c r="M416" s="43"/>
      <c r="N416" s="48"/>
      <c r="O416" s="40">
        <f t="shared" si="44"/>
        <v>0</v>
      </c>
      <c r="P416" s="41" t="str">
        <f t="shared" si="45"/>
        <v/>
      </c>
      <c r="Q416" s="67">
        <f t="shared" ca="1" si="47"/>
        <v>46163</v>
      </c>
      <c r="R416" s="67" t="e">
        <f t="shared" ca="1" si="48"/>
        <v>#VALUE!</v>
      </c>
      <c r="S416" s="78" t="e">
        <f t="shared" si="46"/>
        <v>#DIV/0!</v>
      </c>
      <c r="T416" s="79" t="e">
        <f t="shared" si="49"/>
        <v>#N/A</v>
      </c>
    </row>
    <row r="417" spans="2:20" hidden="1" x14ac:dyDescent="0.3">
      <c r="B417" s="36" t="str">
        <f t="shared" si="43"/>
        <v>-</v>
      </c>
      <c r="C417" s="49"/>
      <c r="D417" s="50"/>
      <c r="E417" s="51"/>
      <c r="F417" s="50"/>
      <c r="G417" s="50"/>
      <c r="H417" s="50"/>
      <c r="I417" s="50"/>
      <c r="J417" s="50"/>
      <c r="K417" s="50"/>
      <c r="L417" s="50"/>
      <c r="M417" s="50"/>
      <c r="N417" s="52"/>
      <c r="O417" s="40">
        <f t="shared" si="44"/>
        <v>0</v>
      </c>
      <c r="P417" s="41" t="str">
        <f t="shared" si="45"/>
        <v/>
      </c>
      <c r="Q417" s="67">
        <f t="shared" ca="1" si="47"/>
        <v>46163</v>
      </c>
      <c r="R417" s="67" t="e">
        <f t="shared" ca="1" si="48"/>
        <v>#VALUE!</v>
      </c>
      <c r="S417" s="78" t="e">
        <f t="shared" si="46"/>
        <v>#DIV/0!</v>
      </c>
      <c r="T417" s="79" t="e">
        <f t="shared" si="49"/>
        <v>#N/A</v>
      </c>
    </row>
    <row r="418" spans="2:20" hidden="1" x14ac:dyDescent="0.3">
      <c r="B418" s="36" t="str">
        <f t="shared" si="43"/>
        <v>-</v>
      </c>
      <c r="C418" s="42"/>
      <c r="D418" s="43"/>
      <c r="E418" s="44"/>
      <c r="F418" s="43"/>
      <c r="G418" s="43"/>
      <c r="H418" s="43"/>
      <c r="I418" s="43"/>
      <c r="J418" s="43"/>
      <c r="K418" s="43"/>
      <c r="L418" s="43"/>
      <c r="M418" s="43"/>
      <c r="N418" s="48"/>
      <c r="O418" s="40">
        <f t="shared" si="44"/>
        <v>0</v>
      </c>
      <c r="P418" s="41" t="str">
        <f t="shared" si="45"/>
        <v/>
      </c>
      <c r="Q418" s="67">
        <f t="shared" ca="1" si="47"/>
        <v>46163</v>
      </c>
      <c r="R418" s="67" t="e">
        <f t="shared" ca="1" si="48"/>
        <v>#VALUE!</v>
      </c>
      <c r="S418" s="78" t="e">
        <f t="shared" si="46"/>
        <v>#DIV/0!</v>
      </c>
      <c r="T418" s="79" t="e">
        <f t="shared" si="49"/>
        <v>#N/A</v>
      </c>
    </row>
    <row r="419" spans="2:20" hidden="1" x14ac:dyDescent="0.3">
      <c r="B419" s="36" t="str">
        <f t="shared" si="43"/>
        <v>-</v>
      </c>
      <c r="C419" s="49"/>
      <c r="D419" s="50"/>
      <c r="E419" s="51"/>
      <c r="F419" s="50"/>
      <c r="G419" s="50"/>
      <c r="H419" s="50"/>
      <c r="I419" s="50"/>
      <c r="J419" s="50"/>
      <c r="K419" s="50"/>
      <c r="L419" s="50"/>
      <c r="M419" s="50"/>
      <c r="N419" s="52"/>
      <c r="O419" s="40">
        <f t="shared" si="44"/>
        <v>0</v>
      </c>
      <c r="P419" s="41" t="str">
        <f t="shared" si="45"/>
        <v/>
      </c>
      <c r="Q419" s="67">
        <f t="shared" ca="1" si="47"/>
        <v>46163</v>
      </c>
      <c r="R419" s="67" t="e">
        <f t="shared" ca="1" si="48"/>
        <v>#VALUE!</v>
      </c>
      <c r="S419" s="78" t="e">
        <f t="shared" si="46"/>
        <v>#DIV/0!</v>
      </c>
      <c r="T419" s="79" t="e">
        <f t="shared" si="49"/>
        <v>#N/A</v>
      </c>
    </row>
    <row r="420" spans="2:20" hidden="1" x14ac:dyDescent="0.3">
      <c r="B420" s="36" t="str">
        <f t="shared" si="43"/>
        <v>-</v>
      </c>
      <c r="C420" s="42"/>
      <c r="D420" s="43"/>
      <c r="E420" s="44"/>
      <c r="F420" s="43"/>
      <c r="G420" s="43"/>
      <c r="H420" s="43"/>
      <c r="I420" s="43"/>
      <c r="J420" s="43"/>
      <c r="K420" s="43"/>
      <c r="L420" s="43"/>
      <c r="M420" s="43"/>
      <c r="N420" s="48"/>
      <c r="O420" s="40">
        <f t="shared" si="44"/>
        <v>0</v>
      </c>
      <c r="P420" s="41" t="str">
        <f t="shared" si="45"/>
        <v/>
      </c>
      <c r="Q420" s="67">
        <f t="shared" ca="1" si="47"/>
        <v>46163</v>
      </c>
      <c r="R420" s="67" t="e">
        <f t="shared" ca="1" si="48"/>
        <v>#VALUE!</v>
      </c>
      <c r="S420" s="78" t="e">
        <f t="shared" si="46"/>
        <v>#DIV/0!</v>
      </c>
      <c r="T420" s="79" t="e">
        <f t="shared" si="49"/>
        <v>#N/A</v>
      </c>
    </row>
    <row r="421" spans="2:20" hidden="1" x14ac:dyDescent="0.3">
      <c r="B421" s="36" t="str">
        <f t="shared" si="43"/>
        <v>-</v>
      </c>
      <c r="C421" s="49"/>
      <c r="D421" s="50"/>
      <c r="E421" s="51"/>
      <c r="F421" s="50"/>
      <c r="G421" s="50"/>
      <c r="H421" s="50"/>
      <c r="I421" s="50"/>
      <c r="J421" s="50"/>
      <c r="K421" s="50"/>
      <c r="L421" s="50"/>
      <c r="M421" s="50"/>
      <c r="N421" s="52"/>
      <c r="O421" s="40">
        <f t="shared" si="44"/>
        <v>0</v>
      </c>
      <c r="P421" s="41" t="str">
        <f t="shared" si="45"/>
        <v/>
      </c>
      <c r="Q421" s="67">
        <f t="shared" ca="1" si="47"/>
        <v>46163</v>
      </c>
      <c r="R421" s="67" t="e">
        <f t="shared" ca="1" si="48"/>
        <v>#VALUE!</v>
      </c>
      <c r="S421" s="78" t="e">
        <f t="shared" si="46"/>
        <v>#DIV/0!</v>
      </c>
      <c r="T421" s="79" t="e">
        <f t="shared" si="49"/>
        <v>#N/A</v>
      </c>
    </row>
    <row r="422" spans="2:20" hidden="1" x14ac:dyDescent="0.3">
      <c r="B422" s="36" t="str">
        <f t="shared" si="43"/>
        <v>-</v>
      </c>
      <c r="C422" s="42"/>
      <c r="D422" s="43"/>
      <c r="E422" s="44"/>
      <c r="F422" s="43"/>
      <c r="G422" s="43"/>
      <c r="H422" s="43"/>
      <c r="I422" s="43"/>
      <c r="J422" s="43"/>
      <c r="K422" s="43"/>
      <c r="L422" s="43"/>
      <c r="M422" s="43"/>
      <c r="N422" s="48"/>
      <c r="O422" s="40">
        <f t="shared" si="44"/>
        <v>0</v>
      </c>
      <c r="P422" s="41" t="str">
        <f t="shared" si="45"/>
        <v/>
      </c>
      <c r="Q422" s="67">
        <f t="shared" ca="1" si="47"/>
        <v>46163</v>
      </c>
      <c r="R422" s="67" t="e">
        <f t="shared" ca="1" si="48"/>
        <v>#VALUE!</v>
      </c>
      <c r="S422" s="78" t="e">
        <f t="shared" si="46"/>
        <v>#DIV/0!</v>
      </c>
      <c r="T422" s="79" t="e">
        <f t="shared" si="49"/>
        <v>#N/A</v>
      </c>
    </row>
    <row r="423" spans="2:20" hidden="1" x14ac:dyDescent="0.3">
      <c r="B423" s="36" t="str">
        <f t="shared" si="43"/>
        <v>-</v>
      </c>
      <c r="C423" s="49"/>
      <c r="D423" s="50"/>
      <c r="E423" s="51"/>
      <c r="F423" s="50"/>
      <c r="G423" s="50"/>
      <c r="H423" s="50"/>
      <c r="I423" s="50"/>
      <c r="J423" s="50"/>
      <c r="K423" s="50"/>
      <c r="L423" s="50"/>
      <c r="M423" s="50"/>
      <c r="N423" s="52"/>
      <c r="O423" s="40">
        <f t="shared" si="44"/>
        <v>0</v>
      </c>
      <c r="P423" s="41" t="str">
        <f t="shared" si="45"/>
        <v/>
      </c>
      <c r="Q423" s="67">
        <f t="shared" ca="1" si="47"/>
        <v>46163</v>
      </c>
      <c r="R423" s="67" t="e">
        <f t="shared" ca="1" si="48"/>
        <v>#VALUE!</v>
      </c>
      <c r="S423" s="78" t="e">
        <f t="shared" si="46"/>
        <v>#DIV/0!</v>
      </c>
      <c r="T423" s="79" t="e">
        <f t="shared" si="49"/>
        <v>#N/A</v>
      </c>
    </row>
    <row r="424" spans="2:20" hidden="1" x14ac:dyDescent="0.3">
      <c r="B424" s="36" t="str">
        <f t="shared" si="43"/>
        <v>-</v>
      </c>
      <c r="C424" s="42"/>
      <c r="D424" s="43"/>
      <c r="E424" s="44"/>
      <c r="F424" s="43"/>
      <c r="G424" s="43"/>
      <c r="H424" s="43"/>
      <c r="I424" s="43"/>
      <c r="J424" s="43"/>
      <c r="K424" s="43"/>
      <c r="L424" s="43"/>
      <c r="M424" s="43"/>
      <c r="N424" s="48"/>
      <c r="O424" s="40">
        <f t="shared" si="44"/>
        <v>0</v>
      </c>
      <c r="P424" s="41" t="str">
        <f t="shared" si="45"/>
        <v/>
      </c>
      <c r="Q424" s="67">
        <f t="shared" ca="1" si="47"/>
        <v>46163</v>
      </c>
      <c r="R424" s="67" t="e">
        <f t="shared" ca="1" si="48"/>
        <v>#VALUE!</v>
      </c>
      <c r="S424" s="78" t="e">
        <f t="shared" si="46"/>
        <v>#DIV/0!</v>
      </c>
      <c r="T424" s="79" t="e">
        <f t="shared" si="49"/>
        <v>#N/A</v>
      </c>
    </row>
    <row r="425" spans="2:20" hidden="1" x14ac:dyDescent="0.3">
      <c r="B425" s="36" t="str">
        <f t="shared" si="43"/>
        <v>-</v>
      </c>
      <c r="C425" s="49"/>
      <c r="D425" s="50"/>
      <c r="E425" s="51"/>
      <c r="F425" s="50"/>
      <c r="G425" s="50"/>
      <c r="H425" s="50"/>
      <c r="I425" s="50"/>
      <c r="J425" s="50"/>
      <c r="K425" s="50"/>
      <c r="L425" s="50"/>
      <c r="M425" s="50"/>
      <c r="N425" s="52"/>
      <c r="O425" s="40">
        <f t="shared" si="44"/>
        <v>0</v>
      </c>
      <c r="P425" s="41" t="str">
        <f t="shared" si="45"/>
        <v/>
      </c>
      <c r="Q425" s="67">
        <f t="shared" ca="1" si="47"/>
        <v>46163</v>
      </c>
      <c r="R425" s="67" t="e">
        <f t="shared" ca="1" si="48"/>
        <v>#VALUE!</v>
      </c>
      <c r="S425" s="78" t="e">
        <f t="shared" si="46"/>
        <v>#DIV/0!</v>
      </c>
      <c r="T425" s="79" t="e">
        <f t="shared" si="49"/>
        <v>#N/A</v>
      </c>
    </row>
    <row r="426" spans="2:20" hidden="1" x14ac:dyDescent="0.3">
      <c r="B426" s="36" t="str">
        <f t="shared" si="43"/>
        <v>-</v>
      </c>
      <c r="C426" s="42"/>
      <c r="D426" s="43"/>
      <c r="E426" s="44"/>
      <c r="F426" s="43"/>
      <c r="G426" s="43"/>
      <c r="H426" s="43"/>
      <c r="I426" s="43"/>
      <c r="J426" s="43"/>
      <c r="K426" s="43"/>
      <c r="L426" s="43"/>
      <c r="M426" s="43"/>
      <c r="N426" s="48"/>
      <c r="O426" s="40">
        <f t="shared" si="44"/>
        <v>0</v>
      </c>
      <c r="P426" s="41" t="str">
        <f t="shared" si="45"/>
        <v/>
      </c>
      <c r="Q426" s="67">
        <f t="shared" ca="1" si="47"/>
        <v>46163</v>
      </c>
      <c r="R426" s="67" t="e">
        <f t="shared" ca="1" si="48"/>
        <v>#VALUE!</v>
      </c>
      <c r="S426" s="78" t="e">
        <f t="shared" si="46"/>
        <v>#DIV/0!</v>
      </c>
      <c r="T426" s="79" t="e">
        <f t="shared" si="49"/>
        <v>#N/A</v>
      </c>
    </row>
    <row r="427" spans="2:20" hidden="1" x14ac:dyDescent="0.3">
      <c r="B427" s="36" t="str">
        <f t="shared" si="43"/>
        <v>-</v>
      </c>
      <c r="C427" s="49"/>
      <c r="D427" s="50"/>
      <c r="E427" s="51"/>
      <c r="F427" s="50"/>
      <c r="G427" s="50"/>
      <c r="H427" s="50"/>
      <c r="I427" s="50"/>
      <c r="J427" s="50"/>
      <c r="K427" s="50"/>
      <c r="L427" s="50"/>
      <c r="M427" s="50"/>
      <c r="N427" s="52"/>
      <c r="O427" s="40">
        <f t="shared" si="44"/>
        <v>0</v>
      </c>
      <c r="P427" s="41" t="str">
        <f t="shared" si="45"/>
        <v/>
      </c>
      <c r="Q427" s="67">
        <f t="shared" ca="1" si="47"/>
        <v>46163</v>
      </c>
      <c r="R427" s="67" t="e">
        <f t="shared" ca="1" si="48"/>
        <v>#VALUE!</v>
      </c>
      <c r="S427" s="78" t="e">
        <f t="shared" si="46"/>
        <v>#DIV/0!</v>
      </c>
      <c r="T427" s="79" t="e">
        <f t="shared" si="49"/>
        <v>#N/A</v>
      </c>
    </row>
    <row r="428" spans="2:20" hidden="1" x14ac:dyDescent="0.3">
      <c r="B428" s="36" t="str">
        <f t="shared" si="43"/>
        <v>-</v>
      </c>
      <c r="C428" s="42"/>
      <c r="D428" s="43"/>
      <c r="E428" s="44"/>
      <c r="F428" s="43"/>
      <c r="G428" s="43"/>
      <c r="H428" s="43"/>
      <c r="I428" s="43"/>
      <c r="J428" s="43"/>
      <c r="K428" s="43"/>
      <c r="L428" s="43"/>
      <c r="M428" s="43"/>
      <c r="N428" s="48"/>
      <c r="O428" s="40">
        <f t="shared" si="44"/>
        <v>0</v>
      </c>
      <c r="P428" s="41" t="str">
        <f t="shared" si="45"/>
        <v/>
      </c>
      <c r="Q428" s="67">
        <f t="shared" ca="1" si="47"/>
        <v>46163</v>
      </c>
      <c r="R428" s="67" t="e">
        <f t="shared" ca="1" si="48"/>
        <v>#VALUE!</v>
      </c>
      <c r="S428" s="78" t="e">
        <f t="shared" si="46"/>
        <v>#DIV/0!</v>
      </c>
      <c r="T428" s="79" t="e">
        <f t="shared" si="49"/>
        <v>#N/A</v>
      </c>
    </row>
    <row r="429" spans="2:20" hidden="1" x14ac:dyDescent="0.3">
      <c r="B429" s="36" t="str">
        <f t="shared" si="43"/>
        <v>-</v>
      </c>
      <c r="C429" s="49"/>
      <c r="D429" s="50"/>
      <c r="E429" s="51"/>
      <c r="F429" s="50"/>
      <c r="G429" s="50"/>
      <c r="H429" s="50"/>
      <c r="I429" s="50"/>
      <c r="J429" s="50"/>
      <c r="K429" s="50"/>
      <c r="L429" s="50"/>
      <c r="M429" s="50"/>
      <c r="N429" s="52"/>
      <c r="O429" s="40">
        <f t="shared" si="44"/>
        <v>0</v>
      </c>
      <c r="P429" s="41" t="str">
        <f t="shared" si="45"/>
        <v/>
      </c>
      <c r="Q429" s="67">
        <f t="shared" ca="1" si="47"/>
        <v>46163</v>
      </c>
      <c r="R429" s="67" t="e">
        <f t="shared" ca="1" si="48"/>
        <v>#VALUE!</v>
      </c>
      <c r="S429" s="78" t="e">
        <f t="shared" si="46"/>
        <v>#DIV/0!</v>
      </c>
      <c r="T429" s="79" t="e">
        <f t="shared" si="49"/>
        <v>#N/A</v>
      </c>
    </row>
    <row r="430" spans="2:20" hidden="1" x14ac:dyDescent="0.3">
      <c r="B430" s="36" t="str">
        <f t="shared" si="43"/>
        <v>-</v>
      </c>
      <c r="C430" s="42"/>
      <c r="D430" s="43"/>
      <c r="E430" s="44"/>
      <c r="F430" s="43"/>
      <c r="G430" s="43"/>
      <c r="H430" s="43"/>
      <c r="I430" s="43"/>
      <c r="J430" s="43"/>
      <c r="K430" s="43"/>
      <c r="L430" s="43"/>
      <c r="M430" s="43"/>
      <c r="N430" s="48"/>
      <c r="O430" s="40">
        <f t="shared" si="44"/>
        <v>0</v>
      </c>
      <c r="P430" s="41" t="str">
        <f t="shared" si="45"/>
        <v/>
      </c>
      <c r="Q430" s="67">
        <f t="shared" ca="1" si="47"/>
        <v>46163</v>
      </c>
      <c r="R430" s="67" t="e">
        <f t="shared" ca="1" si="48"/>
        <v>#VALUE!</v>
      </c>
      <c r="S430" s="78" t="e">
        <f t="shared" si="46"/>
        <v>#DIV/0!</v>
      </c>
      <c r="T430" s="79" t="e">
        <f t="shared" si="49"/>
        <v>#N/A</v>
      </c>
    </row>
    <row r="431" spans="2:20" hidden="1" x14ac:dyDescent="0.3">
      <c r="B431" s="36" t="str">
        <f t="shared" si="43"/>
        <v>-</v>
      </c>
      <c r="C431" s="49"/>
      <c r="D431" s="50"/>
      <c r="E431" s="51"/>
      <c r="F431" s="50"/>
      <c r="G431" s="50"/>
      <c r="H431" s="50"/>
      <c r="I431" s="50"/>
      <c r="J431" s="50"/>
      <c r="K431" s="50"/>
      <c r="L431" s="50"/>
      <c r="M431" s="50"/>
      <c r="N431" s="52"/>
      <c r="O431" s="40">
        <f t="shared" si="44"/>
        <v>0</v>
      </c>
      <c r="P431" s="41" t="str">
        <f t="shared" si="45"/>
        <v/>
      </c>
      <c r="Q431" s="67">
        <f t="shared" ca="1" si="47"/>
        <v>46163</v>
      </c>
      <c r="R431" s="67" t="e">
        <f t="shared" ca="1" si="48"/>
        <v>#VALUE!</v>
      </c>
      <c r="S431" s="78" t="e">
        <f t="shared" si="46"/>
        <v>#DIV/0!</v>
      </c>
      <c r="T431" s="79" t="e">
        <f t="shared" si="49"/>
        <v>#N/A</v>
      </c>
    </row>
    <row r="432" spans="2:20" hidden="1" x14ac:dyDescent="0.3">
      <c r="B432" s="36" t="str">
        <f t="shared" si="43"/>
        <v>-</v>
      </c>
      <c r="C432" s="42"/>
      <c r="D432" s="43"/>
      <c r="E432" s="44"/>
      <c r="F432" s="43"/>
      <c r="G432" s="43"/>
      <c r="H432" s="43"/>
      <c r="I432" s="43"/>
      <c r="J432" s="43"/>
      <c r="K432" s="43"/>
      <c r="L432" s="43"/>
      <c r="M432" s="43"/>
      <c r="N432" s="48"/>
      <c r="O432" s="40">
        <f t="shared" si="44"/>
        <v>0</v>
      </c>
      <c r="P432" s="41" t="str">
        <f t="shared" si="45"/>
        <v/>
      </c>
      <c r="Q432" s="67">
        <f t="shared" ca="1" si="47"/>
        <v>46163</v>
      </c>
      <c r="R432" s="67" t="e">
        <f t="shared" ca="1" si="48"/>
        <v>#VALUE!</v>
      </c>
      <c r="S432" s="78" t="e">
        <f t="shared" si="46"/>
        <v>#DIV/0!</v>
      </c>
      <c r="T432" s="79" t="e">
        <f t="shared" si="49"/>
        <v>#N/A</v>
      </c>
    </row>
    <row r="433" spans="2:20" hidden="1" x14ac:dyDescent="0.3">
      <c r="B433" s="36" t="str">
        <f t="shared" si="43"/>
        <v>-</v>
      </c>
      <c r="C433" s="49"/>
      <c r="D433" s="50"/>
      <c r="E433" s="51"/>
      <c r="F433" s="50"/>
      <c r="G433" s="50"/>
      <c r="H433" s="50"/>
      <c r="I433" s="50"/>
      <c r="J433" s="50"/>
      <c r="K433" s="50"/>
      <c r="L433" s="50"/>
      <c r="M433" s="50"/>
      <c r="N433" s="52"/>
      <c r="O433" s="40">
        <f t="shared" si="44"/>
        <v>0</v>
      </c>
      <c r="P433" s="41" t="str">
        <f t="shared" si="45"/>
        <v/>
      </c>
      <c r="Q433" s="67">
        <f t="shared" ca="1" si="47"/>
        <v>46163</v>
      </c>
      <c r="R433" s="67" t="e">
        <f t="shared" ca="1" si="48"/>
        <v>#VALUE!</v>
      </c>
      <c r="S433" s="78" t="e">
        <f t="shared" si="46"/>
        <v>#DIV/0!</v>
      </c>
      <c r="T433" s="79" t="e">
        <f t="shared" si="49"/>
        <v>#N/A</v>
      </c>
    </row>
    <row r="434" spans="2:20" hidden="1" x14ac:dyDescent="0.3">
      <c r="B434" s="36" t="str">
        <f t="shared" si="43"/>
        <v>-</v>
      </c>
      <c r="C434" s="42"/>
      <c r="D434" s="43"/>
      <c r="E434" s="44"/>
      <c r="F434" s="43"/>
      <c r="G434" s="43"/>
      <c r="H434" s="43"/>
      <c r="I434" s="43"/>
      <c r="J434" s="43"/>
      <c r="K434" s="43"/>
      <c r="L434" s="43"/>
      <c r="M434" s="43"/>
      <c r="N434" s="48"/>
      <c r="O434" s="40">
        <f t="shared" si="44"/>
        <v>0</v>
      </c>
      <c r="P434" s="41" t="str">
        <f t="shared" si="45"/>
        <v/>
      </c>
      <c r="Q434" s="67">
        <f t="shared" ca="1" si="47"/>
        <v>46163</v>
      </c>
      <c r="R434" s="67" t="e">
        <f t="shared" ca="1" si="48"/>
        <v>#VALUE!</v>
      </c>
      <c r="S434" s="78" t="e">
        <f t="shared" si="46"/>
        <v>#DIV/0!</v>
      </c>
      <c r="T434" s="79" t="e">
        <f t="shared" si="49"/>
        <v>#N/A</v>
      </c>
    </row>
    <row r="435" spans="2:20" hidden="1" x14ac:dyDescent="0.3">
      <c r="B435" s="36" t="str">
        <f t="shared" si="43"/>
        <v>-</v>
      </c>
      <c r="C435" s="49"/>
      <c r="D435" s="50"/>
      <c r="E435" s="51"/>
      <c r="F435" s="50"/>
      <c r="G435" s="50"/>
      <c r="H435" s="50"/>
      <c r="I435" s="50"/>
      <c r="J435" s="50"/>
      <c r="K435" s="50"/>
      <c r="L435" s="50"/>
      <c r="M435" s="50"/>
      <c r="N435" s="52"/>
      <c r="O435" s="40">
        <f t="shared" si="44"/>
        <v>0</v>
      </c>
      <c r="P435" s="41" t="str">
        <f t="shared" si="45"/>
        <v/>
      </c>
      <c r="Q435" s="67">
        <f t="shared" ca="1" si="47"/>
        <v>46163</v>
      </c>
      <c r="R435" s="67" t="e">
        <f t="shared" ca="1" si="48"/>
        <v>#VALUE!</v>
      </c>
      <c r="S435" s="78" t="e">
        <f t="shared" si="46"/>
        <v>#DIV/0!</v>
      </c>
      <c r="T435" s="79" t="e">
        <f t="shared" si="49"/>
        <v>#N/A</v>
      </c>
    </row>
    <row r="436" spans="2:20" hidden="1" x14ac:dyDescent="0.3">
      <c r="B436" s="36" t="str">
        <f t="shared" si="43"/>
        <v>-</v>
      </c>
      <c r="C436" s="42"/>
      <c r="D436" s="43"/>
      <c r="E436" s="44"/>
      <c r="F436" s="43"/>
      <c r="G436" s="43"/>
      <c r="H436" s="43"/>
      <c r="I436" s="43"/>
      <c r="J436" s="43"/>
      <c r="K436" s="43"/>
      <c r="L436" s="43"/>
      <c r="M436" s="43"/>
      <c r="N436" s="48"/>
      <c r="O436" s="40">
        <f t="shared" si="44"/>
        <v>0</v>
      </c>
      <c r="P436" s="41" t="str">
        <f t="shared" si="45"/>
        <v/>
      </c>
      <c r="Q436" s="67">
        <f t="shared" ca="1" si="47"/>
        <v>46163</v>
      </c>
      <c r="R436" s="67" t="e">
        <f t="shared" ca="1" si="48"/>
        <v>#VALUE!</v>
      </c>
      <c r="S436" s="78" t="e">
        <f t="shared" si="46"/>
        <v>#DIV/0!</v>
      </c>
      <c r="T436" s="79" t="e">
        <f t="shared" si="49"/>
        <v>#N/A</v>
      </c>
    </row>
    <row r="437" spans="2:20" hidden="1" x14ac:dyDescent="0.3">
      <c r="B437" s="36" t="str">
        <f t="shared" si="43"/>
        <v>-</v>
      </c>
      <c r="C437" s="49"/>
      <c r="D437" s="50"/>
      <c r="E437" s="51"/>
      <c r="F437" s="50"/>
      <c r="G437" s="50"/>
      <c r="H437" s="50"/>
      <c r="I437" s="50"/>
      <c r="J437" s="50"/>
      <c r="K437" s="50"/>
      <c r="L437" s="50"/>
      <c r="M437" s="50"/>
      <c r="N437" s="52"/>
      <c r="O437" s="40">
        <f t="shared" si="44"/>
        <v>0</v>
      </c>
      <c r="P437" s="41" t="str">
        <f t="shared" si="45"/>
        <v/>
      </c>
      <c r="Q437" s="67">
        <f t="shared" ca="1" si="47"/>
        <v>46163</v>
      </c>
      <c r="R437" s="67" t="e">
        <f t="shared" ca="1" si="48"/>
        <v>#VALUE!</v>
      </c>
      <c r="S437" s="78" t="e">
        <f t="shared" si="46"/>
        <v>#DIV/0!</v>
      </c>
      <c r="T437" s="79" t="e">
        <f t="shared" si="49"/>
        <v>#N/A</v>
      </c>
    </row>
    <row r="438" spans="2:20" hidden="1" x14ac:dyDescent="0.3">
      <c r="B438" s="36" t="str">
        <f t="shared" si="43"/>
        <v>-</v>
      </c>
      <c r="C438" s="42"/>
      <c r="D438" s="43"/>
      <c r="E438" s="44"/>
      <c r="F438" s="43"/>
      <c r="G438" s="43"/>
      <c r="H438" s="43"/>
      <c r="I438" s="43"/>
      <c r="J438" s="43"/>
      <c r="K438" s="43"/>
      <c r="L438" s="43"/>
      <c r="M438" s="43"/>
      <c r="N438" s="48"/>
      <c r="O438" s="40">
        <f t="shared" si="44"/>
        <v>0</v>
      </c>
      <c r="P438" s="41" t="str">
        <f t="shared" si="45"/>
        <v/>
      </c>
      <c r="Q438" s="67">
        <f t="shared" ca="1" si="47"/>
        <v>46163</v>
      </c>
      <c r="R438" s="67" t="e">
        <f t="shared" ca="1" si="48"/>
        <v>#VALUE!</v>
      </c>
      <c r="S438" s="78" t="e">
        <f t="shared" si="46"/>
        <v>#DIV/0!</v>
      </c>
      <c r="T438" s="79" t="e">
        <f t="shared" si="49"/>
        <v>#N/A</v>
      </c>
    </row>
    <row r="439" spans="2:20" hidden="1" x14ac:dyDescent="0.3">
      <c r="B439" s="36" t="str">
        <f t="shared" si="43"/>
        <v>-</v>
      </c>
      <c r="C439" s="49"/>
      <c r="D439" s="50"/>
      <c r="E439" s="51"/>
      <c r="F439" s="50"/>
      <c r="G439" s="50"/>
      <c r="H439" s="50"/>
      <c r="I439" s="50"/>
      <c r="J439" s="50"/>
      <c r="K439" s="50"/>
      <c r="L439" s="50"/>
      <c r="M439" s="50"/>
      <c r="N439" s="52"/>
      <c r="O439" s="40">
        <f t="shared" si="44"/>
        <v>0</v>
      </c>
      <c r="P439" s="41" t="str">
        <f t="shared" si="45"/>
        <v/>
      </c>
      <c r="Q439" s="67">
        <f t="shared" ca="1" si="47"/>
        <v>46163</v>
      </c>
      <c r="R439" s="67" t="e">
        <f t="shared" ca="1" si="48"/>
        <v>#VALUE!</v>
      </c>
      <c r="S439" s="78" t="e">
        <f t="shared" si="46"/>
        <v>#DIV/0!</v>
      </c>
      <c r="T439" s="79" t="e">
        <f t="shared" si="49"/>
        <v>#N/A</v>
      </c>
    </row>
    <row r="440" spans="2:20" hidden="1" x14ac:dyDescent="0.3">
      <c r="B440" s="36" t="str">
        <f t="shared" si="43"/>
        <v>-</v>
      </c>
      <c r="C440" s="42"/>
      <c r="D440" s="43"/>
      <c r="E440" s="44"/>
      <c r="F440" s="43"/>
      <c r="G440" s="43"/>
      <c r="H440" s="43"/>
      <c r="I440" s="43"/>
      <c r="J440" s="43"/>
      <c r="K440" s="43"/>
      <c r="L440" s="43"/>
      <c r="M440" s="43"/>
      <c r="N440" s="48"/>
      <c r="O440" s="40">
        <f t="shared" si="44"/>
        <v>0</v>
      </c>
      <c r="P440" s="41" t="str">
        <f t="shared" si="45"/>
        <v/>
      </c>
      <c r="Q440" s="67">
        <f t="shared" ca="1" si="47"/>
        <v>46163</v>
      </c>
      <c r="R440" s="67" t="e">
        <f t="shared" ca="1" si="48"/>
        <v>#VALUE!</v>
      </c>
      <c r="S440" s="78" t="e">
        <f t="shared" si="46"/>
        <v>#DIV/0!</v>
      </c>
      <c r="T440" s="79" t="e">
        <f t="shared" si="49"/>
        <v>#N/A</v>
      </c>
    </row>
    <row r="441" spans="2:20" hidden="1" x14ac:dyDescent="0.3">
      <c r="B441" s="36" t="str">
        <f t="shared" si="43"/>
        <v>-</v>
      </c>
      <c r="C441" s="49"/>
      <c r="D441" s="50"/>
      <c r="E441" s="51"/>
      <c r="F441" s="50"/>
      <c r="G441" s="50"/>
      <c r="H441" s="50"/>
      <c r="I441" s="50"/>
      <c r="J441" s="50"/>
      <c r="K441" s="50"/>
      <c r="L441" s="50"/>
      <c r="M441" s="50"/>
      <c r="N441" s="52"/>
      <c r="O441" s="40">
        <f t="shared" si="44"/>
        <v>0</v>
      </c>
      <c r="P441" s="41" t="str">
        <f t="shared" si="45"/>
        <v/>
      </c>
      <c r="Q441" s="67">
        <f t="shared" ca="1" si="47"/>
        <v>46163</v>
      </c>
      <c r="R441" s="67" t="e">
        <f t="shared" ca="1" si="48"/>
        <v>#VALUE!</v>
      </c>
      <c r="S441" s="78" t="e">
        <f t="shared" si="46"/>
        <v>#DIV/0!</v>
      </c>
      <c r="T441" s="79" t="e">
        <f t="shared" si="49"/>
        <v>#N/A</v>
      </c>
    </row>
    <row r="442" spans="2:20" hidden="1" x14ac:dyDescent="0.3">
      <c r="B442" s="36" t="str">
        <f t="shared" si="43"/>
        <v>-</v>
      </c>
      <c r="C442" s="42"/>
      <c r="D442" s="43"/>
      <c r="E442" s="44"/>
      <c r="F442" s="43"/>
      <c r="G442" s="43"/>
      <c r="H442" s="43"/>
      <c r="I442" s="43"/>
      <c r="J442" s="43"/>
      <c r="K442" s="43"/>
      <c r="L442" s="43"/>
      <c r="M442" s="43"/>
      <c r="N442" s="48"/>
      <c r="O442" s="40">
        <f t="shared" si="44"/>
        <v>0</v>
      </c>
      <c r="P442" s="41" t="str">
        <f t="shared" si="45"/>
        <v/>
      </c>
      <c r="Q442" s="67">
        <f t="shared" ca="1" si="47"/>
        <v>46163</v>
      </c>
      <c r="R442" s="67" t="e">
        <f t="shared" ca="1" si="48"/>
        <v>#VALUE!</v>
      </c>
      <c r="S442" s="78" t="e">
        <f t="shared" si="46"/>
        <v>#DIV/0!</v>
      </c>
      <c r="T442" s="79" t="e">
        <f t="shared" si="49"/>
        <v>#N/A</v>
      </c>
    </row>
    <row r="443" spans="2:20" hidden="1" x14ac:dyDescent="0.3">
      <c r="B443" s="36" t="str">
        <f t="shared" si="43"/>
        <v>-</v>
      </c>
      <c r="C443" s="49"/>
      <c r="D443" s="50"/>
      <c r="E443" s="51"/>
      <c r="F443" s="50"/>
      <c r="G443" s="50"/>
      <c r="H443" s="50"/>
      <c r="I443" s="50"/>
      <c r="J443" s="50"/>
      <c r="K443" s="50"/>
      <c r="L443" s="50"/>
      <c r="M443" s="50"/>
      <c r="N443" s="52"/>
      <c r="O443" s="40">
        <f t="shared" si="44"/>
        <v>0</v>
      </c>
      <c r="P443" s="41" t="str">
        <f t="shared" si="45"/>
        <v/>
      </c>
      <c r="Q443" s="67">
        <f t="shared" ca="1" si="47"/>
        <v>46163</v>
      </c>
      <c r="R443" s="67" t="e">
        <f t="shared" ca="1" si="48"/>
        <v>#VALUE!</v>
      </c>
      <c r="S443" s="78" t="e">
        <f t="shared" si="46"/>
        <v>#DIV/0!</v>
      </c>
      <c r="T443" s="79" t="e">
        <f t="shared" si="49"/>
        <v>#N/A</v>
      </c>
    </row>
    <row r="444" spans="2:20" hidden="1" x14ac:dyDescent="0.3">
      <c r="B444" s="36" t="str">
        <f t="shared" si="43"/>
        <v>-</v>
      </c>
      <c r="C444" s="42"/>
      <c r="D444" s="43"/>
      <c r="E444" s="44"/>
      <c r="F444" s="43"/>
      <c r="G444" s="43"/>
      <c r="H444" s="43"/>
      <c r="I444" s="43"/>
      <c r="J444" s="43"/>
      <c r="K444" s="43"/>
      <c r="L444" s="43"/>
      <c r="M444" s="43"/>
      <c r="N444" s="48"/>
      <c r="O444" s="40">
        <f t="shared" si="44"/>
        <v>0</v>
      </c>
      <c r="P444" s="41" t="str">
        <f t="shared" si="45"/>
        <v/>
      </c>
      <c r="Q444" s="67">
        <f t="shared" ca="1" si="47"/>
        <v>46163</v>
      </c>
      <c r="R444" s="67" t="e">
        <f t="shared" ca="1" si="48"/>
        <v>#VALUE!</v>
      </c>
      <c r="S444" s="78" t="e">
        <f t="shared" si="46"/>
        <v>#DIV/0!</v>
      </c>
      <c r="T444" s="79" t="e">
        <f t="shared" si="49"/>
        <v>#N/A</v>
      </c>
    </row>
    <row r="445" spans="2:20" hidden="1" x14ac:dyDescent="0.3">
      <c r="B445" s="36" t="str">
        <f t="shared" si="43"/>
        <v>-</v>
      </c>
      <c r="C445" s="49"/>
      <c r="D445" s="50"/>
      <c r="E445" s="51"/>
      <c r="F445" s="50"/>
      <c r="G445" s="50"/>
      <c r="H445" s="50"/>
      <c r="I445" s="50"/>
      <c r="J445" s="50"/>
      <c r="K445" s="50"/>
      <c r="L445" s="50"/>
      <c r="M445" s="50"/>
      <c r="N445" s="52"/>
      <c r="O445" s="40">
        <f t="shared" si="44"/>
        <v>0</v>
      </c>
      <c r="P445" s="41" t="str">
        <f t="shared" si="45"/>
        <v/>
      </c>
      <c r="Q445" s="67">
        <f t="shared" ca="1" si="47"/>
        <v>46163</v>
      </c>
      <c r="R445" s="67" t="e">
        <f t="shared" ca="1" si="48"/>
        <v>#VALUE!</v>
      </c>
      <c r="S445" s="78" t="e">
        <f t="shared" si="46"/>
        <v>#DIV/0!</v>
      </c>
      <c r="T445" s="79" t="e">
        <f t="shared" si="49"/>
        <v>#N/A</v>
      </c>
    </row>
    <row r="446" spans="2:20" hidden="1" x14ac:dyDescent="0.3">
      <c r="B446" s="36" t="str">
        <f t="shared" si="43"/>
        <v>-</v>
      </c>
      <c r="C446" s="45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53"/>
      <c r="O446" s="40">
        <f t="shared" si="44"/>
        <v>0</v>
      </c>
      <c r="P446" s="41" t="str">
        <f t="shared" si="45"/>
        <v/>
      </c>
      <c r="Q446" s="67">
        <f t="shared" ca="1" si="47"/>
        <v>46163</v>
      </c>
      <c r="R446" s="67" t="e">
        <f t="shared" ca="1" si="48"/>
        <v>#VALUE!</v>
      </c>
      <c r="S446" s="78" t="e">
        <f t="shared" si="46"/>
        <v>#DIV/0!</v>
      </c>
      <c r="T446" s="79" t="e">
        <f t="shared" si="49"/>
        <v>#N/A</v>
      </c>
    </row>
  </sheetData>
  <autoFilter ref="B1:T446" xr:uid="{96F518A6-CBA3-47C8-8211-CEC39CBAE088}">
    <filterColumn colId="6">
      <filters>
        <filter val="200518"/>
      </filters>
    </filterColumn>
    <filterColumn colId="9">
      <filters>
        <filter val="3"/>
      </filters>
    </filterColumn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VOOS</vt:lpstr>
      <vt:lpstr>RESUMO F.A PLANTADO</vt:lpstr>
      <vt:lpstr>BASE EXEC. Q.L</vt:lpstr>
      <vt:lpstr>BASE SQL PLANTIO</vt:lpstr>
      <vt:lpstr>VOOS!Area_de_impressao</vt:lpstr>
      <vt:lpstr>VOOS!Titulos_de_impressao</vt:lpstr>
    </vt:vector>
  </TitlesOfParts>
  <Company>GLENCORE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Leite, Vinicius (Guararapes - BR)</dc:creator>
  <cp:lastModifiedBy>Anderson Vieira</cp:lastModifiedBy>
  <cp:lastPrinted>2022-06-02T14:18:23Z</cp:lastPrinted>
  <dcterms:created xsi:type="dcterms:W3CDTF">2022-02-07T13:52:49Z</dcterms:created>
  <dcterms:modified xsi:type="dcterms:W3CDTF">2026-05-21T11:10:15Z</dcterms:modified>
</cp:coreProperties>
</file>